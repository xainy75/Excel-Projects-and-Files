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Digiskill excel and Power bi files\"/>
    </mc:Choice>
  </mc:AlternateContent>
  <xr:revisionPtr revIDLastSave="0" documentId="13_ncr:1_{A7FB6C79-FEEC-4BD6-892B-5AC2AC78089E}" xr6:coauthVersionLast="47" xr6:coauthVersionMax="47" xr10:uidLastSave="{00000000-0000-0000-0000-000000000000}"/>
  <bookViews>
    <workbookView xWindow="-110" yWindow="-110" windowWidth="19420" windowHeight="12220" firstSheet="16" activeTab="19" xr2:uid="{B30BE2A4-9CF5-4488-AF64-6A2383439CFD}"/>
  </bookViews>
  <sheets>
    <sheet name="Interface" sheetId="27" r:id="rId1"/>
    <sheet name="Working with FIles" sheetId="28" r:id="rId2"/>
    <sheet name="Entering Editing Data" sheetId="16" r:id="rId3"/>
    <sheet name="Formatting" sheetId="12" r:id="rId4"/>
    <sheet name="Format Painter, Min Bar" sheetId="19" r:id="rId5"/>
    <sheet name="Basic Function" sheetId="29" r:id="rId6"/>
    <sheet name="Working with Region" sheetId="8" r:id="rId7"/>
    <sheet name="Basic Functions wih examples 1" sheetId="2" r:id="rId8"/>
    <sheet name="Basic Functions wih examples 2" sheetId="18" r:id="rId9"/>
    <sheet name="Mini Static Bar" sheetId="30" r:id="rId10"/>
    <sheet name="FIlter &amp; Sort Data" sheetId="9" r:id="rId11"/>
    <sheet name="Fill Handle - Auto Fill" sheetId="20" r:id="rId12"/>
    <sheet name="Operators" sheetId="5" r:id="rId13"/>
    <sheet name="Working with References" sheetId="7" r:id="rId14"/>
    <sheet name="Range Name" sheetId="24" r:id="rId15"/>
    <sheet name="Format as Table" sheetId="31" r:id="rId16"/>
    <sheet name="Text to Column" sheetId="32" r:id="rId17"/>
    <sheet name="Concatenate (Joining Text)" sheetId="34" r:id="rId18"/>
    <sheet name="Flash FIll" sheetId="35" r:id="rId19"/>
    <sheet name="Filling Empty Cells" sheetId="33" r:id="rId20"/>
  </sheets>
  <definedNames>
    <definedName name="_xlnm._FilterDatabase" localSheetId="10" hidden="1">'FIlter &amp; Sort Data'!$A$1:$I$1537</definedName>
    <definedName name="_xlnm._FilterDatabase" localSheetId="1" hidden="1">'Working with FIles'!$A$1:$I$1537</definedName>
    <definedName name="_xlnm._FilterDatabase" localSheetId="6" hidden="1">'Working with Region'!$A$3:$H$7</definedName>
    <definedName name="City">'Range Name'!$B$2:$B$453</definedName>
    <definedName name="Invoice_Date">'Range Name'!$D$2:$D$453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40962.602025463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Product">'Range Name'!$C$2:$C$453</definedName>
    <definedName name="Region">'Range Name'!$A$2:$A$453</definedName>
    <definedName name="Revenue">'Range Name'!$E$2:$E$453</definedName>
    <definedName name="sencount" hidden="1">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34" l="1"/>
  <c r="E26" i="34"/>
  <c r="E27" i="34"/>
  <c r="E28" i="34"/>
  <c r="E24" i="34"/>
  <c r="C15" i="34"/>
  <c r="C16" i="34"/>
  <c r="C17" i="34"/>
  <c r="C18" i="34"/>
  <c r="C14" i="34"/>
  <c r="C5" i="34"/>
  <c r="C6" i="34"/>
  <c r="C7" i="34"/>
  <c r="C8" i="34"/>
  <c r="C4" i="34"/>
  <c r="H6" i="24"/>
  <c r="H5" i="24"/>
  <c r="H41" i="7"/>
  <c r="H42" i="7"/>
  <c r="H43" i="7"/>
  <c r="H44" i="7"/>
  <c r="H45" i="7"/>
  <c r="H46" i="7"/>
  <c r="H47" i="7"/>
  <c r="H48" i="7"/>
  <c r="H49" i="7"/>
  <c r="H50" i="7"/>
  <c r="H51" i="7"/>
  <c r="G41" i="7"/>
  <c r="G42" i="7"/>
  <c r="G43" i="7"/>
  <c r="G44" i="7"/>
  <c r="G45" i="7"/>
  <c r="G46" i="7"/>
  <c r="G47" i="7"/>
  <c r="G48" i="7"/>
  <c r="G49" i="7"/>
  <c r="G50" i="7"/>
  <c r="G51" i="7"/>
  <c r="F41" i="7"/>
  <c r="F42" i="7"/>
  <c r="F43" i="7"/>
  <c r="F44" i="7"/>
  <c r="F45" i="7"/>
  <c r="F46" i="7"/>
  <c r="F47" i="7"/>
  <c r="F48" i="7"/>
  <c r="F49" i="7"/>
  <c r="F50" i="7"/>
  <c r="F51" i="7"/>
  <c r="E41" i="7"/>
  <c r="E42" i="7"/>
  <c r="E43" i="7"/>
  <c r="E44" i="7"/>
  <c r="E45" i="7"/>
  <c r="E46" i="7"/>
  <c r="E47" i="7"/>
  <c r="E48" i="7"/>
  <c r="E49" i="7"/>
  <c r="E50" i="7"/>
  <c r="E51" i="7"/>
  <c r="E40" i="7"/>
  <c r="F40" i="7"/>
  <c r="G40" i="7"/>
  <c r="H40" i="7"/>
  <c r="D41" i="7"/>
  <c r="D42" i="7"/>
  <c r="D43" i="7"/>
  <c r="D44" i="7"/>
  <c r="D45" i="7"/>
  <c r="D46" i="7"/>
  <c r="D47" i="7"/>
  <c r="D48" i="7"/>
  <c r="D49" i="7"/>
  <c r="D50" i="7"/>
  <c r="D51" i="7"/>
  <c r="D40" i="7"/>
  <c r="D24" i="7"/>
  <c r="D25" i="7"/>
  <c r="D26" i="7"/>
  <c r="D27" i="7"/>
  <c r="D28" i="7"/>
  <c r="D29" i="7"/>
  <c r="D30" i="7"/>
  <c r="D31" i="7"/>
  <c r="D32" i="7"/>
  <c r="D33" i="7"/>
  <c r="D34" i="7"/>
  <c r="D23" i="7"/>
  <c r="D5" i="7"/>
  <c r="D6" i="7"/>
  <c r="D7" i="7"/>
  <c r="D8" i="7"/>
  <c r="D9" i="7"/>
  <c r="D10" i="7"/>
  <c r="D11" i="7"/>
  <c r="D12" i="7"/>
  <c r="D13" i="7"/>
  <c r="D14" i="7"/>
  <c r="D15" i="7"/>
  <c r="D4" i="7"/>
  <c r="F3" i="30"/>
  <c r="F4" i="30"/>
  <c r="F5" i="30"/>
  <c r="F6" i="30"/>
  <c r="F7" i="30"/>
  <c r="F8" i="30"/>
  <c r="F9" i="30"/>
  <c r="F10" i="30"/>
  <c r="F11" i="30"/>
  <c r="F12" i="30"/>
  <c r="F13" i="30"/>
  <c r="F2" i="30"/>
  <c r="D49" i="18"/>
  <c r="B10" i="2"/>
  <c r="G5" i="2"/>
  <c r="F5" i="2"/>
  <c r="E5" i="2"/>
  <c r="D5" i="2"/>
  <c r="C5" i="2"/>
  <c r="B5" i="2"/>
  <c r="A5" i="2"/>
  <c r="B12" i="8"/>
  <c r="C12" i="8"/>
  <c r="D12" i="8"/>
  <c r="E12" i="8"/>
  <c r="F12" i="8"/>
  <c r="G12" i="8"/>
  <c r="H10" i="8"/>
  <c r="H11" i="8"/>
  <c r="H12" i="8"/>
  <c r="B7" i="8"/>
  <c r="H7" i="8" s="1"/>
  <c r="C7" i="8"/>
  <c r="D7" i="8"/>
  <c r="E7" i="8"/>
  <c r="F7" i="8"/>
  <c r="G7" i="8"/>
  <c r="H4" i="8"/>
  <c r="H5" i="8"/>
  <c r="H6" i="8"/>
  <c r="F3" i="29"/>
  <c r="F4" i="29"/>
  <c r="F5" i="29"/>
  <c r="F2" i="29"/>
  <c r="H6" i="31"/>
  <c r="H5" i="31"/>
  <c r="F35" i="27" l="1"/>
  <c r="E37" i="27"/>
</calcChain>
</file>

<file path=xl/sharedStrings.xml><?xml version="1.0" encoding="utf-8"?>
<sst xmlns="http://schemas.openxmlformats.org/spreadsheetml/2006/main" count="29043" uniqueCount="1524">
  <si>
    <t>Key Learning:</t>
  </si>
  <si>
    <t>Excel Interface</t>
  </si>
  <si>
    <t>Excel Ribbon</t>
  </si>
  <si>
    <t>Tabs</t>
  </si>
  <si>
    <t>Command Groups</t>
  </si>
  <si>
    <t>Dialog Box</t>
  </si>
  <si>
    <t>Formula Bar</t>
  </si>
  <si>
    <t>Name Box</t>
  </si>
  <si>
    <t>Cells, Rows and Columns</t>
  </si>
  <si>
    <t>2007-365</t>
  </si>
  <si>
    <t>Scroll Bar</t>
  </si>
  <si>
    <t>A - XFD</t>
  </si>
  <si>
    <t>Zoom in and out</t>
  </si>
  <si>
    <t>1 - 1048576</t>
  </si>
  <si>
    <t>Worksheets and Workbooks</t>
  </si>
  <si>
    <t>Navigation Buttons</t>
  </si>
  <si>
    <t>Column</t>
  </si>
  <si>
    <t>Row</t>
  </si>
  <si>
    <t>Active Cell</t>
  </si>
  <si>
    <t>Total Number of Cells</t>
  </si>
  <si>
    <t>Sheets Capacity</t>
  </si>
  <si>
    <t>Quarter</t>
  </si>
  <si>
    <t>Month</t>
  </si>
  <si>
    <t>Region</t>
  </si>
  <si>
    <t>State</t>
  </si>
  <si>
    <t>Manager</t>
  </si>
  <si>
    <t>Salesperson</t>
  </si>
  <si>
    <t>Category</t>
  </si>
  <si>
    <t>Subcategory</t>
  </si>
  <si>
    <t>Quantity</t>
  </si>
  <si>
    <t>January</t>
  </si>
  <si>
    <t>East</t>
  </si>
  <si>
    <t>New York</t>
  </si>
  <si>
    <t>Eddings</t>
  </si>
  <si>
    <t>Drake</t>
  </si>
  <si>
    <t>Business</t>
  </si>
  <si>
    <t>Mens</t>
  </si>
  <si>
    <t>Abdo</t>
  </si>
  <si>
    <t>Womens</t>
  </si>
  <si>
    <t>Callie</t>
  </si>
  <si>
    <t>Baines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</si>
  <si>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</si>
  <si>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</si>
  <si>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</si>
  <si>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</si>
  <si>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</si>
  <si>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</si>
  <si>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</si>
  <si>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</si>
  <si>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</si>
  <si>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</si>
  <si>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</si>
  <si>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Casual</t>
  </si>
  <si>
    <t>New Jersey</t>
  </si>
  <si>
    <t>Franks</t>
  </si>
  <si>
    <t>Applegate</t>
  </si>
  <si>
    <t>Barr</t>
  </si>
  <si>
    <t>Cayle</t>
  </si>
  <si>
    <t>Darper</t>
  </si>
  <si>
    <t>North</t>
  </si>
  <si>
    <t>Minnesota</t>
  </si>
  <si>
    <t>Andersen</t>
  </si>
  <si>
    <t>Childers</t>
  </si>
  <si>
    <t>Adams</t>
  </si>
  <si>
    <t>Benson</t>
  </si>
  <si>
    <t>Denison</t>
  </si>
  <si>
    <t>Wisconsin</t>
  </si>
  <si>
    <t>Bailey</t>
  </si>
  <si>
    <t>Ashley</t>
  </si>
  <si>
    <t>Blakely</t>
  </si>
  <si>
    <t>Chandler</t>
  </si>
  <si>
    <t>Denton</t>
  </si>
  <si>
    <t>South</t>
  </si>
  <si>
    <t>Texas</t>
  </si>
  <si>
    <t>Collins</t>
  </si>
  <si>
    <t>Adkins</t>
  </si>
  <si>
    <t>Baker</t>
  </si>
  <si>
    <t>Campo</t>
  </si>
  <si>
    <t>Drew</t>
  </si>
  <si>
    <t>Louisiana</t>
  </si>
  <si>
    <t>Donaldson</t>
  </si>
  <si>
    <t>Ayers</t>
  </si>
  <si>
    <t>Battelle</t>
  </si>
  <si>
    <t>Carver</t>
  </si>
  <si>
    <t>Darkle</t>
  </si>
  <si>
    <t>West</t>
  </si>
  <si>
    <t>Idaho</t>
  </si>
  <si>
    <t>Gerry</t>
  </si>
  <si>
    <t>Alban</t>
  </si>
  <si>
    <t>Ballou</t>
  </si>
  <si>
    <t>Cotton</t>
  </si>
  <si>
    <t>Dworkin</t>
  </si>
  <si>
    <t>Montana</t>
  </si>
  <si>
    <t>Hastings</t>
  </si>
  <si>
    <t>Azinger</t>
  </si>
  <si>
    <t>Berkin</t>
  </si>
  <si>
    <t>Celine</t>
  </si>
  <si>
    <t>Deller</t>
  </si>
  <si>
    <t>Remarks</t>
  </si>
  <si>
    <t>A quick brown fox jumps over the lazy dog</t>
  </si>
  <si>
    <t>Font Group</t>
  </si>
  <si>
    <t>Alignment Group</t>
  </si>
  <si>
    <t>Number Group</t>
  </si>
  <si>
    <t>Customer</t>
  </si>
  <si>
    <t>Q1</t>
  </si>
  <si>
    <t>Q2</t>
  </si>
  <si>
    <t>Q3</t>
  </si>
  <si>
    <t>Q4</t>
  </si>
  <si>
    <t>Alluring Barometer Inc.</t>
  </si>
  <si>
    <t>Format Painter</t>
  </si>
  <si>
    <t>Matchless Door Corporation</t>
  </si>
  <si>
    <t>Quick Access Toolbar</t>
  </si>
  <si>
    <t>Supreme Belt Corporation</t>
  </si>
  <si>
    <t>Keyboard Shortcuts</t>
  </si>
  <si>
    <t>Special Doorbell Inc.</t>
  </si>
  <si>
    <t>Ideal Barometer Inc.</t>
  </si>
  <si>
    <t>Sure Eggbeater Inc.</t>
  </si>
  <si>
    <t>Supreme Lawn Traders</t>
  </si>
  <si>
    <t>Guaranteed Sandal Company</t>
  </si>
  <si>
    <t>Crisp Barometer Company</t>
  </si>
  <si>
    <t>Secure Linen Supply</t>
  </si>
  <si>
    <t>Rare Umbrella Corporation</t>
  </si>
  <si>
    <t>Trustworthy Utensil Corporation</t>
  </si>
  <si>
    <t>S. No</t>
  </si>
  <si>
    <t>Name</t>
  </si>
  <si>
    <t>Item 1</t>
  </si>
  <si>
    <t>Item 2</t>
  </si>
  <si>
    <t>Item 3</t>
  </si>
  <si>
    <t>Total</t>
  </si>
  <si>
    <t>Percentage</t>
  </si>
  <si>
    <t>Jahangir</t>
  </si>
  <si>
    <t>Sachwani</t>
  </si>
  <si>
    <t>Nabeel</t>
  </si>
  <si>
    <t>Haseeb</t>
  </si>
  <si>
    <t>Formula Types:</t>
  </si>
  <si>
    <t>Cell by Cell Formula</t>
  </si>
  <si>
    <t>Wide Range Formula</t>
  </si>
  <si>
    <t>Balance Sheet</t>
  </si>
  <si>
    <t>Working with Region</t>
  </si>
  <si>
    <t>Equity and Liabilities</t>
  </si>
  <si>
    <t>Total equity</t>
  </si>
  <si>
    <t>Totol non-current liabilities</t>
  </si>
  <si>
    <t>Total current Liabilities</t>
  </si>
  <si>
    <t>Total Equity and Liabilities</t>
  </si>
  <si>
    <t>Assets</t>
  </si>
  <si>
    <t>Total Non-Current Assets</t>
  </si>
  <si>
    <t>Total current assets</t>
  </si>
  <si>
    <t>Total Assets</t>
  </si>
  <si>
    <t>Sum</t>
  </si>
  <si>
    <t>Sub</t>
  </si>
  <si>
    <t>Div</t>
  </si>
  <si>
    <t>Mul</t>
  </si>
  <si>
    <t>Min</t>
  </si>
  <si>
    <t>Max</t>
  </si>
  <si>
    <t>Average</t>
  </si>
  <si>
    <t>Basic Formulas</t>
  </si>
  <si>
    <t>Amount</t>
  </si>
  <si>
    <t>Value</t>
  </si>
  <si>
    <t>%age</t>
  </si>
  <si>
    <t>Company</t>
  </si>
  <si>
    <t>Date</t>
  </si>
  <si>
    <t>Period</t>
  </si>
  <si>
    <t>Profit / (Loss)</t>
  </si>
  <si>
    <t>after tax</t>
  </si>
  <si>
    <t>SUM</t>
  </si>
  <si>
    <t>KHURSHID SPINNING MILLS LIMITD</t>
  </si>
  <si>
    <t>30-Jun-24 F</t>
  </si>
  <si>
    <t>MAX</t>
  </si>
  <si>
    <t>Paste as Values</t>
  </si>
  <si>
    <t>TRI-STAR MOD.1ST</t>
  </si>
  <si>
    <t>MIN</t>
  </si>
  <si>
    <t>TRI-STAR POLYESTER LIMITED</t>
  </si>
  <si>
    <t>AVERAGE</t>
  </si>
  <si>
    <t>ARPAK INTERNATIONAL INV. LTD.</t>
  </si>
  <si>
    <t>COUNT</t>
  </si>
  <si>
    <t>TAJ TEXTILE MILLS LIMITED</t>
  </si>
  <si>
    <t>COUNTA</t>
  </si>
  <si>
    <t>GENERTECH PAKISTAN LIMITED</t>
  </si>
  <si>
    <t>DAR ES SALAAM TEX. MILLS LTD</t>
  </si>
  <si>
    <t>THE HUB POWER COMPANY LIMITED</t>
  </si>
  <si>
    <t>RAVI TEXTILE MILLS LIMITED</t>
  </si>
  <si>
    <t>TRUST MODARABA</t>
  </si>
  <si>
    <t>YOUSAF WEAVING MILLS LIMITED</t>
  </si>
  <si>
    <t>CHAKWAL SPINNING MILLS LIMITED</t>
  </si>
  <si>
    <t>BALOCHISTAN GLASS LIMITED</t>
  </si>
  <si>
    <t>KOHINOOR INDUSTRIES LIMITED</t>
  </si>
  <si>
    <t>KOHINOOR POWER COMPANY LIMITED</t>
  </si>
  <si>
    <t>REDCO TEXTILE LIMITED</t>
  </si>
  <si>
    <t>RUBY TEXTILE MILLS LIMITED</t>
  </si>
  <si>
    <t>SARDAR CHEMICAL INDUSTRIES LTD</t>
  </si>
  <si>
    <t>FLYING CEMENT COMPANY LIMITED</t>
  </si>
  <si>
    <t>SERVICE INDUSTRIES TEXTILE LTD</t>
  </si>
  <si>
    <t>SERVICE FABRICS LIMITED</t>
  </si>
  <si>
    <t>GHARIBWAL CEMENT COMPANY LTD.</t>
  </si>
  <si>
    <t>HALA ENTERPRISE LIMITED</t>
  </si>
  <si>
    <t>ICC TEXTILES LIMITED</t>
  </si>
  <si>
    <t>FIRST FID. LEAS.(NISHAT MOD.)</t>
  </si>
  <si>
    <t>DIAMOND INDUSTRIES LIMITED</t>
  </si>
  <si>
    <t>SALMAN NOMAN ENTERPRISES LTD</t>
  </si>
  <si>
    <t>AL-QADIR TEXILE MILLS LIMITED</t>
  </si>
  <si>
    <t>ASIM TEXTILE MILLS LIMITED</t>
  </si>
  <si>
    <t>NISHAT CHUNIAN POWER LIMITED</t>
  </si>
  <si>
    <t>NISHAT CHUNIAN LTD15%N.V.C.PRF</t>
  </si>
  <si>
    <t>NISHAT (CHUNIAN) LIMITED</t>
  </si>
  <si>
    <t>D.S. INDUSTRIES LIMITED</t>
  </si>
  <si>
    <t>PERVEZ AHMED SECURITIES LTD.</t>
  </si>
  <si>
    <t>RELIANCE WEAVING MILLS LIMITED</t>
  </si>
  <si>
    <t>GULSHAN SPINNING MILLS LTD</t>
  </si>
  <si>
    <t>PARAMOUNT SPINNING MILLS LTD</t>
  </si>
  <si>
    <t>GULISTAN SPINNING MILLS LTD</t>
  </si>
  <si>
    <t>SALLY TEXTILE MILLS LIMITED</t>
  </si>
  <si>
    <t>J.A. TEXTILE MILLS LIMITED</t>
  </si>
  <si>
    <t>APOLLO TEXTILE MILLS LIMITED</t>
  </si>
  <si>
    <t>AYESHA TEXTILE MILLS LIMITED</t>
  </si>
  <si>
    <t>UNICAP MODARABA(SUSPENDED)</t>
  </si>
  <si>
    <t>MACPAC FILMS LIMITED</t>
  </si>
  <si>
    <t>LEINER PAK GELATINE LIMITED</t>
  </si>
  <si>
    <t>FRONTIER CERAMICS LIMITED</t>
  </si>
  <si>
    <t>Mini Static Bar</t>
  </si>
  <si>
    <t>Calulation without formulas</t>
  </si>
  <si>
    <t>Add more items to mini bar</t>
  </si>
  <si>
    <t>Filerting Data</t>
  </si>
  <si>
    <t>Sorting Data</t>
  </si>
  <si>
    <t>Custom Lists</t>
  </si>
  <si>
    <t>Fill Series</t>
  </si>
  <si>
    <t>Copy Cells</t>
  </si>
  <si>
    <t>Copy Formatting</t>
  </si>
  <si>
    <t>Fill Handle</t>
  </si>
  <si>
    <t>Monday</t>
  </si>
  <si>
    <t>A 1</t>
  </si>
  <si>
    <t>Qtr 1</t>
  </si>
  <si>
    <t>Year 2019</t>
  </si>
  <si>
    <t>Autofill</t>
  </si>
  <si>
    <t>Operator</t>
  </si>
  <si>
    <t>Operators</t>
  </si>
  <si>
    <t>Type</t>
  </si>
  <si>
    <t>Performs</t>
  </si>
  <si>
    <t>BODMAS</t>
  </si>
  <si>
    <t>+</t>
  </si>
  <si>
    <t>Arithmetic</t>
  </si>
  <si>
    <t>Addition</t>
  </si>
  <si>
    <t>-</t>
  </si>
  <si>
    <t>Subtraction</t>
  </si>
  <si>
    <t>*</t>
  </si>
  <si>
    <t>Multiplication</t>
  </si>
  <si>
    <t>/</t>
  </si>
  <si>
    <t>Division</t>
  </si>
  <si>
    <t>%</t>
  </si>
  <si>
    <t>Percent</t>
  </si>
  <si>
    <t>^</t>
  </si>
  <si>
    <t>Exponentiation</t>
  </si>
  <si>
    <t>=</t>
  </si>
  <si>
    <t>Comparison</t>
  </si>
  <si>
    <t>Equal to</t>
  </si>
  <si>
    <t>&lt;&gt;</t>
  </si>
  <si>
    <t>Not equal to</t>
  </si>
  <si>
    <t>&gt;</t>
  </si>
  <si>
    <t>Greater than</t>
  </si>
  <si>
    <t>&gt;=</t>
  </si>
  <si>
    <t>Greater than or equal to</t>
  </si>
  <si>
    <t>&lt;</t>
  </si>
  <si>
    <t>Less than</t>
  </si>
  <si>
    <t>&lt;=</t>
  </si>
  <si>
    <t>Less than or equal to</t>
  </si>
  <si>
    <t>:</t>
  </si>
  <si>
    <t>Reference</t>
  </si>
  <si>
    <r>
      <t xml:space="preserve">Range of contiguous cells </t>
    </r>
    <r>
      <rPr>
        <sz val="10"/>
        <color indexed="23"/>
        <rFont val="Arial"/>
        <family val="2"/>
      </rPr>
      <t xml:space="preserve">(e.g. A1:B10 means </t>
    </r>
    <r>
      <rPr>
        <i/>
        <sz val="10"/>
        <color indexed="23"/>
        <rFont val="Arial"/>
        <family val="2"/>
      </rPr>
      <t>from</t>
    </r>
    <r>
      <rPr>
        <sz val="10"/>
        <color indexed="23"/>
        <rFont val="Arial"/>
        <family val="2"/>
      </rPr>
      <t xml:space="preserve"> A1 </t>
    </r>
    <r>
      <rPr>
        <i/>
        <sz val="10"/>
        <color indexed="23"/>
        <rFont val="Arial"/>
        <family val="2"/>
      </rPr>
      <t>to</t>
    </r>
    <r>
      <rPr>
        <sz val="10"/>
        <color indexed="23"/>
        <rFont val="Arial"/>
        <family val="2"/>
      </rPr>
      <t xml:space="preserve"> B10)</t>
    </r>
  </si>
  <si>
    <t>,</t>
  </si>
  <si>
    <r>
      <t xml:space="preserve">Range of non-contiguous cells </t>
    </r>
    <r>
      <rPr>
        <sz val="10"/>
        <color indexed="23"/>
        <rFont val="Arial"/>
        <family val="2"/>
      </rPr>
      <t xml:space="preserve">(e.g. A1, B2 means A1 </t>
    </r>
    <r>
      <rPr>
        <i/>
        <sz val="10"/>
        <color indexed="23"/>
        <rFont val="Arial"/>
        <family val="2"/>
      </rPr>
      <t>and</t>
    </r>
    <r>
      <rPr>
        <sz val="10"/>
        <color indexed="23"/>
        <rFont val="Arial"/>
        <family val="2"/>
      </rPr>
      <t xml:space="preserve"> B2)</t>
    </r>
  </si>
  <si>
    <t>[space]</t>
  </si>
  <si>
    <t>Intersection operator, calculates the overlapping cells in two ranges.</t>
  </si>
  <si>
    <t>&amp;</t>
  </si>
  <si>
    <t>Text</t>
  </si>
  <si>
    <r>
      <t xml:space="preserve">Concatenate </t>
    </r>
    <r>
      <rPr>
        <sz val="10"/>
        <color indexed="23"/>
        <rFont val="Arial"/>
        <family val="2"/>
      </rPr>
      <t>(join together)</t>
    </r>
    <r>
      <rPr>
        <sz val="10"/>
        <rFont val="Arial"/>
        <family val="2"/>
      </rPr>
      <t xml:space="preserve"> the values in two or more cells.</t>
    </r>
  </si>
  <si>
    <t>( )</t>
  </si>
  <si>
    <t>Brackets</t>
  </si>
  <si>
    <t>{ }</t>
  </si>
  <si>
    <t>Array</t>
  </si>
  <si>
    <t>Curly Brackets</t>
  </si>
  <si>
    <t>Relative Reference</t>
  </si>
  <si>
    <t>Months</t>
  </si>
  <si>
    <t>Sales</t>
  </si>
  <si>
    <t>Commission</t>
  </si>
  <si>
    <t>Absolute Reference</t>
  </si>
  <si>
    <t>Jan</t>
  </si>
  <si>
    <t>Mix Reference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</si>
  <si>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</si>
  <si>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</si>
  <si>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</si>
  <si>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</si>
  <si>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</si>
  <si>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</si>
  <si>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</si>
  <si>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</si>
  <si>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</si>
  <si>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</si>
  <si>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City</t>
  </si>
  <si>
    <t>Product</t>
  </si>
  <si>
    <t>Invoice Date</t>
  </si>
  <si>
    <t>Revenue</t>
  </si>
  <si>
    <t>MIDWEST</t>
  </si>
  <si>
    <t>OKLAHOMA CITY</t>
  </si>
  <si>
    <t>Housekeeping</t>
  </si>
  <si>
    <t>Range Name</t>
  </si>
  <si>
    <t>NORTH</t>
  </si>
  <si>
    <t>QUEENS</t>
  </si>
  <si>
    <t>SOUTH</t>
  </si>
  <si>
    <t>CARTERSVILLE</t>
  </si>
  <si>
    <t>HATTIESBURG</t>
  </si>
  <si>
    <t>RICHLAND</t>
  </si>
  <si>
    <t>MORROW</t>
  </si>
  <si>
    <t>MARSHALLTOWN</t>
  </si>
  <si>
    <t>AUBURN HILLS</t>
  </si>
  <si>
    <t>WEST</t>
  </si>
  <si>
    <t>SEATTLE</t>
  </si>
  <si>
    <t>ANDERSON</t>
  </si>
  <si>
    <t>NAPA</t>
  </si>
  <si>
    <t>PHOENIX</t>
  </si>
  <si>
    <t>STERLING HGTS</t>
  </si>
  <si>
    <t>HUGER</t>
  </si>
  <si>
    <t>ROCKAWAY</t>
  </si>
  <si>
    <t>LIVONIA</t>
  </si>
  <si>
    <t>LATROBE</t>
  </si>
  <si>
    <t>ENID</t>
  </si>
  <si>
    <t>DETROIT</t>
  </si>
  <si>
    <t>TROY</t>
  </si>
  <si>
    <t>SOMERSET</t>
  </si>
  <si>
    <t>LIMA</t>
  </si>
  <si>
    <t>OXNARD</t>
  </si>
  <si>
    <t>GREENVILLE</t>
  </si>
  <si>
    <t>BROKEN ARROW</t>
  </si>
  <si>
    <t>DUNBRIDGE</t>
  </si>
  <si>
    <t>ALPHARETTA</t>
  </si>
  <si>
    <t>Repair</t>
  </si>
  <si>
    <t>POCATELLO</t>
  </si>
  <si>
    <t>APPLE VALLEY</t>
  </si>
  <si>
    <t>NORTH CHARLESTON</t>
  </si>
  <si>
    <t>MCDONOUGH</t>
  </si>
  <si>
    <t>MAPLETON</t>
  </si>
  <si>
    <t>GORDON</t>
  </si>
  <si>
    <t>PEARL</t>
  </si>
  <si>
    <t>JASPER</t>
  </si>
  <si>
    <t>WOODLAND</t>
  </si>
  <si>
    <t>BYRON</t>
  </si>
  <si>
    <t>TEMECULA</t>
  </si>
  <si>
    <t>GILLETTE</t>
  </si>
  <si>
    <t>W SACRAMENTO</t>
  </si>
  <si>
    <t>LAS VEGAS</t>
  </si>
  <si>
    <t>ODESSA</t>
  </si>
  <si>
    <t>HOLLIDAY</t>
  </si>
  <si>
    <t>SPARTANBURG</t>
  </si>
  <si>
    <t>WOODRIDGE</t>
  </si>
  <si>
    <t>CARLSTADT</t>
  </si>
  <si>
    <t>LITTLETON</t>
  </si>
  <si>
    <t>ERIE</t>
  </si>
  <si>
    <t>SONORA</t>
  </si>
  <si>
    <t>LINCOLN</t>
  </si>
  <si>
    <t>VISTA</t>
  </si>
  <si>
    <t>LAURENS</t>
  </si>
  <si>
    <t>TEANECK</t>
  </si>
  <si>
    <t>GREEN BROOK</t>
  </si>
  <si>
    <t>IMPERIAL</t>
  </si>
  <si>
    <t>COLUMBUS</t>
  </si>
  <si>
    <t>CRESTLINE</t>
  </si>
  <si>
    <t>SUMMERVILLE</t>
  </si>
  <si>
    <t>DENVER</t>
  </si>
  <si>
    <t>AUBURN</t>
  </si>
  <si>
    <t>JERSEYVILLE</t>
  </si>
  <si>
    <t>FAIRFIELD</t>
  </si>
  <si>
    <t>BATH</t>
  </si>
  <si>
    <t>COLUSA</t>
  </si>
  <si>
    <t>WEST HAVERSTRAW</t>
  </si>
  <si>
    <t>GOLD HILL</t>
  </si>
  <si>
    <t>JACKSON</t>
  </si>
  <si>
    <t>KENNESAW</t>
  </si>
  <si>
    <t>EL CAJON</t>
  </si>
  <si>
    <t>SAN DIEGO</t>
  </si>
  <si>
    <t>BLOOMFIELD</t>
  </si>
  <si>
    <t>HESPERIA</t>
  </si>
  <si>
    <t>DUBOIS</t>
  </si>
  <si>
    <t>CHARLESTON</t>
  </si>
  <si>
    <t>TUCKER</t>
  </si>
  <si>
    <t>WAYNE</t>
  </si>
  <si>
    <t>SANDUSKY</t>
  </si>
  <si>
    <t>SMYRNA</t>
  </si>
  <si>
    <t>STAR</t>
  </si>
  <si>
    <t>LEMAY</t>
  </si>
  <si>
    <t>ATLANTA</t>
  </si>
  <si>
    <t>FREMONT</t>
  </si>
  <si>
    <t>RIVERSIDE</t>
  </si>
  <si>
    <t>W BRANCH</t>
  </si>
  <si>
    <t>SAN BERNADINO</t>
  </si>
  <si>
    <t>CASPER</t>
  </si>
  <si>
    <t>SOUTH PLAINFIELD</t>
  </si>
  <si>
    <t>MESA</t>
  </si>
  <si>
    <t>HATTISBURG</t>
  </si>
  <si>
    <t>ALPENA</t>
  </si>
  <si>
    <t>ELIZABETH</t>
  </si>
  <si>
    <t>FOREST CITY</t>
  </si>
  <si>
    <t>MIDDLETOWN</t>
  </si>
  <si>
    <t>FERNWOOD</t>
  </si>
  <si>
    <t>BRIDGEPORT</t>
  </si>
  <si>
    <t>HARTWELL</t>
  </si>
  <si>
    <t>LOGAN</t>
  </si>
  <si>
    <t>STEAMBOAT SPRINGS</t>
  </si>
  <si>
    <t>SIOUX FALLS</t>
  </si>
  <si>
    <t>EUREKA</t>
  </si>
  <si>
    <t>LONGMONT</t>
  </si>
  <si>
    <t>HEALDSBURG</t>
  </si>
  <si>
    <t>SAN FRANCISCO</t>
  </si>
  <si>
    <t>PALM DESERT</t>
  </si>
  <si>
    <t>CLIFTON</t>
  </si>
  <si>
    <t>SANDY</t>
  </si>
  <si>
    <t>LITHIA SPRINGS</t>
  </si>
  <si>
    <t>NAMPA</t>
  </si>
  <si>
    <t>NATIONAL CITY</t>
  </si>
  <si>
    <t>GAYLORD</t>
  </si>
  <si>
    <t>HAWTHORNE</t>
  </si>
  <si>
    <t>SAGINAW</t>
  </si>
  <si>
    <t>TOCCOA</t>
  </si>
  <si>
    <t>PHELAN</t>
  </si>
  <si>
    <t>GLENDALE</t>
  </si>
  <si>
    <t>CHESTER</t>
  </si>
  <si>
    <t>WASHINGTONVILLE</t>
  </si>
  <si>
    <t>SAINT CHARLES</t>
  </si>
  <si>
    <t>BRAWLEY</t>
  </si>
  <si>
    <t>PARKHILL</t>
  </si>
  <si>
    <t>Maintenance</t>
  </si>
  <si>
    <t>LEMARS</t>
  </si>
  <si>
    <t>ORLANDO</t>
  </si>
  <si>
    <t>WAVERLY</t>
  </si>
  <si>
    <t>WEST PALM BEACH</t>
  </si>
  <si>
    <t>FT STOCKTON</t>
  </si>
  <si>
    <t>SALT LAKE CITY</t>
  </si>
  <si>
    <t>YONKERS</t>
  </si>
  <si>
    <t>NAPLES</t>
  </si>
  <si>
    <t>FORT MYERS</t>
  </si>
  <si>
    <t>OCALA</t>
  </si>
  <si>
    <t>GRIMES</t>
  </si>
  <si>
    <t>JUSTIN</t>
  </si>
  <si>
    <t>JERSEY CITY</t>
  </si>
  <si>
    <t>CUSHING</t>
  </si>
  <si>
    <t>HUDSON</t>
  </si>
  <si>
    <t>FT LAUDERDALE</t>
  </si>
  <si>
    <t>OKEECHOBEE</t>
  </si>
  <si>
    <t>PALO VERDE</t>
  </si>
  <si>
    <t>SANTA ROSA</t>
  </si>
  <si>
    <t>GREENWOOD</t>
  </si>
  <si>
    <t>ALPHARETA</t>
  </si>
  <si>
    <t>JUPITER</t>
  </si>
  <si>
    <t>TUCSON</t>
  </si>
  <si>
    <t>TUTTLE</t>
  </si>
  <si>
    <t>GAINESVILLE</t>
  </si>
  <si>
    <t>ASHEVILLE</t>
  </si>
  <si>
    <t>SANFORD</t>
  </si>
  <si>
    <t>REDDING</t>
  </si>
  <si>
    <t>ELECTRA</t>
  </si>
  <si>
    <t>BOISE</t>
  </si>
  <si>
    <t>MERIDIAN</t>
  </si>
  <si>
    <t>TAMPA</t>
  </si>
  <si>
    <t>KOSCIUSKO</t>
  </si>
  <si>
    <t>RICHMOND</t>
  </si>
  <si>
    <t>HOLLY HILL</t>
  </si>
  <si>
    <t>SALINA</t>
  </si>
  <si>
    <t>SAN RAFAEL</t>
  </si>
  <si>
    <t>LAND O' LAKES</t>
  </si>
  <si>
    <t>DAYTONA BEACH</t>
  </si>
  <si>
    <t>RIVIERA BEACH</t>
  </si>
  <si>
    <t>STURGIS</t>
  </si>
  <si>
    <t>EAST BRUNSWICK</t>
  </si>
  <si>
    <t>RUSKIN</t>
  </si>
  <si>
    <t>SPRING VALLEY</t>
  </si>
  <si>
    <t>CHICO</t>
  </si>
  <si>
    <t>CHIEFLAND</t>
  </si>
  <si>
    <t>WICHITA</t>
  </si>
  <si>
    <t>RUTHERFORDTON</t>
  </si>
  <si>
    <t>CEDAR FALLS</t>
  </si>
  <si>
    <t>ALMA</t>
  </si>
  <si>
    <t>WATERFORD</t>
  </si>
  <si>
    <t>MOUNT PLEASANT</t>
  </si>
  <si>
    <t>EDISON</t>
  </si>
  <si>
    <t>GRANBY</t>
  </si>
  <si>
    <t>WICHITA FALLS</t>
  </si>
  <si>
    <t>MARION</t>
  </si>
  <si>
    <t>ELBERTON</t>
  </si>
  <si>
    <t>CARLSBAD</t>
  </si>
  <si>
    <t>PERRIS</t>
  </si>
  <si>
    <t>SEBRING</t>
  </si>
  <si>
    <t>MUSKOGEE</t>
  </si>
  <si>
    <t>WEST DES MOINES</t>
  </si>
  <si>
    <t>OPA LOCKA</t>
  </si>
  <si>
    <t>PLACERVILLE</t>
  </si>
  <si>
    <t>CHANDLER</t>
  </si>
  <si>
    <t>PISCATAWAY</t>
  </si>
  <si>
    <t>PERRY</t>
  </si>
  <si>
    <t>GREER</t>
  </si>
  <si>
    <t>LAKE HAVASU CITY</t>
  </si>
  <si>
    <t>MIDLAND</t>
  </si>
  <si>
    <t>CHARLESTON HTS</t>
  </si>
  <si>
    <t>DAWSONVILLE</t>
  </si>
  <si>
    <t>MARATHON</t>
  </si>
  <si>
    <t>SANTEE</t>
  </si>
  <si>
    <t>MIAMI</t>
  </si>
  <si>
    <t>VICKSBURG</t>
  </si>
  <si>
    <t>APOPKA</t>
  </si>
  <si>
    <t>STANFIELD</t>
  </si>
  <si>
    <t>PORT ORANGE</t>
  </si>
  <si>
    <t>MEDLEY</t>
  </si>
  <si>
    <t>EL DORADO</t>
  </si>
  <si>
    <t>GEORGETOWN</t>
  </si>
  <si>
    <t>HOLYOKE</t>
  </si>
  <si>
    <t>GARRETSON</t>
  </si>
  <si>
    <t>PRATT</t>
  </si>
  <si>
    <t>CLEARFIELD</t>
  </si>
  <si>
    <t>CAMARILLO</t>
  </si>
  <si>
    <t>MADISON</t>
  </si>
  <si>
    <t>HOMESTEAD</t>
  </si>
  <si>
    <t>POINCIANA</t>
  </si>
  <si>
    <t>FLOWOOD</t>
  </si>
  <si>
    <t>VALLEY</t>
  </si>
  <si>
    <t>IDAHO FALLS</t>
  </si>
  <si>
    <t>WACO</t>
  </si>
  <si>
    <t>TYRONE</t>
  </si>
  <si>
    <t>WOODWARD</t>
  </si>
  <si>
    <t>BRONX</t>
  </si>
  <si>
    <t>LOVINGTON</t>
  </si>
  <si>
    <t>WEATHERFORD</t>
  </si>
  <si>
    <t>CARNESVILLE</t>
  </si>
  <si>
    <t>BRADENTON</t>
  </si>
  <si>
    <t>OCEANSIDE</t>
  </si>
  <si>
    <t>POMPANO BEACH</t>
  </si>
  <si>
    <t>EAST FREEDOM</t>
  </si>
  <si>
    <t>DIAMOND SPRINGS</t>
  </si>
  <si>
    <t>PONTIAC</t>
  </si>
  <si>
    <t>WATERLOO</t>
  </si>
  <si>
    <t>ESCONDIDO</t>
  </si>
  <si>
    <t>OROVILLE</t>
  </si>
  <si>
    <t>NORMAN</t>
  </si>
  <si>
    <t>CUMMING</t>
  </si>
  <si>
    <t>LAKE PARK</t>
  </si>
  <si>
    <t>GLEN CARBON</t>
  </si>
  <si>
    <t>COLFAX</t>
  </si>
  <si>
    <t>IRVINGTON</t>
  </si>
  <si>
    <t>TEMPE</t>
  </si>
  <si>
    <t>ALPINE</t>
  </si>
  <si>
    <t>ELK CITY</t>
  </si>
  <si>
    <t>SAN MARCOS</t>
  </si>
  <si>
    <t>ROCHESTER</t>
  </si>
  <si>
    <t>Foliage Care</t>
  </si>
  <si>
    <t>MERCED</t>
  </si>
  <si>
    <t>NEW YORK CITY</t>
  </si>
  <si>
    <t>ROSEMEAD</t>
  </si>
  <si>
    <t>SACRAMENTO</t>
  </si>
  <si>
    <t>TURLOCK</t>
  </si>
  <si>
    <t>FLINT</t>
  </si>
  <si>
    <t>FONTANA</t>
  </si>
  <si>
    <t>SANTA FE SPRINGS</t>
  </si>
  <si>
    <t>HUGHSON</t>
  </si>
  <si>
    <t>CLEARWATER</t>
  </si>
  <si>
    <t>STOCKTON</t>
  </si>
  <si>
    <t>ENGLEWOOD</t>
  </si>
  <si>
    <t>ANGELUS OAKS</t>
  </si>
  <si>
    <t>COMMERCE</t>
  </si>
  <si>
    <t>MURRIETTA</t>
  </si>
  <si>
    <t>RIALTO</t>
  </si>
  <si>
    <t>REDLANDS</t>
  </si>
  <si>
    <t>LAKE ELSINORE</t>
  </si>
  <si>
    <t>SIMI VALLEY</t>
  </si>
  <si>
    <t>THOUSAND OAKS</t>
  </si>
  <si>
    <t>CHINO</t>
  </si>
  <si>
    <t>MONTCLAIR</t>
  </si>
  <si>
    <t>MURRIETA</t>
  </si>
  <si>
    <t>STEPHENVILLE</t>
  </si>
  <si>
    <t>MIRA LOMA</t>
  </si>
  <si>
    <t>NEW KENSINGTON</t>
  </si>
  <si>
    <t>ST. PETERSBURG</t>
  </si>
  <si>
    <t>WEISER</t>
  </si>
  <si>
    <t>ROYAL PALM BEACH</t>
  </si>
  <si>
    <t>CITY OF INDUSTRY</t>
  </si>
  <si>
    <t>ROCKLIN</t>
  </si>
  <si>
    <t>ONTARIO</t>
  </si>
  <si>
    <t>BRYAN</t>
  </si>
  <si>
    <t>EUPORA</t>
  </si>
  <si>
    <t>PETALUMA</t>
  </si>
  <si>
    <t>KEOSAUQUA</t>
  </si>
  <si>
    <t>BAD AXE</t>
  </si>
  <si>
    <t>MENIFEE</t>
  </si>
  <si>
    <t>SAN LUIS OBISPO</t>
  </si>
  <si>
    <t>ARCADE</t>
  </si>
  <si>
    <t>INDUSTRY</t>
  </si>
  <si>
    <t>MOUNT VERNON</t>
  </si>
  <si>
    <t>MATHER</t>
  </si>
  <si>
    <t>MODESTO</t>
  </si>
  <si>
    <t>Landscaping</t>
  </si>
  <si>
    <t>MORENO VALLEY</t>
  </si>
  <si>
    <t>CAHOKIA</t>
  </si>
  <si>
    <t>FORT LAUDERDALE</t>
  </si>
  <si>
    <t>TOLEDO</t>
  </si>
  <si>
    <t>WALDEN</t>
  </si>
  <si>
    <t>IOLA</t>
  </si>
  <si>
    <t>MONROE</t>
  </si>
  <si>
    <t>PALM CITY</t>
  </si>
  <si>
    <t>JOHNSTOWN</t>
  </si>
  <si>
    <t>TINTON FALLS</t>
  </si>
  <si>
    <t>BROOKLYN</t>
  </si>
  <si>
    <t>DENTON</t>
  </si>
  <si>
    <t>MOUNDRIDGE</t>
  </si>
  <si>
    <t>GOLDEN</t>
  </si>
  <si>
    <t>GOSHEN</t>
  </si>
  <si>
    <t>AURORA</t>
  </si>
  <si>
    <t>OMAHA</t>
  </si>
  <si>
    <t>SURPRISE</t>
  </si>
  <si>
    <t>NORTHVALE</t>
  </si>
  <si>
    <t>CLEARLAKE</t>
  </si>
  <si>
    <t>EVERETT</t>
  </si>
  <si>
    <t>CHURCHVILLE</t>
  </si>
  <si>
    <t>FLORISSANT</t>
  </si>
  <si>
    <t>MENA</t>
  </si>
  <si>
    <t>WARREN</t>
  </si>
  <si>
    <t>WINTER PARK</t>
  </si>
  <si>
    <t>Data Automation</t>
  </si>
  <si>
    <t>Example 1: Separate with Fix Width</t>
  </si>
  <si>
    <t>Text to Column Fix Width</t>
  </si>
  <si>
    <t>Code</t>
  </si>
  <si>
    <t>Text to Column Delimited</t>
  </si>
  <si>
    <t>Text to Column with Multiple Delimiter</t>
  </si>
  <si>
    <t>Text to Column Fixing Date Pain</t>
  </si>
  <si>
    <t>Example 2: Separate with "-"</t>
  </si>
  <si>
    <t>Example 3: Separate with Multiple "-"</t>
  </si>
  <si>
    <t>Example 4: Fixing Date Pain</t>
  </si>
  <si>
    <t>DMY</t>
  </si>
  <si>
    <t>Right way to write dates</t>
  </si>
  <si>
    <t>MDY</t>
  </si>
  <si>
    <t>Join Text via Concatenate Function</t>
  </si>
  <si>
    <t>Concatenate (Joining Text)</t>
  </si>
  <si>
    <t>Join</t>
  </si>
  <si>
    <t>PK01</t>
  </si>
  <si>
    <t>Khi02</t>
  </si>
  <si>
    <t>PK02</t>
  </si>
  <si>
    <t>Lhr03</t>
  </si>
  <si>
    <t>PK05</t>
  </si>
  <si>
    <t>Isl01</t>
  </si>
  <si>
    <t>Khi04</t>
  </si>
  <si>
    <t>Isl06</t>
  </si>
  <si>
    <t>Join Text via "&amp;"</t>
  </si>
  <si>
    <t>Join Text via TextJoin Function</t>
  </si>
  <si>
    <t>First Name</t>
  </si>
  <si>
    <t>Last Name</t>
  </si>
  <si>
    <t>TextJoin</t>
  </si>
  <si>
    <t>Abdullah</t>
  </si>
  <si>
    <t>Hashmi</t>
  </si>
  <si>
    <t>Zahra</t>
  </si>
  <si>
    <t>Salman</t>
  </si>
  <si>
    <t>Nathani</t>
  </si>
  <si>
    <t>Flash Fill - Example 1</t>
  </si>
  <si>
    <t>Flash Fill - Example 2</t>
  </si>
  <si>
    <t>Flash Fill</t>
  </si>
  <si>
    <t>Full Name</t>
  </si>
  <si>
    <t>First</t>
  </si>
  <si>
    <t>Last</t>
  </si>
  <si>
    <t>Last, First</t>
  </si>
  <si>
    <t>CodeCity</t>
  </si>
  <si>
    <t>Jahangir Sachwani</t>
  </si>
  <si>
    <t>382393KHI</t>
  </si>
  <si>
    <t>Abdullah Sachwani</t>
  </si>
  <si>
    <t>83948ISD</t>
  </si>
  <si>
    <t>Haseeb Hashmi</t>
  </si>
  <si>
    <t>2928LHR</t>
  </si>
  <si>
    <t>Zahra Salman</t>
  </si>
  <si>
    <t>2893238Karachi</t>
  </si>
  <si>
    <t>Salman Nathani</t>
  </si>
  <si>
    <t>282Lahore</t>
  </si>
  <si>
    <t>829429Islamabad</t>
  </si>
  <si>
    <t>Department</t>
  </si>
  <si>
    <t>Employee Name</t>
  </si>
  <si>
    <t>Building</t>
  </si>
  <si>
    <t>Status</t>
  </si>
  <si>
    <t>Hire Date</t>
  </si>
  <si>
    <t>Benefits</t>
  </si>
  <si>
    <t>Salary</t>
  </si>
  <si>
    <t>Job Rating</t>
  </si>
  <si>
    <t>ADC</t>
  </si>
  <si>
    <t>Anderson, Teason</t>
  </si>
  <si>
    <t>Taft</t>
  </si>
  <si>
    <t>Contract</t>
  </si>
  <si>
    <t>Filling Empty Cells</t>
  </si>
  <si>
    <t>Bailey, Victor</t>
  </si>
  <si>
    <t>Bishop, Juan</t>
  </si>
  <si>
    <t>Half-Time</t>
  </si>
  <si>
    <t>DMR</t>
  </si>
  <si>
    <t>Carr, Susan</t>
  </si>
  <si>
    <t>R</t>
  </si>
  <si>
    <t>Hardy, Svetlana</t>
  </si>
  <si>
    <t>DM</t>
  </si>
  <si>
    <t>Admin Training</t>
  </si>
  <si>
    <t>Day, David</t>
  </si>
  <si>
    <t>Diaz, David</t>
  </si>
  <si>
    <t>Full Time</t>
  </si>
  <si>
    <t>Frost, Adam</t>
  </si>
  <si>
    <t>Main</t>
  </si>
  <si>
    <t>Hood, Renee</t>
  </si>
  <si>
    <t>Hoover, Evangeline</t>
  </si>
  <si>
    <t>Malone, Daniel</t>
  </si>
  <si>
    <t>McGee, Carol</t>
  </si>
  <si>
    <t>Moss, Chan</t>
  </si>
  <si>
    <t>Hourly</t>
  </si>
  <si>
    <t>Noble, Michael</t>
  </si>
  <si>
    <t>M</t>
  </si>
  <si>
    <t>Randall, Yvonne</t>
  </si>
  <si>
    <t>Rodriguez, Scott</t>
  </si>
  <si>
    <t>Roy, Margarita</t>
  </si>
  <si>
    <t>Stevens, Andrew</t>
  </si>
  <si>
    <t>Sullivan, Robert</t>
  </si>
  <si>
    <t>D</t>
  </si>
  <si>
    <t>Vega, Alexandra</t>
  </si>
  <si>
    <t>Wilkerson, Claudia</t>
  </si>
  <si>
    <t>Wolf, Debbie</t>
  </si>
  <si>
    <t>Audit Services</t>
  </si>
  <si>
    <t>Baxter, Teresa</t>
  </si>
  <si>
    <t>Combs, Rick</t>
  </si>
  <si>
    <t>Kerr, Mihaela</t>
  </si>
  <si>
    <t>Oconnor, Kent</t>
  </si>
  <si>
    <t>Petersen, Timothy</t>
  </si>
  <si>
    <t>Sweeney, Barbara</t>
  </si>
  <si>
    <t>Tate, Zachary</t>
  </si>
  <si>
    <t>Taylor, Hector</t>
  </si>
  <si>
    <t>Webster, David</t>
  </si>
  <si>
    <t>Zimmerman, Julian</t>
  </si>
  <si>
    <t>Compliance</t>
  </si>
  <si>
    <t>Banks, Ryan</t>
  </si>
  <si>
    <t>Chang, Gabriel</t>
  </si>
  <si>
    <t>Park, Timothy</t>
  </si>
  <si>
    <t>Serrano, Al</t>
  </si>
  <si>
    <t>Engineering/Maintenance</t>
  </si>
  <si>
    <t>Abbott, James</t>
  </si>
  <si>
    <t>Alvarez, Steven</t>
  </si>
  <si>
    <t>Bennett, Chris</t>
  </si>
  <si>
    <t>Berry, Jacklyn</t>
  </si>
  <si>
    <t>Blackburn, Kathryn</t>
  </si>
  <si>
    <t>Booker, Judith</t>
  </si>
  <si>
    <t>Boyd, Debra</t>
  </si>
  <si>
    <t>Branch, Brady</t>
  </si>
  <si>
    <t>Castro, Christopher</t>
  </si>
  <si>
    <t>Clarke, Dennis</t>
  </si>
  <si>
    <t>Contreras, Dean</t>
  </si>
  <si>
    <t>Cooper, Lisa</t>
  </si>
  <si>
    <t>Copeland, Roger</t>
  </si>
  <si>
    <t>Craig, Alan</t>
  </si>
  <si>
    <t>Daniel, Robert</t>
  </si>
  <si>
    <t>Dyer, Carrie</t>
  </si>
  <si>
    <t>Watson</t>
  </si>
  <si>
    <t>Ellison, Melyssa</t>
  </si>
  <si>
    <t>Fischer, David</t>
  </si>
  <si>
    <t>Fleming, Irv</t>
  </si>
  <si>
    <t>Foster, Blane</t>
  </si>
  <si>
    <t>Francis, Todd</t>
  </si>
  <si>
    <t>Gallegos, Rick</t>
  </si>
  <si>
    <t>Golden, Christine</t>
  </si>
  <si>
    <t>Greene, Alexander</t>
  </si>
  <si>
    <t>Harrell, Cristin</t>
  </si>
  <si>
    <t>Hart, Richard</t>
  </si>
  <si>
    <t>Johnston, Daniel</t>
  </si>
  <si>
    <t>Jordan, Mark</t>
  </si>
  <si>
    <t>Joseph, Christopher</t>
  </si>
  <si>
    <t>Kent, Angus</t>
  </si>
  <si>
    <t>Leblanc, Jenny</t>
  </si>
  <si>
    <t>Leonard, Paul</t>
  </si>
  <si>
    <t>McCall, Keith</t>
  </si>
  <si>
    <t>McDonald, Debra</t>
  </si>
  <si>
    <t>McGuire, Rebecca</t>
  </si>
  <si>
    <t>Montoya, Lisa</t>
  </si>
  <si>
    <t>Morrow, Richard</t>
  </si>
  <si>
    <t>Norris, Tamara</t>
  </si>
  <si>
    <t>Norton, Bruce</t>
  </si>
  <si>
    <t>Padilla, Christopher</t>
  </si>
  <si>
    <t>Palmer, Terry</t>
  </si>
  <si>
    <t>Parker, Carl</t>
  </si>
  <si>
    <t>Payne, Vicky</t>
  </si>
  <si>
    <t>Pope, Duane</t>
  </si>
  <si>
    <t>Pratt, Erik</t>
  </si>
  <si>
    <t>Richards, Richard</t>
  </si>
  <si>
    <t>Rodriquez, Denise</t>
  </si>
  <si>
    <t>Rojas, Charles</t>
  </si>
  <si>
    <t>Ryan, Ryan</t>
  </si>
  <si>
    <t>Silva, Stephen</t>
  </si>
  <si>
    <t>Skinner, Jason</t>
  </si>
  <si>
    <t>Villarreal, Stephen</t>
  </si>
  <si>
    <t>Vincent, Guy</t>
  </si>
  <si>
    <t>Ward, Williams</t>
  </si>
  <si>
    <t>Weiss, Marisa</t>
  </si>
  <si>
    <t>Wheeler, Meegan</t>
  </si>
  <si>
    <t>Wiley, Gustavo</t>
  </si>
  <si>
    <t>Wilkins, Jesse</t>
  </si>
  <si>
    <t>William, William</t>
  </si>
  <si>
    <t>Engineering/Operations</t>
  </si>
  <si>
    <t>Barron, Michael</t>
  </si>
  <si>
    <t>Black, Cliff</t>
  </si>
  <si>
    <t>Dodson, David</t>
  </si>
  <si>
    <t>Garrett, Christopher</t>
  </si>
  <si>
    <t>McKee, Michelle</t>
  </si>
  <si>
    <t>Morse, Michael</t>
  </si>
  <si>
    <t>Owen, Robert</t>
  </si>
  <si>
    <t>Roman, Teri</t>
  </si>
  <si>
    <t>Environmental Health/Safety</t>
  </si>
  <si>
    <t>Chase, Troy</t>
  </si>
  <si>
    <t>Daniels, Janet</t>
  </si>
  <si>
    <t>Dunn, Matthew</t>
  </si>
  <si>
    <t>Fuller, Brenda</t>
  </si>
  <si>
    <t>Haynes, Ernest</t>
  </si>
  <si>
    <t>Hutchinson, Robin</t>
  </si>
  <si>
    <t>Perry, Christopher</t>
  </si>
  <si>
    <t>Pierce, Karen</t>
  </si>
  <si>
    <t>Ramirez, Keith</t>
  </si>
  <si>
    <t>Executive Education</t>
  </si>
  <si>
    <t>Barber, Robbie</t>
  </si>
  <si>
    <t>Boyer, John</t>
  </si>
  <si>
    <t>Bridges, Jeff</t>
  </si>
  <si>
    <t>Davis, Tonya</t>
  </si>
  <si>
    <t>Ferguson, John</t>
  </si>
  <si>
    <t>Gaines, Sheela</t>
  </si>
  <si>
    <t>Hamilton, Theo</t>
  </si>
  <si>
    <t>Herring, Joanna</t>
  </si>
  <si>
    <t>Howard, Lisa</t>
  </si>
  <si>
    <t>Humphrey, Andrew</t>
  </si>
  <si>
    <t>Keller, Jason</t>
  </si>
  <si>
    <t>McKenzie, Michelle</t>
  </si>
  <si>
    <t>Meyers, David</t>
  </si>
  <si>
    <t>Nash, Mark</t>
  </si>
  <si>
    <t>Pace, Joseph</t>
  </si>
  <si>
    <t>Perkins, Donald</t>
  </si>
  <si>
    <t>Rivers, Douglas</t>
  </si>
  <si>
    <t>Torres, Bruce</t>
  </si>
  <si>
    <t>Townsend, Jerry</t>
  </si>
  <si>
    <t>International Clinical Safety</t>
  </si>
  <si>
    <t>Callahan, Marilyn</t>
  </si>
  <si>
    <t>Carrillo, Robert</t>
  </si>
  <si>
    <t>Moses, Mark</t>
  </si>
  <si>
    <t>Shelton, Donna</t>
  </si>
  <si>
    <t>Simon, Sheila</t>
  </si>
  <si>
    <t>Logistics</t>
  </si>
  <si>
    <t>Baker, Barney</t>
  </si>
  <si>
    <t>Bowen, Kes</t>
  </si>
  <si>
    <t>Bradley, David</t>
  </si>
  <si>
    <t>Brady, Traci</t>
  </si>
  <si>
    <t>Caldwell, Pete</t>
  </si>
  <si>
    <t>Cline, Rebecca</t>
  </si>
  <si>
    <t>Conley, Mark</t>
  </si>
  <si>
    <t>Conner, Mark</t>
  </si>
  <si>
    <t>Cross, Marc</t>
  </si>
  <si>
    <t>Dawson, Jonathan</t>
  </si>
  <si>
    <t>Fields, Cathy</t>
  </si>
  <si>
    <t>Fisher, Maria</t>
  </si>
  <si>
    <t>Fitzgerald, George</t>
  </si>
  <si>
    <t>Garcia, Karen</t>
  </si>
  <si>
    <t>Hammond, Robert</t>
  </si>
  <si>
    <t>Jenkins, Scott</t>
  </si>
  <si>
    <t>Kemp, Holly</t>
  </si>
  <si>
    <t>Lester, Sherri</t>
  </si>
  <si>
    <t>May, Steve</t>
  </si>
  <si>
    <t>McCarthy, Ryan</t>
  </si>
  <si>
    <t>Mendez, Max</t>
  </si>
  <si>
    <t>Mitchell, Shannon</t>
  </si>
  <si>
    <t>Morgan, Patricia</t>
  </si>
  <si>
    <t>Morrison, Julie</t>
  </si>
  <si>
    <t>Nichols, Nathaniel</t>
  </si>
  <si>
    <t>Ortega, Jeffrey</t>
  </si>
  <si>
    <t>Owens, Dwight</t>
  </si>
  <si>
    <t>Phillips, Liesl</t>
  </si>
  <si>
    <t>Poole, Tracy</t>
  </si>
  <si>
    <t>Roberts, Jackie</t>
  </si>
  <si>
    <t>Sanchez, Greg</t>
  </si>
  <si>
    <t>Sims, Don</t>
  </si>
  <si>
    <t>Snow, Desiree</t>
  </si>
  <si>
    <t>Solomon, Michael</t>
  </si>
  <si>
    <t>Spears, Melanie</t>
  </si>
  <si>
    <t>Stanley, Eric</t>
  </si>
  <si>
    <t>Thompson, John</t>
  </si>
  <si>
    <t>Vaughn, Harlon</t>
  </si>
  <si>
    <t>Major Mfg Projects</t>
  </si>
  <si>
    <t>Christensen, Jill</t>
  </si>
  <si>
    <t>Drake, Kyle</t>
  </si>
  <si>
    <t>Gallagher, Johnson</t>
  </si>
  <si>
    <t>Gardner, Anthony</t>
  </si>
  <si>
    <t>Hancock, Allen</t>
  </si>
  <si>
    <t>Hill, Robin</t>
  </si>
  <si>
    <t>Mack, Barry</t>
  </si>
  <si>
    <t>Neal, Sally</t>
  </si>
  <si>
    <t>Manufacturing</t>
  </si>
  <si>
    <t>Adkins, Michael</t>
  </si>
  <si>
    <t>Aguilar, Kevin</t>
  </si>
  <si>
    <t>Alvarado, Sonia</t>
  </si>
  <si>
    <t>Anthony, Robert</t>
  </si>
  <si>
    <t>Arnold, Cole</t>
  </si>
  <si>
    <t>Avila, Jody</t>
  </si>
  <si>
    <t>Barnes, Grant</t>
  </si>
  <si>
    <t>Barrett, John</t>
  </si>
  <si>
    <t>Bartlett, Julia</t>
  </si>
  <si>
    <t>Bauer, Chris</t>
  </si>
  <si>
    <t>Beasley, Timothy</t>
  </si>
  <si>
    <t>Benson, Troy</t>
  </si>
  <si>
    <t>Blair, Sperry</t>
  </si>
  <si>
    <t>Blake, Thomas</t>
  </si>
  <si>
    <t>Bradshaw, Sheryl</t>
  </si>
  <si>
    <t>Brewer, Khurrum</t>
  </si>
  <si>
    <t>Brooks, Richard</t>
  </si>
  <si>
    <t>Browning, Kathleen</t>
  </si>
  <si>
    <t>Bruce, Kevin</t>
  </si>
  <si>
    <t>Butler, Roy</t>
  </si>
  <si>
    <t>Cain, Lon</t>
  </si>
  <si>
    <t>Calhoun, Dac Vinh</t>
  </si>
  <si>
    <t>Camacho, Stephanie</t>
  </si>
  <si>
    <t>Cameron, John</t>
  </si>
  <si>
    <t>Campos, Richard</t>
  </si>
  <si>
    <t>Carson, Anthony</t>
  </si>
  <si>
    <t>Chambers, Richard</t>
  </si>
  <si>
    <t>Cochran, Andrea</t>
  </si>
  <si>
    <t>Cole, Elbert</t>
  </si>
  <si>
    <t>Collins, Michael</t>
  </si>
  <si>
    <t>Dalton, Carol</t>
  </si>
  <si>
    <t>Davidson, Jaime</t>
  </si>
  <si>
    <t>Dean, Gayla</t>
  </si>
  <si>
    <t>Decker, Amy</t>
  </si>
  <si>
    <t>Dennis, Paul</t>
  </si>
  <si>
    <t>Dudley, James</t>
  </si>
  <si>
    <t>Eaton, Cris</t>
  </si>
  <si>
    <t>Elliott, Anthony</t>
  </si>
  <si>
    <t>English, David</t>
  </si>
  <si>
    <t>Farrell, Laura</t>
  </si>
  <si>
    <t>Figueroa, Leonard</t>
  </si>
  <si>
    <t>Flores, Angela</t>
  </si>
  <si>
    <t>Flowers, Kathleen</t>
  </si>
  <si>
    <t>Floyd, Eric</t>
  </si>
  <si>
    <t>Ford, Matt</t>
  </si>
  <si>
    <t>Fowler, John</t>
  </si>
  <si>
    <t>Franklin, Alicia</t>
  </si>
  <si>
    <t>Frazier, Chris</t>
  </si>
  <si>
    <t>Garner, Terry</t>
  </si>
  <si>
    <t>Garza, Anthony</t>
  </si>
  <si>
    <t>George, Jessica</t>
  </si>
  <si>
    <t>Glover, Eugene</t>
  </si>
  <si>
    <t>Gonzalez, David</t>
  </si>
  <si>
    <t>Goodman, Kuyler</t>
  </si>
  <si>
    <t>Graham, David</t>
  </si>
  <si>
    <t>Graves, Michael</t>
  </si>
  <si>
    <t>Gregory, Jon</t>
  </si>
  <si>
    <t>Gross, Davin</t>
  </si>
  <si>
    <t>Guzman, Don</t>
  </si>
  <si>
    <t>Hanson, Dennis</t>
  </si>
  <si>
    <t>Hartman, Michael</t>
  </si>
  <si>
    <t>Hawkins, Douglas</t>
  </si>
  <si>
    <t>Henson, Debra</t>
  </si>
  <si>
    <t>Herman, Henrietta</t>
  </si>
  <si>
    <t>Hess, Brian</t>
  </si>
  <si>
    <t>Hines, Herb</t>
  </si>
  <si>
    <t>Hobbs, Scott</t>
  </si>
  <si>
    <t>Hodge, Craig</t>
  </si>
  <si>
    <t>Holt, Robert</t>
  </si>
  <si>
    <t>Hopkins, Lisa</t>
  </si>
  <si>
    <t>Horn, George</t>
  </si>
  <si>
    <t>Houston, Mark</t>
  </si>
  <si>
    <t>Ingram, Matt</t>
  </si>
  <si>
    <t>Jones, John</t>
  </si>
  <si>
    <t>Kelley, Nancy</t>
  </si>
  <si>
    <t>Kennedy, Kimberly</t>
  </si>
  <si>
    <t>Knox, Lori</t>
  </si>
  <si>
    <t>Landry, Linda</t>
  </si>
  <si>
    <t>Lane, Brandyn</t>
  </si>
  <si>
    <t>Lawrence, Ronald</t>
  </si>
  <si>
    <t>Lawson, Erin</t>
  </si>
  <si>
    <t>Little, Steve</t>
  </si>
  <si>
    <t>Long, Gary</t>
  </si>
  <si>
    <t>Love, Danny</t>
  </si>
  <si>
    <t>Lucas, John</t>
  </si>
  <si>
    <t>Manning, John</t>
  </si>
  <si>
    <t>Mathews, Marcia</t>
  </si>
  <si>
    <t>Maynard, Susan</t>
  </si>
  <si>
    <t>McClure, Gary</t>
  </si>
  <si>
    <t>McCormick, Hsi</t>
  </si>
  <si>
    <t>McCullough, Scott</t>
  </si>
  <si>
    <t>Miller, Jessica</t>
  </si>
  <si>
    <t>Molina, Michael</t>
  </si>
  <si>
    <t>Montgomery, Christopher</t>
  </si>
  <si>
    <t>Moreno, Christopher</t>
  </si>
  <si>
    <t>Murphy, Jeff</t>
  </si>
  <si>
    <t>Myers, Marc</t>
  </si>
  <si>
    <t>Nguyen, Dennis</t>
  </si>
  <si>
    <t>Nicholson, Lee</t>
  </si>
  <si>
    <t>Norman, Rita</t>
  </si>
  <si>
    <t>Olson, Melanie</t>
  </si>
  <si>
    <t>Orr, Jennifer</t>
  </si>
  <si>
    <t>Osborne, Bill</t>
  </si>
  <si>
    <t>Patton, Corey</t>
  </si>
  <si>
    <t>Paul, Michael</t>
  </si>
  <si>
    <t>Phelps, Gretchen</t>
  </si>
  <si>
    <t>Pitts, Dana</t>
  </si>
  <si>
    <t>Preston, Chris</t>
  </si>
  <si>
    <t>Reyes, Mary</t>
  </si>
  <si>
    <t>Reynolds, Barbara</t>
  </si>
  <si>
    <t>Richard, Karen</t>
  </si>
  <si>
    <t>Rios, Fredrick</t>
  </si>
  <si>
    <t>Rivera, Timothy</t>
  </si>
  <si>
    <t>Roberson, Eileen</t>
  </si>
  <si>
    <t>Robles, Charles</t>
  </si>
  <si>
    <t>Rodgers, Daniel</t>
  </si>
  <si>
    <t>Romero, Randy</t>
  </si>
  <si>
    <t>Rowe, Ken</t>
  </si>
  <si>
    <t>Rush, Lateef</t>
  </si>
  <si>
    <t>Russell, Mark</t>
  </si>
  <si>
    <t>Santos, Garret</t>
  </si>
  <si>
    <t>Saunders, Corey</t>
  </si>
  <si>
    <t>Scott, Todd</t>
  </si>
  <si>
    <t>Sellers, William</t>
  </si>
  <si>
    <t>Sexton, John</t>
  </si>
  <si>
    <t>Sheppard, Curtis</t>
  </si>
  <si>
    <t>Small, Athanasios</t>
  </si>
  <si>
    <t>Stewart, Elizabeth</t>
  </si>
  <si>
    <t>Strickland, Rajean</t>
  </si>
  <si>
    <t>Tanner, Timothy</t>
  </si>
  <si>
    <t>Todd, Steven</t>
  </si>
  <si>
    <t>Tran, Chad</t>
  </si>
  <si>
    <t>Trevino, Gary</t>
  </si>
  <si>
    <t>Tucker, James</t>
  </si>
  <si>
    <t>Tyler, Javier</t>
  </si>
  <si>
    <t>Vargas, Bryant</t>
  </si>
  <si>
    <t>Vasquez, Michael</t>
  </si>
  <si>
    <t>Wall, John</t>
  </si>
  <si>
    <t>Wallace, Timothy</t>
  </si>
  <si>
    <t>Walter, Michael</t>
  </si>
  <si>
    <t>Washington, Phillip</t>
  </si>
  <si>
    <t>Watts, Curtis</t>
  </si>
  <si>
    <t>Weaver, Eric</t>
  </si>
  <si>
    <t>Webb, Jim</t>
  </si>
  <si>
    <t>Welch, Michael</t>
  </si>
  <si>
    <t>West, Jeffrey</t>
  </si>
  <si>
    <t>White, Daniel</t>
  </si>
  <si>
    <t>Williams, Scott</t>
  </si>
  <si>
    <t>Wood, Larry</t>
  </si>
  <si>
    <t>Woodward, Timothy</t>
  </si>
  <si>
    <t>Yates, Doug</t>
  </si>
  <si>
    <t>Manufacturing Admin</t>
  </si>
  <si>
    <t>Grimes, Jeffrey</t>
  </si>
  <si>
    <t>Hardin, Gregory</t>
  </si>
  <si>
    <t>Huff, Erik</t>
  </si>
  <si>
    <t>Livingston, Lynette</t>
  </si>
  <si>
    <t>Pacheco, Therese</t>
  </si>
  <si>
    <t>Porter, Rachel</t>
  </si>
  <si>
    <t>Reeves, Greg</t>
  </si>
  <si>
    <t>Operations</t>
  </si>
  <si>
    <t>Andrews, Diane</t>
  </si>
  <si>
    <t>Ball, Kirk</t>
  </si>
  <si>
    <t>Ballard, Martin</t>
  </si>
  <si>
    <t>Bean, Deborah</t>
  </si>
  <si>
    <t>Buchanan, Dennis</t>
  </si>
  <si>
    <t>Bush, Rena</t>
  </si>
  <si>
    <t>Coleman, Roque</t>
  </si>
  <si>
    <t>Collier, Dean</t>
  </si>
  <si>
    <t>Dorsey, Matthew</t>
  </si>
  <si>
    <t>Douglas, Kenneth</t>
  </si>
  <si>
    <t>Ellis, Brenda</t>
  </si>
  <si>
    <t>Estes, Mary</t>
  </si>
  <si>
    <t>French, Robert</t>
  </si>
  <si>
    <t>Gordon, Diane</t>
  </si>
  <si>
    <t>Harvey, Michael</t>
  </si>
  <si>
    <t>Hernandez, Glenn</t>
  </si>
  <si>
    <t>Holland, Donald</t>
  </si>
  <si>
    <t>Horton, Cleatis</t>
  </si>
  <si>
    <t>Howell, Douglas</t>
  </si>
  <si>
    <t>Kelly, Icelita</t>
  </si>
  <si>
    <t>Kim, Deborah</t>
  </si>
  <si>
    <t>Kirby, Michael</t>
  </si>
  <si>
    <t>Lamb, John</t>
  </si>
  <si>
    <t>Lee, Charles</t>
  </si>
  <si>
    <t>Lowe, Michelle</t>
  </si>
  <si>
    <t>Marquez, Thomas</t>
  </si>
  <si>
    <t>Marsh, Cynthia</t>
  </si>
  <si>
    <t>Matthews, Diane</t>
  </si>
  <si>
    <t>McCoy, Preston</t>
  </si>
  <si>
    <t>McKinney, Christofer</t>
  </si>
  <si>
    <t>Mercado, David</t>
  </si>
  <si>
    <t>Middleton, Jen</t>
  </si>
  <si>
    <t>Morales, Linda</t>
  </si>
  <si>
    <t>Munoz, Michael</t>
  </si>
  <si>
    <t>Parrish, Debra</t>
  </si>
  <si>
    <t>Potter, Dawn</t>
  </si>
  <si>
    <t>Rich, Brent</t>
  </si>
  <si>
    <t>Rogers, Colleen</t>
  </si>
  <si>
    <t>Ross, Janice</t>
  </si>
  <si>
    <t>Roth, Tony</t>
  </si>
  <si>
    <t>Savage, John</t>
  </si>
  <si>
    <t>Schroeder, Bennet</t>
  </si>
  <si>
    <t>Sharp, Janine</t>
  </si>
  <si>
    <t>Soto, Christopher</t>
  </si>
  <si>
    <t>Stephenson, Matthew</t>
  </si>
  <si>
    <t>Stone, Brian</t>
  </si>
  <si>
    <t>Trujillo, Shawn</t>
  </si>
  <si>
    <t>Valdez, Ann</t>
  </si>
  <si>
    <t>Wells, Carlos</t>
  </si>
  <si>
    <t>Wiggins, Frank</t>
  </si>
  <si>
    <t>Wilson, Jessica</t>
  </si>
  <si>
    <t>Peptide Chemistry</t>
  </si>
  <si>
    <t>Barton, Barry</t>
  </si>
  <si>
    <t>Carroll, Lesa</t>
  </si>
  <si>
    <t>Chapman, Jessica</t>
  </si>
  <si>
    <t>Cobb, Nicole</t>
  </si>
  <si>
    <t>Cummings, Jose</t>
  </si>
  <si>
    <t>Garrison, Christopher</t>
  </si>
  <si>
    <t>Green, Kim</t>
  </si>
  <si>
    <t>Guerrero, Laura</t>
  </si>
  <si>
    <t>Gutierrez, Regina</t>
  </si>
  <si>
    <t>Holloway, Christopher</t>
  </si>
  <si>
    <t>Lara, Mark</t>
  </si>
  <si>
    <t>Lopez, Stephen</t>
  </si>
  <si>
    <t>Maldonado, Robert</t>
  </si>
  <si>
    <t>McClain, Steven</t>
  </si>
  <si>
    <t>Richardson, Deborah</t>
  </si>
  <si>
    <t>Smith, Koleen</t>
  </si>
  <si>
    <t>Summers, Harold</t>
  </si>
  <si>
    <t>Swanson, Vicki</t>
  </si>
  <si>
    <t>Wade, Kevin</t>
  </si>
  <si>
    <t>Walls, Brian</t>
  </si>
  <si>
    <t>Weber, Larry</t>
  </si>
  <si>
    <t>Pharmacokinetics</t>
  </si>
  <si>
    <t>Cortez, Jack</t>
  </si>
  <si>
    <t>Monroe, Justin</t>
  </si>
  <si>
    <t>Patrick, Wendy</t>
  </si>
  <si>
    <t>Winters, Shaun</t>
  </si>
  <si>
    <t>Process Development</t>
  </si>
  <si>
    <t>Allison, Timothy</t>
  </si>
  <si>
    <t>Bass, Justin</t>
  </si>
  <si>
    <t>Chen, Jaime</t>
  </si>
  <si>
    <t>Clayton, Gregory</t>
  </si>
  <si>
    <t>Colon, Donnie</t>
  </si>
  <si>
    <t>Cox, Stephanie</t>
  </si>
  <si>
    <t>Dixon, Richard</t>
  </si>
  <si>
    <t>Dominguez, Duane</t>
  </si>
  <si>
    <t>Durham, Troy</t>
  </si>
  <si>
    <t>Freeman, Dennis</t>
  </si>
  <si>
    <t>Glass, John</t>
  </si>
  <si>
    <t>Grant, Leonard</t>
  </si>
  <si>
    <t>Griffin, Debbi</t>
  </si>
  <si>
    <t>Harris, Brian</t>
  </si>
  <si>
    <t>Harrison, Jonathan</t>
  </si>
  <si>
    <t>Hatfield, Carl</t>
  </si>
  <si>
    <t>Heath, Deborah</t>
  </si>
  <si>
    <t>Hickman, John</t>
  </si>
  <si>
    <t>Higgins, Angela</t>
  </si>
  <si>
    <t>Hunt, Norman</t>
  </si>
  <si>
    <t>Jackson, Eric</t>
  </si>
  <si>
    <t>Johnson, Mary Jo</t>
  </si>
  <si>
    <t>Klein, Robert</t>
  </si>
  <si>
    <t>Martinez, Kathleen</t>
  </si>
  <si>
    <t>Massey, Mark</t>
  </si>
  <si>
    <t>McConnell, Justin</t>
  </si>
  <si>
    <t>Mosley, Michael</t>
  </si>
  <si>
    <t>Murray, Rebecca</t>
  </si>
  <si>
    <t>Navarro, Marc</t>
  </si>
  <si>
    <t>Newton, Leigh</t>
  </si>
  <si>
    <t>Nixon, Randy</t>
  </si>
  <si>
    <t>Pearson, Cassy</t>
  </si>
  <si>
    <t>Price, Diana</t>
  </si>
  <si>
    <t>Rice, Diane</t>
  </si>
  <si>
    <t>Robbins, Suzanne</t>
  </si>
  <si>
    <t>Robinson, John</t>
  </si>
  <si>
    <t>Rose, Mark</t>
  </si>
  <si>
    <t>Salinas, Jon</t>
  </si>
  <si>
    <t>Short, Timothy</t>
  </si>
  <si>
    <t>Sparks, Terri</t>
  </si>
  <si>
    <t>Stephens, Bonnie</t>
  </si>
  <si>
    <t>Stokes, Jonathan</t>
  </si>
  <si>
    <t>Underwood, Todd</t>
  </si>
  <si>
    <t>Wyatt, Kelly</t>
  </si>
  <si>
    <t>Professional Training Group</t>
  </si>
  <si>
    <t>Barr, Jennifer</t>
  </si>
  <si>
    <t>Beck, Craig</t>
  </si>
  <si>
    <t>Burton, Cam</t>
  </si>
  <si>
    <t>Foley, Peter</t>
  </si>
  <si>
    <t>Guerra, Karen</t>
  </si>
  <si>
    <t>Harding, Erin</t>
  </si>
  <si>
    <t>Harper, Cynthia</t>
  </si>
  <si>
    <t>Hubbard, Sandra</t>
  </si>
  <si>
    <t>Juarez, Neill</t>
  </si>
  <si>
    <t>Moore, Robert</t>
  </si>
  <si>
    <t>Pena, Erik</t>
  </si>
  <si>
    <t>Pruitt, Randy</t>
  </si>
  <si>
    <t>Salazar, Ruben</t>
  </si>
  <si>
    <t>Sherman, Karin</t>
  </si>
  <si>
    <t>Stevenson, Michael</t>
  </si>
  <si>
    <t>Watson, Christian</t>
  </si>
  <si>
    <t>Project &amp; Contract Services</t>
  </si>
  <si>
    <t>Acosta, Robert</t>
  </si>
  <si>
    <t>Alexander, Charles</t>
  </si>
  <si>
    <t>Allen, Thomas</t>
  </si>
  <si>
    <t>Atkins, Kevin</t>
  </si>
  <si>
    <t>Atkinson, Danielle</t>
  </si>
  <si>
    <t>Bell, David</t>
  </si>
  <si>
    <t>Blackwell, Brandon</t>
  </si>
  <si>
    <t>Bond, John</t>
  </si>
  <si>
    <t>Boone, Eric</t>
  </si>
  <si>
    <t>Bradford, Raymond</t>
  </si>
  <si>
    <t>Bryan, Thomas</t>
  </si>
  <si>
    <t>Burgess, Cherie</t>
  </si>
  <si>
    <t>Burke, Michael</t>
  </si>
  <si>
    <t>Burns, Fiona</t>
  </si>
  <si>
    <t>Campbell, Michael</t>
  </si>
  <si>
    <t>Carey, Andrea</t>
  </si>
  <si>
    <t>Chandler, Diane</t>
  </si>
  <si>
    <t>Conway, Brett</t>
  </si>
  <si>
    <t>Curry, Hunyen</t>
  </si>
  <si>
    <t>Davenport, Troy</t>
  </si>
  <si>
    <t>Deleon, Jaquelyn</t>
  </si>
  <si>
    <t>Delgado, Dale</t>
  </si>
  <si>
    <t>Dickerson, Lincoln</t>
  </si>
  <si>
    <t>Duncan, George</t>
  </si>
  <si>
    <t>Erickson, Ricky</t>
  </si>
  <si>
    <t>Evans, Rolin</t>
  </si>
  <si>
    <t>Farmer, Suzanne</t>
  </si>
  <si>
    <t>Fox, Ellen</t>
  </si>
  <si>
    <t>Frank, William</t>
  </si>
  <si>
    <t>Gates, Anne</t>
  </si>
  <si>
    <t>Gilbert, Shannon</t>
  </si>
  <si>
    <t>Giles, Kathleen</t>
  </si>
  <si>
    <t>Gill, Douglas</t>
  </si>
  <si>
    <t>Gilmore, Terry</t>
  </si>
  <si>
    <t>Gray, Mark</t>
  </si>
  <si>
    <t>Greer, Brian</t>
  </si>
  <si>
    <t>Hale, Deon</t>
  </si>
  <si>
    <t>Harmon, Paul</t>
  </si>
  <si>
    <t>Harrington, Aron</t>
  </si>
  <si>
    <t>Hodges, Lisa</t>
  </si>
  <si>
    <t>Hogan, Daniel</t>
  </si>
  <si>
    <t>Hudson, Lorna</t>
  </si>
  <si>
    <t>Hull, Jeanne</t>
  </si>
  <si>
    <t>Hunter, Lisa</t>
  </si>
  <si>
    <t>Jacobs, Florianne</t>
  </si>
  <si>
    <t>Jefferson, Elaine</t>
  </si>
  <si>
    <t>Keith, Thomas</t>
  </si>
  <si>
    <t>Lang, Dana</t>
  </si>
  <si>
    <t>Leach, Jingwen</t>
  </si>
  <si>
    <t>Lindsey, Deborah</t>
  </si>
  <si>
    <t>Lyons, Brian</t>
  </si>
  <si>
    <t>Mason, Suzanne</t>
  </si>
  <si>
    <t>Mathis, Shari</t>
  </si>
  <si>
    <t>Maxwell, Jill</t>
  </si>
  <si>
    <t>McBride, Grazyna</t>
  </si>
  <si>
    <t>McDaniel, Tamara</t>
  </si>
  <si>
    <t>McDowell, Scott</t>
  </si>
  <si>
    <t>McIntosh, Jeremy</t>
  </si>
  <si>
    <t>Melton, Scott</t>
  </si>
  <si>
    <t>Merritt, Kevin</t>
  </si>
  <si>
    <t>Meyer, Charles</t>
  </si>
  <si>
    <t>Morris, Richelle</t>
  </si>
  <si>
    <t>Nelson, Shira</t>
  </si>
  <si>
    <t>Obrien, Madelyn</t>
  </si>
  <si>
    <t>Parsons, Phillip</t>
  </si>
  <si>
    <t>Patterson, Robert</t>
  </si>
  <si>
    <t>Pennington, Gary</t>
  </si>
  <si>
    <t>Pittman, Bacardi</t>
  </si>
  <si>
    <t>Powers, Tia</t>
  </si>
  <si>
    <t>Pugh, Lawrence</t>
  </si>
  <si>
    <t>Ramsey, Nathaniel</t>
  </si>
  <si>
    <t>Rhodes, Brenda</t>
  </si>
  <si>
    <t>Riley, David</t>
  </si>
  <si>
    <t>Ruiz, Randall</t>
  </si>
  <si>
    <t>Sandoval, James</t>
  </si>
  <si>
    <t>Santiago, Michael</t>
  </si>
  <si>
    <t>Schultz, Norman</t>
  </si>
  <si>
    <t>Spencer, Boyd</t>
  </si>
  <si>
    <t>Strong, Lisa</t>
  </si>
  <si>
    <t>Terry, Karin</t>
  </si>
  <si>
    <t>Vazquez, Kenneth</t>
  </si>
  <si>
    <t>Warren, Jean</t>
  </si>
  <si>
    <t>Wilkinson, Gregory</t>
  </si>
  <si>
    <t>Wise, Ted</t>
  </si>
  <si>
    <t>Wolfe, Keith</t>
  </si>
  <si>
    <t>Wong, Dennis</t>
  </si>
  <si>
    <t>Woodard, Charles</t>
  </si>
  <si>
    <t>Young, Benjamin</t>
  </si>
  <si>
    <t>Quality Assurance</t>
  </si>
  <si>
    <t>Armstrong, David</t>
  </si>
  <si>
    <t>Austin, William</t>
  </si>
  <si>
    <t>Ayala, Polly</t>
  </si>
  <si>
    <t>Barnett, Brenda</t>
  </si>
  <si>
    <t>Beard, Sandi</t>
  </si>
  <si>
    <t>Best, Lara</t>
  </si>
  <si>
    <t>Blankenship, Roger</t>
  </si>
  <si>
    <t>Blevins, Carey</t>
  </si>
  <si>
    <t>Bowers, Tammy</t>
  </si>
  <si>
    <t>Brown, Donald</t>
  </si>
  <si>
    <t>Burnett, Kevin</t>
  </si>
  <si>
    <t>Carlson, Jeremy</t>
  </si>
  <si>
    <t>Carter, Allan</t>
  </si>
  <si>
    <t>Casey, Ronald</t>
  </si>
  <si>
    <t>Charles, Jeffrey</t>
  </si>
  <si>
    <t>Chavez, Thomas</t>
  </si>
  <si>
    <t>Clay, William</t>
  </si>
  <si>
    <t>Duran, Brian</t>
  </si>
  <si>
    <t>Espinoza, Derrell</t>
  </si>
  <si>
    <t>Everett, Dan</t>
  </si>
  <si>
    <t>Flynn, Melissa</t>
  </si>
  <si>
    <t>Gomez, Ed</t>
  </si>
  <si>
    <t>Gonzales, David</t>
  </si>
  <si>
    <t>Griffith, Michelle</t>
  </si>
  <si>
    <t>Henderson, Anthony</t>
  </si>
  <si>
    <t>Hensley, William</t>
  </si>
  <si>
    <t>Hicks, Monica</t>
  </si>
  <si>
    <t>Hoffman, Brian D</t>
  </si>
  <si>
    <t>Jennings, Gary</t>
  </si>
  <si>
    <t>Jimenez, Dominic</t>
  </si>
  <si>
    <t>Johns, Chad</t>
  </si>
  <si>
    <t>Kirk, Chris</t>
  </si>
  <si>
    <t>Knight, Denise</t>
  </si>
  <si>
    <t>Koch, Danielle</t>
  </si>
  <si>
    <t>Kramer, Faye</t>
  </si>
  <si>
    <t>Larson, David</t>
  </si>
  <si>
    <t>Leon, Emily</t>
  </si>
  <si>
    <t>Luna, Rodney</t>
  </si>
  <si>
    <t>Lynch, Scott</t>
  </si>
  <si>
    <t>Marshall, Anita</t>
  </si>
  <si>
    <t>McLean, Richard</t>
  </si>
  <si>
    <t>Medina, Warren</t>
  </si>
  <si>
    <t>Mendoza, Bobby</t>
  </si>
  <si>
    <t>Miles, Kenneth</t>
  </si>
  <si>
    <t>Mullins, Angela</t>
  </si>
  <si>
    <t>Olsen, Ewan</t>
  </si>
  <si>
    <t>Oneal, William</t>
  </si>
  <si>
    <t>Ortiz, Cynthia</t>
  </si>
  <si>
    <t>Page, Lisa</t>
  </si>
  <si>
    <t>Patel, Donald</t>
  </si>
  <si>
    <t>Prince, Robert</t>
  </si>
  <si>
    <t>Quinn, Cinnamon</t>
  </si>
  <si>
    <t>Ramos, Jan</t>
  </si>
  <si>
    <t>Ray, ReAnnon</t>
  </si>
  <si>
    <t>Reese, Marc</t>
  </si>
  <si>
    <t>Sanders, Troy</t>
  </si>
  <si>
    <t>Schmidt, Michael</t>
  </si>
  <si>
    <t>Schneider, Gay</t>
  </si>
  <si>
    <t>Schwartz, Joseph</t>
  </si>
  <si>
    <t>Shannon, Kevin</t>
  </si>
  <si>
    <t>Snyder, Duane</t>
  </si>
  <si>
    <t>Vance, Cheryl</t>
  </si>
  <si>
    <t>Velez, Letitia</t>
  </si>
  <si>
    <t>Walsh, Matthew</t>
  </si>
  <si>
    <t>Ware, David</t>
  </si>
  <si>
    <t>Warner, Stephen</t>
  </si>
  <si>
    <t>Waters, Alfred</t>
  </si>
  <si>
    <t>Whitaker, Jessica</t>
  </si>
  <si>
    <t>Whitehead, Carolyn</t>
  </si>
  <si>
    <t>Wilcox, Robert</t>
  </si>
  <si>
    <t>Willis, Ralph</t>
  </si>
  <si>
    <t>Wright, Brad</t>
  </si>
  <si>
    <t>York, Steven</t>
  </si>
  <si>
    <t>Quality Control</t>
  </si>
  <si>
    <t>Ayers, Douglas</t>
  </si>
  <si>
    <t>Baldwin, Ray</t>
  </si>
  <si>
    <t>Barker, Heidi</t>
  </si>
  <si>
    <t>Bates, Verna</t>
  </si>
  <si>
    <t>Becker, Gretchen</t>
  </si>
  <si>
    <t>Booth, Raquel</t>
  </si>
  <si>
    <t>Bowman, Michael</t>
  </si>
  <si>
    <t>Briggs, Bryan</t>
  </si>
  <si>
    <t>Brock, Ensley</t>
  </si>
  <si>
    <t>Bryant, Douglas</t>
  </si>
  <si>
    <t>Bullock, Greg</t>
  </si>
  <si>
    <t>Byrd, Asa</t>
  </si>
  <si>
    <t>Cannon, Jenny</t>
  </si>
  <si>
    <t>Carpenter, Ronald</t>
  </si>
  <si>
    <t>Castillo, Sheri</t>
  </si>
  <si>
    <t>Christian, Melissa</t>
  </si>
  <si>
    <t>Clark, William</t>
  </si>
  <si>
    <t>Cohen, Bruce</t>
  </si>
  <si>
    <t>Cook, Mark</t>
  </si>
  <si>
    <t>Crawford, Ronald</t>
  </si>
  <si>
    <t>Cruz, Janene</t>
  </si>
  <si>
    <t>Cunningham, Denise</t>
  </si>
  <si>
    <t>Doyle, Leslie</t>
  </si>
  <si>
    <t>Edwards, Phillip</t>
  </si>
  <si>
    <t>Estrada, Joan</t>
  </si>
  <si>
    <t>Fernandez, Marie</t>
  </si>
  <si>
    <t>Finley, James</t>
  </si>
  <si>
    <t>Fletcher, Brian</t>
  </si>
  <si>
    <t>Gentry, John</t>
  </si>
  <si>
    <t>Gibbs, Debra</t>
  </si>
  <si>
    <t>Gibson, Janet</t>
  </si>
  <si>
    <t>Glenn, Christopher</t>
  </si>
  <si>
    <t>Goodwin, April</t>
  </si>
  <si>
    <t>Hall, Jenny</t>
  </si>
  <si>
    <t>Hampton, Catherine</t>
  </si>
  <si>
    <t>Hansen, Andrew</t>
  </si>
  <si>
    <t>Henry, Craig</t>
  </si>
  <si>
    <t>Holmes, Tito</t>
  </si>
  <si>
    <t>House, Paul</t>
  </si>
  <si>
    <t>Huffman, Ignacio</t>
  </si>
  <si>
    <t>Hughes, Kevin</t>
  </si>
  <si>
    <t>Hurst, Thomas</t>
  </si>
  <si>
    <t>James, Lynn</t>
  </si>
  <si>
    <t>Jensen, Kristina</t>
  </si>
  <si>
    <t>King, Taslim</t>
  </si>
  <si>
    <t>Lambert, Jody</t>
  </si>
  <si>
    <t>Larsen, Lara</t>
  </si>
  <si>
    <t>Lewis, Frederick</t>
  </si>
  <si>
    <t>Lloyd, John</t>
  </si>
  <si>
    <t>Logan, Karen</t>
  </si>
  <si>
    <t>DR</t>
  </si>
  <si>
    <t>Lowery, Charles</t>
  </si>
  <si>
    <t>Mann, Lowell</t>
  </si>
  <si>
    <t>Marks, LaReina</t>
  </si>
  <si>
    <t>Martin, Terry</t>
  </si>
  <si>
    <t>McLaughlin, Edward</t>
  </si>
  <si>
    <t>Mills, Melissa</t>
  </si>
  <si>
    <t>Miranda, Elena</t>
  </si>
  <si>
    <t>Moody, Matthew</t>
  </si>
  <si>
    <t>Moran, Carol</t>
  </si>
  <si>
    <t>Morton, Brian</t>
  </si>
  <si>
    <t>Mueller, Philip</t>
  </si>
  <si>
    <t>Newman, Aria</t>
  </si>
  <si>
    <t>Nunez, Benning</t>
  </si>
  <si>
    <t>Oliver, Francisco</t>
  </si>
  <si>
    <t>Perez, Kim</t>
  </si>
  <si>
    <t>Peters, Robert</t>
  </si>
  <si>
    <t>Powell, Juli</t>
  </si>
  <si>
    <t>Randolph, Kristin</t>
  </si>
  <si>
    <t>Reid, Elizabeth</t>
  </si>
  <si>
    <t>Robertson, Nathan</t>
  </si>
  <si>
    <t>Sawyer, Catherine</t>
  </si>
  <si>
    <t>Shaffer, Nobuko</t>
  </si>
  <si>
    <t>Shaw, Pat</t>
  </si>
  <si>
    <t>Shepherd, Annie</t>
  </si>
  <si>
    <t>Shields, Robert</t>
  </si>
  <si>
    <t>Simmons, Robert</t>
  </si>
  <si>
    <t>Simpson, Jimmy</t>
  </si>
  <si>
    <t>Singleton, David</t>
  </si>
  <si>
    <t>Sloan, Cindy</t>
  </si>
  <si>
    <t>Solis, Daniel</t>
  </si>
  <si>
    <t>Stafford, Rhonda</t>
  </si>
  <si>
    <t>Sutton, Matthew</t>
  </si>
  <si>
    <t>Thomas, Shannon</t>
  </si>
  <si>
    <t>Thornton, Charles</t>
  </si>
  <si>
    <t>Turner, Ray</t>
  </si>
  <si>
    <t>Velasquez, Clint</t>
  </si>
  <si>
    <t>Wagner, Lynne</t>
  </si>
  <si>
    <t>Walker, Mike</t>
  </si>
  <si>
    <t>Walters, Ann</t>
  </si>
  <si>
    <t>Walton, Benjamin</t>
  </si>
  <si>
    <t>Watkins, Gary</t>
  </si>
  <si>
    <t>Weeks, Troy</t>
  </si>
  <si>
    <t>Williamson, Sumedha</t>
  </si>
  <si>
    <t>Woods, Marcus</t>
  </si>
  <si>
    <t>Research Center</t>
  </si>
  <si>
    <t>Adams, David</t>
  </si>
  <si>
    <t>Ashley, Michael</t>
  </si>
  <si>
    <t>Curtis, Patrick</t>
  </si>
  <si>
    <t>Peterson, Shaun</t>
  </si>
  <si>
    <t>Reed, Larry</t>
  </si>
  <si>
    <t>Research/Development</t>
  </si>
  <si>
    <t>Buckel, Patricia</t>
  </si>
  <si>
    <t>Hayes, Edward</t>
  </si>
  <si>
    <t>Herrera, Shawn</t>
  </si>
  <si>
    <t>Parks, Christopher</t>
  </si>
  <si>
    <t>Steele, Gerald</t>
  </si>
  <si>
    <t>Tuesday</t>
  </si>
  <si>
    <t>Wednesday</t>
  </si>
  <si>
    <t>Thursday</t>
  </si>
  <si>
    <t>Friday</t>
  </si>
  <si>
    <t>Saturday</t>
  </si>
  <si>
    <t>Sunday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</si>
  <si>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</si>
  <si>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</si>
  <si>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</si>
  <si>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</si>
  <si>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</si>
  <si>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</si>
  <si>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</si>
  <si>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</si>
  <si>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</si>
  <si>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</si>
  <si>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</si>
  <si>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Qtr 2</t>
  </si>
  <si>
    <t>Qtr 3</t>
  </si>
  <si>
    <t>Qtr 4</t>
  </si>
  <si>
    <t>Year 2020</t>
  </si>
  <si>
    <t>Year 2021</t>
  </si>
  <si>
    <t>Year 2022</t>
  </si>
  <si>
    <t>Year 2023</t>
  </si>
  <si>
    <t>Year 2024</t>
  </si>
  <si>
    <t>Year 2025</t>
  </si>
  <si>
    <t>Year 2026</t>
  </si>
  <si>
    <t>Year 2027</t>
  </si>
  <si>
    <t>Year 2028</t>
  </si>
  <si>
    <t>Year 2029</t>
  </si>
  <si>
    <t>Year 2030</t>
  </si>
  <si>
    <t xml:space="preserve"> </t>
  </si>
  <si>
    <t>PK</t>
  </si>
  <si>
    <t>01-Khi02</t>
  </si>
  <si>
    <t>02-Lhr03</t>
  </si>
  <si>
    <t>05-Isl01</t>
  </si>
  <si>
    <t>01-Khi04</t>
  </si>
  <si>
    <t>05-Isl06</t>
  </si>
  <si>
    <t>Khi</t>
  </si>
  <si>
    <t>P</t>
  </si>
  <si>
    <t>K02</t>
  </si>
  <si>
    <t>Kh</t>
  </si>
  <si>
    <t>i04</t>
  </si>
  <si>
    <t>Isl</t>
  </si>
  <si>
    <t>02</t>
  </si>
  <si>
    <t>06</t>
  </si>
  <si>
    <t>jahangir</t>
  </si>
  <si>
    <t>abdullah</t>
  </si>
  <si>
    <t>haseeb</t>
  </si>
  <si>
    <t>zahra</t>
  </si>
  <si>
    <t>salman</t>
  </si>
  <si>
    <t>sachwani</t>
  </si>
  <si>
    <t>hashmi</t>
  </si>
  <si>
    <t>nathani</t>
  </si>
  <si>
    <t>Sachwani, Jahangir</t>
  </si>
  <si>
    <t>Sachwani, Abdullah</t>
  </si>
  <si>
    <t>Hashmi, Haseeb</t>
  </si>
  <si>
    <t>Salman, Zahra</t>
  </si>
  <si>
    <t>Nathani, Salman</t>
  </si>
  <si>
    <t>KHI</t>
  </si>
  <si>
    <t>ISD</t>
  </si>
  <si>
    <t>LHR</t>
  </si>
  <si>
    <t>Karachi</t>
  </si>
  <si>
    <t>Lahore</t>
  </si>
  <si>
    <t>Islamabad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</si>
</sst>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-F800]dddd\,\ mmmm\ dd\,\ yyyy"/>
  </numFmts>
  <fonts count="36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color indexed="9"/>
      <name val="Times New Roman"/>
      <family val="1"/>
    </font>
    <font>
      <sz val="11"/>
      <color indexed="8"/>
      <name val="Calibri"/>
      <family val="2"/>
    </font>
    <font>
      <sz val="10"/>
      <name val="Arial"/>
      <family val="2"/>
    </font>
    <font>
      <b/>
      <u/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sz val="9"/>
      <color indexed="10"/>
      <name val="Arial"/>
      <family val="2"/>
    </font>
    <font>
      <b/>
      <sz val="10"/>
      <name val="Arial"/>
      <family val="2"/>
    </font>
    <font>
      <b/>
      <sz val="10"/>
      <color indexed="23"/>
      <name val="Arial"/>
      <family val="2"/>
    </font>
    <font>
      <sz val="9"/>
      <color indexed="23"/>
      <name val="Arial"/>
      <family val="2"/>
    </font>
    <font>
      <b/>
      <sz val="9"/>
      <color indexed="12"/>
      <name val="Arial"/>
      <family val="2"/>
    </font>
    <font>
      <sz val="10"/>
      <color indexed="12"/>
      <name val="Arial"/>
      <family val="2"/>
    </font>
    <font>
      <sz val="10"/>
      <color indexed="23"/>
      <name val="Arial"/>
      <family val="2"/>
    </font>
    <font>
      <i/>
      <sz val="10"/>
      <color indexed="23"/>
      <name val="Arial"/>
      <family val="2"/>
    </font>
    <font>
      <b/>
      <sz val="11"/>
      <color indexed="8"/>
      <name val="Calibri"/>
      <family val="2"/>
    </font>
    <font>
      <b/>
      <u/>
      <sz val="11"/>
      <name val="Arial"/>
      <family val="2"/>
    </font>
    <font>
      <b/>
      <u/>
      <sz val="11"/>
      <color indexed="8"/>
      <name val="Calibri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11"/>
      <color indexed="9"/>
      <name val="Arial"/>
      <family val="2"/>
    </font>
    <font>
      <sz val="11"/>
      <color indexed="8"/>
      <name val="Arial"/>
      <family val="2"/>
    </font>
    <font>
      <u/>
      <sz val="14"/>
      <name val="Arial"/>
      <family val="2"/>
    </font>
    <font>
      <sz val="8.5"/>
      <name val="MS Sans Serif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Times New Roman"/>
      <family val="1"/>
    </font>
    <font>
      <sz val="11"/>
      <color theme="1"/>
      <name val="Calibri"/>
      <family val="2"/>
      <scheme val="minor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.5"/>
      <name val="MS Sans Serif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/>
      <diagonal/>
    </border>
    <border>
      <left style="medium">
        <color indexed="9"/>
      </left>
      <right style="medium">
        <color indexed="9"/>
      </right>
      <top/>
      <bottom style="medium">
        <color indexed="9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8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4" fillId="0" borderId="0"/>
    <xf numFmtId="44" fontId="3" fillId="0" borderId="0" applyFont="0" applyFill="0" applyBorder="0" applyAlignment="0" applyProtection="0"/>
    <xf numFmtId="0" fontId="18" fillId="0" borderId="0"/>
    <xf numFmtId="43" fontId="27" fillId="0" borderId="0" applyFont="0" applyFill="0" applyBorder="0" applyAlignment="0" applyProtection="0"/>
    <xf numFmtId="44" fontId="27" fillId="0" borderId="0" applyFont="0" applyFill="0" applyBorder="0" applyAlignment="0" applyProtection="0"/>
  </cellStyleXfs>
  <cellXfs count="113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1" fillId="0" borderId="3" xfId="1" applyBorder="1"/>
    <xf numFmtId="0" fontId="4" fillId="0" borderId="0" xfId="3"/>
    <xf numFmtId="0" fontId="5" fillId="0" borderId="0" xfId="0" applyFont="1"/>
    <xf numFmtId="0" fontId="0" fillId="0" borderId="0" xfId="0" applyProtection="1">
      <protection locked="0"/>
    </xf>
    <xf numFmtId="0" fontId="7" fillId="0" borderId="0" xfId="0" applyFont="1" applyProtection="1">
      <protection locked="0"/>
    </xf>
    <xf numFmtId="0" fontId="0" fillId="0" borderId="0" xfId="0" applyAlignment="1" applyProtection="1">
      <alignment vertic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8" fillId="0" borderId="0" xfId="0" applyFont="1" applyAlignment="1" applyProtection="1">
      <alignment horizontal="left" indent="1"/>
      <protection locked="0"/>
    </xf>
    <xf numFmtId="0" fontId="10" fillId="0" borderId="0" xfId="0" applyFont="1" applyProtection="1">
      <protection locked="0"/>
    </xf>
    <xf numFmtId="0" fontId="11" fillId="0" borderId="0" xfId="0" applyFont="1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left" indent="1"/>
      <protection locked="0"/>
    </xf>
    <xf numFmtId="0" fontId="12" fillId="0" borderId="0" xfId="0" applyFont="1" applyAlignment="1" applyProtection="1">
      <alignment horizontal="center"/>
      <protection locked="0"/>
    </xf>
    <xf numFmtId="0" fontId="8" fillId="0" borderId="0" xfId="0" quotePrefix="1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left" indent="1"/>
      <protection locked="0"/>
    </xf>
    <xf numFmtId="0" fontId="4" fillId="0" borderId="0" xfId="0" applyFont="1" applyAlignment="1" applyProtection="1">
      <alignment horizontal="center"/>
      <protection locked="0"/>
    </xf>
    <xf numFmtId="0" fontId="16" fillId="0" borderId="0" xfId="0" applyFont="1"/>
    <xf numFmtId="0" fontId="1" fillId="0" borderId="0" xfId="1"/>
    <xf numFmtId="0" fontId="17" fillId="0" borderId="0" xfId="0" applyFont="1"/>
    <xf numFmtId="0" fontId="8" fillId="0" borderId="0" xfId="0" applyFont="1"/>
    <xf numFmtId="49" fontId="1" fillId="0" borderId="0" xfId="1" applyNumberFormat="1" applyAlignment="1">
      <alignment horizontal="right"/>
    </xf>
    <xf numFmtId="0" fontId="1" fillId="0" borderId="0" xfId="1" applyAlignment="1">
      <alignment horizontal="right"/>
    </xf>
    <xf numFmtId="0" fontId="18" fillId="0" borderId="0" xfId="5"/>
    <xf numFmtId="9" fontId="0" fillId="0" borderId="0" xfId="0" applyNumberFormat="1"/>
    <xf numFmtId="14" fontId="0" fillId="0" borderId="0" xfId="0" applyNumberFormat="1"/>
    <xf numFmtId="0" fontId="0" fillId="3" borderId="0" xfId="0" applyFill="1"/>
    <xf numFmtId="0" fontId="8" fillId="3" borderId="0" xfId="0" applyFont="1" applyFill="1"/>
    <xf numFmtId="164" fontId="3" fillId="0" borderId="0" xfId="2" applyNumberFormat="1" applyFont="1"/>
    <xf numFmtId="3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0" fillId="7" borderId="9" xfId="0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1" fillId="0" borderId="11" xfId="0" applyFont="1" applyBorder="1" applyAlignment="1">
      <alignment horizontal="left" vertical="top"/>
    </xf>
    <xf numFmtId="15" fontId="21" fillId="0" borderId="11" xfId="0" applyNumberFormat="1" applyFont="1" applyBorder="1" applyAlignment="1">
      <alignment vertical="top"/>
    </xf>
    <xf numFmtId="0" fontId="21" fillId="0" borderId="11" xfId="0" applyFont="1" applyBorder="1" applyAlignment="1">
      <alignment vertical="top"/>
    </xf>
    <xf numFmtId="3" fontId="21" fillId="0" borderId="11" xfId="0" applyNumberFormat="1" applyFont="1" applyBorder="1" applyAlignment="1">
      <alignment horizontal="right" vertical="top"/>
    </xf>
    <xf numFmtId="0" fontId="21" fillId="0" borderId="11" xfId="0" applyFont="1" applyBorder="1" applyAlignment="1">
      <alignment horizontal="left" vertical="top" wrapText="1"/>
    </xf>
    <xf numFmtId="3" fontId="21" fillId="0" borderId="11" xfId="0" applyNumberFormat="1" applyFont="1" applyBorder="1" applyAlignment="1">
      <alignment horizontal="right" vertical="top" wrapText="1"/>
    </xf>
    <xf numFmtId="0" fontId="21" fillId="0" borderId="11" xfId="0" applyFont="1" applyBorder="1" applyAlignment="1">
      <alignment horizontal="right" vertical="top" wrapText="1"/>
    </xf>
    <xf numFmtId="0" fontId="1" fillId="0" borderId="4" xfId="1" applyBorder="1"/>
    <xf numFmtId="0" fontId="15" fillId="0" borderId="0" xfId="0" applyFont="1" applyAlignment="1">
      <alignment horizontal="center" vertical="center" wrapText="1"/>
    </xf>
    <xf numFmtId="0" fontId="22" fillId="0" borderId="0" xfId="0" applyFont="1"/>
    <xf numFmtId="0" fontId="23" fillId="0" borderId="0" xfId="0" quotePrefix="1" applyFont="1"/>
    <xf numFmtId="0" fontId="23" fillId="0" borderId="0" xfId="0" applyFont="1"/>
    <xf numFmtId="14" fontId="23" fillId="0" borderId="0" xfId="0" applyNumberFormat="1" applyFont="1"/>
    <xf numFmtId="7" fontId="23" fillId="0" borderId="0" xfId="0" applyNumberFormat="1" applyFont="1"/>
    <xf numFmtId="0" fontId="23" fillId="0" borderId="0" xfId="0" quotePrefix="1" applyFont="1" applyAlignment="1">
      <alignment horizontal="left"/>
    </xf>
    <xf numFmtId="0" fontId="21" fillId="0" borderId="0" xfId="0" applyFont="1" applyAlignment="1">
      <alignment horizontal="left" vertical="top" wrapText="1"/>
    </xf>
    <xf numFmtId="15" fontId="21" fillId="0" borderId="0" xfId="0" applyNumberFormat="1" applyFont="1" applyAlignment="1">
      <alignment vertical="top" wrapText="1"/>
    </xf>
    <xf numFmtId="0" fontId="21" fillId="0" borderId="0" xfId="0" applyFont="1" applyAlignment="1">
      <alignment vertical="top" wrapText="1"/>
    </xf>
    <xf numFmtId="3" fontId="21" fillId="0" borderId="0" xfId="0" applyNumberFormat="1" applyFont="1" applyAlignment="1">
      <alignment horizontal="right" vertical="top" wrapText="1"/>
    </xf>
    <xf numFmtId="7" fontId="0" fillId="0" borderId="0" xfId="0" applyNumberFormat="1"/>
    <xf numFmtId="0" fontId="0" fillId="0" borderId="8" xfId="0" applyBorder="1"/>
    <xf numFmtId="0" fontId="25" fillId="8" borderId="8" xfId="0" applyFont="1" applyFill="1" applyBorder="1"/>
    <xf numFmtId="0" fontId="24" fillId="0" borderId="0" xfId="0" applyFont="1"/>
    <xf numFmtId="0" fontId="24" fillId="9" borderId="0" xfId="0" applyFont="1" applyFill="1"/>
    <xf numFmtId="0" fontId="8" fillId="9" borderId="0" xfId="0" applyFont="1" applyFill="1"/>
    <xf numFmtId="0" fontId="26" fillId="9" borderId="8" xfId="1" applyFont="1" applyFill="1" applyBorder="1" applyAlignment="1">
      <alignment horizontal="left"/>
    </xf>
    <xf numFmtId="0" fontId="26" fillId="9" borderId="8" xfId="1" applyFont="1" applyFill="1" applyBorder="1" applyAlignment="1">
      <alignment horizontal="right"/>
    </xf>
    <xf numFmtId="0" fontId="1" fillId="0" borderId="8" xfId="1" applyBorder="1"/>
    <xf numFmtId="0" fontId="0" fillId="0" borderId="7" xfId="0" applyBorder="1" applyProtection="1">
      <protection locked="0"/>
    </xf>
    <xf numFmtId="0" fontId="28" fillId="0" borderId="0" xfId="0" applyFont="1"/>
    <xf numFmtId="9" fontId="28" fillId="0" borderId="0" xfId="0" applyNumberFormat="1" applyFont="1"/>
    <xf numFmtId="0" fontId="29" fillId="0" borderId="0" xfId="0" applyFont="1"/>
    <xf numFmtId="0" fontId="30" fillId="0" borderId="0" xfId="0" applyFont="1"/>
    <xf numFmtId="164" fontId="28" fillId="0" borderId="0" xfId="6" applyNumberFormat="1" applyFont="1"/>
    <xf numFmtId="0" fontId="31" fillId="9" borderId="0" xfId="0" applyFont="1" applyFill="1"/>
    <xf numFmtId="9" fontId="29" fillId="0" borderId="0" xfId="0" applyNumberFormat="1" applyFont="1"/>
    <xf numFmtId="9" fontId="24" fillId="0" borderId="0" xfId="0" applyNumberFormat="1" applyFont="1"/>
    <xf numFmtId="0" fontId="32" fillId="9" borderId="0" xfId="0" quotePrefix="1" applyFont="1" applyFill="1"/>
    <xf numFmtId="0" fontId="32" fillId="9" borderId="0" xfId="0" applyFont="1" applyFill="1"/>
    <xf numFmtId="0" fontId="33" fillId="0" borderId="0" xfId="1" applyFont="1"/>
    <xf numFmtId="0" fontId="34" fillId="10" borderId="12" xfId="0" applyFont="1" applyFill="1" applyBorder="1" applyAlignment="1">
      <alignment vertical="top"/>
    </xf>
    <xf numFmtId="0" fontId="34" fillId="10" borderId="12" xfId="0" applyFont="1" applyFill="1" applyBorder="1" applyAlignment="1">
      <alignment horizontal="left" vertical="top"/>
    </xf>
    <xf numFmtId="0" fontId="34" fillId="10" borderId="12" xfId="0" applyFont="1" applyFill="1" applyBorder="1" applyAlignment="1" applyProtection="1">
      <alignment horizontal="center" vertical="top"/>
      <protection locked="0"/>
    </xf>
    <xf numFmtId="0" fontId="34" fillId="10" borderId="12" xfId="0" applyFont="1" applyFill="1" applyBorder="1" applyAlignment="1" applyProtection="1">
      <alignment vertical="top"/>
      <protection locked="0"/>
    </xf>
    <xf numFmtId="15" fontId="34" fillId="10" borderId="12" xfId="0" applyNumberFormat="1" applyFont="1" applyFill="1" applyBorder="1" applyAlignment="1" applyProtection="1">
      <alignment horizontal="right" vertical="top"/>
      <protection locked="0"/>
    </xf>
    <xf numFmtId="164" fontId="34" fillId="10" borderId="12" xfId="6" applyNumberFormat="1" applyFont="1" applyFill="1" applyBorder="1" applyAlignment="1" applyProtection="1">
      <alignment horizontal="right" vertical="top"/>
      <protection locked="0"/>
    </xf>
    <xf numFmtId="0" fontId="33" fillId="0" borderId="0" xfId="0" applyFont="1"/>
    <xf numFmtId="0" fontId="33" fillId="0" borderId="0" xfId="0" applyFont="1" applyAlignment="1" applyProtection="1">
      <alignment horizontal="center"/>
      <protection locked="0"/>
    </xf>
    <xf numFmtId="0" fontId="33" fillId="0" borderId="0" xfId="0" applyFont="1" applyProtection="1">
      <protection locked="0"/>
    </xf>
    <xf numFmtId="15" fontId="33" fillId="0" borderId="0" xfId="0" applyNumberFormat="1" applyFont="1" applyProtection="1">
      <protection locked="0"/>
    </xf>
    <xf numFmtId="164" fontId="33" fillId="0" borderId="0" xfId="6" applyNumberFormat="1" applyFont="1" applyProtection="1">
      <protection locked="0"/>
    </xf>
    <xf numFmtId="164" fontId="33" fillId="0" borderId="0" xfId="6" applyNumberFormat="1" applyFont="1" applyFill="1" applyAlignment="1" applyProtection="1">
      <protection locked="0"/>
    </xf>
    <xf numFmtId="15" fontId="33" fillId="0" borderId="0" xfId="6" applyNumberFormat="1" applyFont="1" applyProtection="1">
      <protection locked="0"/>
    </xf>
    <xf numFmtId="164" fontId="33" fillId="0" borderId="0" xfId="6" applyNumberFormat="1" applyFont="1" applyBorder="1" applyProtection="1">
      <protection locked="0"/>
    </xf>
    <xf numFmtId="15" fontId="33" fillId="0" borderId="0" xfId="6" applyNumberFormat="1" applyFont="1" applyBorder="1" applyProtection="1">
      <protection locked="0"/>
    </xf>
    <xf numFmtId="0" fontId="0" fillId="9" borderId="0" xfId="0" applyFill="1"/>
    <xf numFmtId="0" fontId="35" fillId="9" borderId="0" xfId="0" applyFont="1" applyFill="1"/>
    <xf numFmtId="0" fontId="31" fillId="3" borderId="0" xfId="0" applyFont="1" applyFill="1"/>
    <xf numFmtId="0" fontId="31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3" borderId="4" xfId="1" applyFill="1" applyBorder="1"/>
    <xf numFmtId="43" fontId="0" fillId="0" borderId="0" xfId="6" applyFont="1"/>
    <xf numFmtId="43" fontId="0" fillId="3" borderId="0" xfId="6" applyFont="1" applyFill="1"/>
    <xf numFmtId="43" fontId="8" fillId="3" borderId="0" xfId="6" applyFont="1" applyFill="1"/>
    <xf numFmtId="3" fontId="6" fillId="0" borderId="0" xfId="0" applyNumberFormat="1" applyFont="1" applyAlignment="1">
      <alignment horizontal="right" vertical="top" wrapText="1"/>
    </xf>
    <xf numFmtId="43" fontId="28" fillId="0" borderId="0" xfId="0" applyNumberFormat="1" applyFont="1"/>
    <xf numFmtId="44" fontId="0" fillId="0" borderId="0" xfId="7" applyFont="1"/>
    <xf numFmtId="49" fontId="0" fillId="0" borderId="0" xfId="0" applyNumberFormat="1"/>
    <xf numFmtId="165" fontId="33" fillId="0" borderId="0" xfId="1" applyNumberFormat="1" applyFont="1"/>
    <xf numFmtId="15" fontId="0" fillId="0" borderId="0" xfId="0" applyNumberFormat="1"/>
    <xf numFmtId="0" fontId="24" fillId="9" borderId="0" xfId="0" applyFont="1" applyFill="1" applyAlignment="1">
      <alignment horizontal="left"/>
    </xf>
    <xf numFmtId="0" fontId="20" fillId="7" borderId="9" xfId="0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6" fillId="9" borderId="5" xfId="0" applyFont="1" applyFill="1" applyBorder="1" applyAlignment="1" applyProtection="1">
      <alignment horizontal="left" vertical="center" indent="1"/>
      <protection locked="0"/>
    </xf>
    <xf numFmtId="0" fontId="6" fillId="9" borderId="6" xfId="0" applyFont="1" applyFill="1" applyBorder="1" applyAlignment="1" applyProtection="1">
      <alignment horizontal="left" vertical="center" indent="1"/>
      <protection locked="0"/>
    </xf>
  </cellXfs>
  <cellStyles count="8">
    <cellStyle name="Comma" xfId="6" builtinId="3"/>
    <cellStyle name="Comma 2" xfId="2" xr:uid="{78CE8297-5D39-411E-942D-00A09A24E8B7}"/>
    <cellStyle name="Currency" xfId="7" builtinId="4"/>
    <cellStyle name="Currency 2" xfId="4" xr:uid="{AF3F57ED-060A-4147-8493-73762EB9171E}"/>
    <cellStyle name="Normal" xfId="0" builtinId="0"/>
    <cellStyle name="Normal 2" xfId="1" xr:uid="{C8EF9378-2100-4FB5-95E1-385CD76DBAA6}"/>
    <cellStyle name="Normal 3" xfId="5" xr:uid="{24EA36EF-0942-4332-9F24-2B7FA27D2A22}"/>
    <cellStyle name="Normal 4" xfId="3" xr:uid="{ABEBE707-5499-4C17-BF8B-EE09C42BDB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17583</xdr:colOff>
      <xdr:row>5</xdr:row>
      <xdr:rowOff>29307</xdr:rowOff>
    </xdr:from>
    <xdr:ext cx="1488831" cy="193687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42538E4-3627-43CB-99EF-C701AA91AA11}"/>
            </a:ext>
          </a:extLst>
        </xdr:cNvPr>
        <xdr:cNvSpPr txBox="1"/>
      </xdr:nvSpPr>
      <xdr:spPr>
        <a:xfrm>
          <a:off x="4149968" y="1025769"/>
          <a:ext cx="1488831" cy="1936876"/>
        </a:xfrm>
        <a:prstGeom prst="rect">
          <a:avLst/>
        </a:prstGeom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r>
            <a:rPr lang="en-US" sz="17300">
              <a:latin typeface="Arial Black" pitchFamily="34" charset="0"/>
              <a:cs typeface="Estrangelo Edessa" pitchFamily="66" charset="0"/>
            </a:rPr>
            <a:t>$</a:t>
          </a:r>
          <a:endParaRPr lang="en-US" sz="30000">
            <a:latin typeface="Arial Black" pitchFamily="34" charset="0"/>
            <a:cs typeface="Estrangelo Edessa" pitchFamily="66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278B8-250D-418C-8C5B-4D551C69A085}">
  <dimension ref="A1:J40"/>
  <sheetViews>
    <sheetView zoomScale="130" zoomScaleNormal="130" workbookViewId="0">
      <selection activeCell="A4" sqref="A4"/>
    </sheetView>
  </sheetViews>
  <sheetFormatPr defaultRowHeight="14.5" x14ac:dyDescent="0.35"/>
  <cols>
    <col min="1" max="1" width="15" customWidth="1"/>
    <col min="2" max="2" width="12.7265625" customWidth="1"/>
    <col min="4" max="4" width="15.1796875" bestFit="1" customWidth="1"/>
    <col min="5" max="5" width="18.26953125" bestFit="1" customWidth="1"/>
    <col min="6" max="6" width="16.26953125" bestFit="1" customWidth="1"/>
  </cols>
  <sheetData>
    <row r="1" spans="1:6" x14ac:dyDescent="0.35">
      <c r="A1" s="5" t="s">
        <v>0</v>
      </c>
    </row>
    <row r="2" spans="1:6" x14ac:dyDescent="0.35">
      <c r="A2" t="s">
        <v>1</v>
      </c>
    </row>
    <row r="5" spans="1:6" x14ac:dyDescent="0.35">
      <c r="A5" t="s">
        <v>2</v>
      </c>
    </row>
    <row r="6" spans="1:6" x14ac:dyDescent="0.35">
      <c r="A6" t="s">
        <v>3</v>
      </c>
    </row>
    <row r="7" spans="1:6" x14ac:dyDescent="0.35">
      <c r="B7" t="s">
        <v>4</v>
      </c>
    </row>
    <row r="8" spans="1:6" x14ac:dyDescent="0.35">
      <c r="B8" t="s">
        <v>5</v>
      </c>
    </row>
    <row r="9" spans="1:6" x14ac:dyDescent="0.35">
      <c r="A9" t="s">
        <v>6</v>
      </c>
    </row>
    <row r="10" spans="1:6" x14ac:dyDescent="0.35">
      <c r="A10" t="s">
        <v>7</v>
      </c>
    </row>
    <row r="11" spans="1:6" x14ac:dyDescent="0.35">
      <c r="A11" t="s">
        <v>8</v>
      </c>
      <c r="E11" t="s">
        <v>9</v>
      </c>
    </row>
    <row r="12" spans="1:6" x14ac:dyDescent="0.35">
      <c r="A12" t="s">
        <v>10</v>
      </c>
      <c r="E12" t="s">
        <v>11</v>
      </c>
      <c r="F12" s="31">
        <v>16384</v>
      </c>
    </row>
    <row r="13" spans="1:6" x14ac:dyDescent="0.35">
      <c r="A13" t="s">
        <v>12</v>
      </c>
      <c r="E13" t="s">
        <v>13</v>
      </c>
      <c r="F13" s="31">
        <v>1048576</v>
      </c>
    </row>
    <row r="14" spans="1:6" x14ac:dyDescent="0.35">
      <c r="A14" t="s">
        <v>14</v>
      </c>
    </row>
    <row r="15" spans="1:6" x14ac:dyDescent="0.35">
      <c r="A15" t="s">
        <v>15</v>
      </c>
    </row>
    <row r="16" spans="1:6" x14ac:dyDescent="0.35">
      <c r="D16" s="32"/>
    </row>
    <row r="18" spans="1:10" x14ac:dyDescent="0.35">
      <c r="C18" s="33" t="s">
        <v>16</v>
      </c>
    </row>
    <row r="19" spans="1:10" x14ac:dyDescent="0.35">
      <c r="C19" s="33"/>
    </row>
    <row r="20" spans="1:10" x14ac:dyDescent="0.35">
      <c r="C20" s="33"/>
    </row>
    <row r="21" spans="1:10" x14ac:dyDescent="0.35">
      <c r="C21" s="33"/>
    </row>
    <row r="22" spans="1:10" x14ac:dyDescent="0.35">
      <c r="A22" s="34" t="s">
        <v>17</v>
      </c>
      <c r="B22" s="34"/>
      <c r="C22" s="35" t="s">
        <v>18</v>
      </c>
      <c r="D22" s="34"/>
      <c r="E22" s="34"/>
      <c r="F22" s="34"/>
      <c r="G22" s="34"/>
      <c r="H22" s="34"/>
      <c r="I22" s="34"/>
      <c r="J22" s="34"/>
    </row>
    <row r="23" spans="1:10" x14ac:dyDescent="0.35">
      <c r="C23" s="33"/>
    </row>
    <row r="24" spans="1:10" x14ac:dyDescent="0.35">
      <c r="C24" s="33"/>
    </row>
    <row r="25" spans="1:10" x14ac:dyDescent="0.35">
      <c r="C25" s="33"/>
    </row>
    <row r="26" spans="1:10" x14ac:dyDescent="0.35">
      <c r="C26" s="33"/>
    </row>
    <row r="27" spans="1:10" x14ac:dyDescent="0.35">
      <c r="C27" s="33"/>
    </row>
    <row r="28" spans="1:10" x14ac:dyDescent="0.35">
      <c r="C28" s="33"/>
    </row>
    <row r="29" spans="1:10" x14ac:dyDescent="0.35">
      <c r="C29" s="33"/>
    </row>
    <row r="30" spans="1:10" x14ac:dyDescent="0.35">
      <c r="C30" s="33"/>
    </row>
    <row r="31" spans="1:10" x14ac:dyDescent="0.35">
      <c r="C31" s="33"/>
    </row>
    <row r="32" spans="1:10" x14ac:dyDescent="0.35">
      <c r="C32" s="33"/>
    </row>
    <row r="33" spans="3:6" x14ac:dyDescent="0.35">
      <c r="C33" s="33"/>
    </row>
    <row r="35" spans="3:6" x14ac:dyDescent="0.35">
      <c r="E35" t="s">
        <v>19</v>
      </c>
      <c r="F35" s="31">
        <f>F12*F13</f>
        <v>17179869184</v>
      </c>
    </row>
    <row r="37" spans="3:6" x14ac:dyDescent="0.35">
      <c r="E37" s="31">
        <f>D15*D16</f>
        <v>0</v>
      </c>
    </row>
    <row r="40" spans="3:6" x14ac:dyDescent="0.35">
      <c r="E40" t="s">
        <v>20</v>
      </c>
      <c r="F40">
        <v>64000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E60EF-B9B3-4B4E-91E6-0C8B4B4B8066}">
  <dimension ref="A1:I1537"/>
  <sheetViews>
    <sheetView zoomScale="130" zoomScaleNormal="130" workbookViewId="0"/>
  </sheetViews>
  <sheetFormatPr defaultColWidth="8.81640625" defaultRowHeight="12.5" x14ac:dyDescent="0.25"/>
  <cols>
    <col min="1" max="1" width="8.81640625" style="26"/>
    <col min="2" max="2" width="9.7265625" style="26" bestFit="1" customWidth="1"/>
    <col min="3" max="3" width="8.81640625" style="26"/>
    <col min="4" max="4" width="10.54296875" style="26" bestFit="1" customWidth="1"/>
    <col min="5" max="5" width="10.453125" style="26" bestFit="1" customWidth="1"/>
    <col min="6" max="6" width="11" style="26" bestFit="1" customWidth="1"/>
    <col min="7" max="7" width="8.81640625" style="26"/>
    <col min="8" max="8" width="11.26953125" style="26" bestFit="1" customWidth="1"/>
    <col min="9" max="16384" width="8.81640625" style="26"/>
  </cols>
  <sheetData>
    <row r="1" spans="1:9" ht="14.5" x14ac:dyDescent="0.3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</row>
    <row r="2" spans="1:9" ht="14.5" x14ac:dyDescent="0.35">
      <c r="A2">
        <v>1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>
        <v>3677</v>
      </c>
    </row>
    <row r="3" spans="1:9" ht="14.5" x14ac:dyDescent="0.35">
      <c r="A3">
        <v>1</v>
      </c>
      <c r="B3" t="s">
        <v>30</v>
      </c>
      <c r="C3" t="s">
        <v>31</v>
      </c>
      <c r="D3" t="s">
        <v>32</v>
      </c>
      <c r="E3" t="s">
        <v>33</v>
      </c>
      <c r="F3" t="s">
        <v>37</v>
      </c>
      <c r="G3" t="s">
        <v>35</v>
      </c>
      <c r="H3" t="s">
        <v>38</v>
      </c>
      <c r="I3">
        <v>2248</v>
      </c>
    </row>
    <row r="4" spans="1:9" ht="14.5" x14ac:dyDescent="0.35">
      <c r="A4">
        <v>1</v>
      </c>
      <c r="B4" t="s">
        <v>30</v>
      </c>
      <c r="C4" t="s">
        <v>31</v>
      </c>
      <c r="D4" t="s">
        <v>32</v>
      </c>
      <c r="E4" t="s">
        <v>33</v>
      </c>
      <c r="F4" t="s">
        <v>39</v>
      </c>
      <c r="G4" t="s">
        <v>35</v>
      </c>
      <c r="H4" t="s">
        <v>38</v>
      </c>
      <c r="I4">
        <v>1184</v>
      </c>
    </row>
    <row r="5" spans="1:9" ht="14.5" x14ac:dyDescent="0.35">
      <c r="A5">
        <v>1</v>
      </c>
      <c r="B5" t="s">
        <v>30</v>
      </c>
      <c r="C5" t="s">
        <v>31</v>
      </c>
      <c r="D5" t="s">
        <v>32</v>
      </c>
      <c r="E5" t="s">
        <v>33</v>
      </c>
      <c r="F5" t="s">
        <v>37</v>
      </c>
      <c r="G5" t="s">
        <v>35</v>
      </c>
      <c r="H5" t="s">
        <v>36</v>
      </c>
      <c r="I5">
        <v>2454</v>
      </c>
    </row>
    <row r="6" spans="1:9" ht="14.5" x14ac:dyDescent="0.35">
      <c r="A6">
        <v>1</v>
      </c>
      <c r="B6" t="s">
        <v>30</v>
      </c>
      <c r="C6" t="s">
        <v>31</v>
      </c>
      <c r="D6" t="s">
        <v>32</v>
      </c>
      <c r="E6" t="s">
        <v>33</v>
      </c>
      <c r="F6" t="s">
        <v>40</v>
      </c>
      <c r="G6" t="s">
        <v>35</v>
      </c>
      <c r="H6" t="s">
        <v>36</v>
      </c>
      <c r="I6">
        <v>1226</v>
      </c>
    </row>
    <row r="7" spans="1:9" ht="14.5" x14ac:dyDescent="0.35">
      <c r="A7">
        <v>1</v>
      </c>
      <c r="B7" t="s">
        <v>30</v>
      </c>
      <c r="C7" t="s">
        <v>31</v>
      </c>
      <c r="D7" t="s">
        <v>32</v>
      </c>
      <c r="E7" t="s">
        <v>33</v>
      </c>
      <c r="F7" t="s">
        <v>40</v>
      </c>
      <c r="G7" t="s">
        <v>35</v>
      </c>
      <c r="H7" t="s">
        <v>38</v>
      </c>
      <c r="I7">
        <v>4967</v>
      </c>
    </row>
    <row r="8" spans="1:9" ht="14.5" x14ac:dyDescent="0.35">
      <c r="A8">
        <v>1</v>
      </c>
      <c r="B8" t="s">
        <v>30</v>
      </c>
      <c r="C8" t="s">
        <v>31</v>
      </c>
      <c r="D8" t="s">
        <v>32</v>
      </c>
      <c r="E8" t="s">
        <v>33</v>
      </c>
      <c r="F8" t="s">
        <v>39</v>
      </c>
      <c r="G8" t="s">
        <v>35</v>
      </c>
      <c r="H8" t="s">
        <v>36</v>
      </c>
      <c r="I8">
        <v>2022</v>
      </c>
    </row>
    <row r="9" spans="1:9" ht="14.5" x14ac:dyDescent="0.35">
      <c r="A9">
        <v>1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38</v>
      </c>
      <c r="I9">
        <v>3498</v>
      </c>
    </row>
    <row r="10" spans="1:9" ht="14.5" x14ac:dyDescent="0.35">
      <c r="A10">
        <v>1</v>
      </c>
      <c r="B10" t="s">
        <v>41</v>
      </c>
      <c r="C10" t="s">
        <v>31</v>
      </c>
      <c r="D10" t="s">
        <v>32</v>
      </c>
      <c r="E10" t="s">
        <v>33</v>
      </c>
      <c r="F10" t="s">
        <v>37</v>
      </c>
      <c r="G10" t="s">
        <v>35</v>
      </c>
      <c r="H10" t="s">
        <v>36</v>
      </c>
      <c r="I10">
        <v>3951</v>
      </c>
    </row>
    <row r="11" spans="1:9" ht="14.5" x14ac:dyDescent="0.35">
      <c r="A11">
        <v>1</v>
      </c>
      <c r="B11" t="s">
        <v>41</v>
      </c>
      <c r="C11" t="s">
        <v>31</v>
      </c>
      <c r="D11" t="s">
        <v>32</v>
      </c>
      <c r="E11" t="s">
        <v>33</v>
      </c>
      <c r="F11" t="s">
        <v>37</v>
      </c>
      <c r="G11" t="s">
        <v>35</v>
      </c>
      <c r="H11" t="s">
        <v>38</v>
      </c>
      <c r="I11">
        <v>4498</v>
      </c>
    </row>
    <row r="12" spans="1:9" ht="14.5" x14ac:dyDescent="0.35">
      <c r="A12">
        <v>1</v>
      </c>
      <c r="B12" t="s">
        <v>41</v>
      </c>
      <c r="C12" t="s">
        <v>31</v>
      </c>
      <c r="D12" t="s">
        <v>32</v>
      </c>
      <c r="E12" t="s">
        <v>33</v>
      </c>
      <c r="F12" t="s">
        <v>40</v>
      </c>
      <c r="G12" t="s">
        <v>35</v>
      </c>
      <c r="H12" t="s">
        <v>36</v>
      </c>
      <c r="I12">
        <v>2216</v>
      </c>
    </row>
    <row r="13" spans="1:9" ht="14.5" x14ac:dyDescent="0.35">
      <c r="A13">
        <v>1</v>
      </c>
      <c r="B13" t="s">
        <v>41</v>
      </c>
      <c r="C13" t="s">
        <v>31</v>
      </c>
      <c r="D13" t="s">
        <v>32</v>
      </c>
      <c r="E13" t="s">
        <v>33</v>
      </c>
      <c r="F13" t="s">
        <v>40</v>
      </c>
      <c r="G13" t="s">
        <v>35</v>
      </c>
      <c r="H13" t="s">
        <v>38</v>
      </c>
      <c r="I13">
        <v>2340</v>
      </c>
    </row>
    <row r="14" spans="1:9" ht="14.5" x14ac:dyDescent="0.35">
      <c r="A14">
        <v>1</v>
      </c>
      <c r="B14" t="s">
        <v>41</v>
      </c>
      <c r="C14" t="s">
        <v>31</v>
      </c>
      <c r="D14" t="s">
        <v>32</v>
      </c>
      <c r="E14" t="s">
        <v>33</v>
      </c>
      <c r="F14" t="s">
        <v>39</v>
      </c>
      <c r="G14" t="s">
        <v>35</v>
      </c>
      <c r="H14" t="s">
        <v>36</v>
      </c>
      <c r="I14">
        <v>3864</v>
      </c>
    </row>
    <row r="15" spans="1:9" ht="14.5" x14ac:dyDescent="0.35">
      <c r="A15">
        <v>1</v>
      </c>
      <c r="B15" t="s">
        <v>41</v>
      </c>
      <c r="C15" t="s">
        <v>31</v>
      </c>
      <c r="D15" t="s">
        <v>32</v>
      </c>
      <c r="E15" t="s">
        <v>33</v>
      </c>
      <c r="F15" t="s">
        <v>39</v>
      </c>
      <c r="G15" t="s">
        <v>35</v>
      </c>
      <c r="H15" t="s">
        <v>38</v>
      </c>
      <c r="I15">
        <v>1812</v>
      </c>
    </row>
    <row r="16" spans="1:9" ht="14.5" x14ac:dyDescent="0.35">
      <c r="A16">
        <v>1</v>
      </c>
      <c r="B16" t="s">
        <v>41</v>
      </c>
      <c r="C16" t="s">
        <v>31</v>
      </c>
      <c r="D16" t="s">
        <v>32</v>
      </c>
      <c r="E16" t="s">
        <v>33</v>
      </c>
      <c r="F16" t="s">
        <v>34</v>
      </c>
      <c r="G16" t="s">
        <v>35</v>
      </c>
      <c r="H16" t="s">
        <v>36</v>
      </c>
      <c r="I16">
        <v>4978</v>
      </c>
    </row>
    <row r="17" spans="1:9" ht="14.5" x14ac:dyDescent="0.35">
      <c r="A17">
        <v>1</v>
      </c>
      <c r="B17" t="s">
        <v>41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38</v>
      </c>
      <c r="I17">
        <v>2719</v>
      </c>
    </row>
    <row r="18" spans="1:9" ht="14.5" x14ac:dyDescent="0.35">
      <c r="A18">
        <v>1</v>
      </c>
      <c r="B18" t="s">
        <v>42</v>
      </c>
      <c r="C18" t="s">
        <v>31</v>
      </c>
      <c r="D18" t="s">
        <v>32</v>
      </c>
      <c r="E18" t="s">
        <v>33</v>
      </c>
      <c r="F18" t="s">
        <v>37</v>
      </c>
      <c r="G18" t="s">
        <v>35</v>
      </c>
      <c r="H18" t="s">
        <v>36</v>
      </c>
      <c r="I18">
        <v>2146</v>
      </c>
    </row>
    <row r="19" spans="1:9" ht="14.5" x14ac:dyDescent="0.35">
      <c r="A19">
        <v>1</v>
      </c>
      <c r="B19" t="s">
        <v>42</v>
      </c>
      <c r="C19" t="s">
        <v>31</v>
      </c>
      <c r="D19" t="s">
        <v>32</v>
      </c>
      <c r="E19" t="s">
        <v>33</v>
      </c>
      <c r="F19" t="s">
        <v>37</v>
      </c>
      <c r="G19" t="s">
        <v>35</v>
      </c>
      <c r="H19" t="s">
        <v>38</v>
      </c>
      <c r="I19">
        <v>4269</v>
      </c>
    </row>
    <row r="20" spans="1:9" ht="14.5" x14ac:dyDescent="0.35">
      <c r="A20">
        <v>1</v>
      </c>
      <c r="B20" t="s">
        <v>42</v>
      </c>
      <c r="C20" t="s">
        <v>31</v>
      </c>
      <c r="D20" t="s">
        <v>32</v>
      </c>
      <c r="E20" t="s">
        <v>33</v>
      </c>
      <c r="F20" t="s">
        <v>40</v>
      </c>
      <c r="G20" t="s">
        <v>35</v>
      </c>
      <c r="H20" t="s">
        <v>36</v>
      </c>
      <c r="I20">
        <v>1285</v>
      </c>
    </row>
    <row r="21" spans="1:9" ht="14.5" x14ac:dyDescent="0.35">
      <c r="A21">
        <v>1</v>
      </c>
      <c r="B21" t="s">
        <v>42</v>
      </c>
      <c r="C21" t="s">
        <v>31</v>
      </c>
      <c r="D21" t="s">
        <v>32</v>
      </c>
      <c r="E21" t="s">
        <v>33</v>
      </c>
      <c r="F21" t="s">
        <v>40</v>
      </c>
      <c r="G21" t="s">
        <v>35</v>
      </c>
      <c r="H21" t="s">
        <v>38</v>
      </c>
      <c r="I21">
        <v>2437</v>
      </c>
    </row>
    <row r="22" spans="1:9" ht="14.5" x14ac:dyDescent="0.35">
      <c r="A22">
        <v>1</v>
      </c>
      <c r="B22" t="s">
        <v>42</v>
      </c>
      <c r="C22" t="s">
        <v>31</v>
      </c>
      <c r="D22" t="s">
        <v>32</v>
      </c>
      <c r="E22" t="s">
        <v>33</v>
      </c>
      <c r="F22" t="s">
        <v>39</v>
      </c>
      <c r="G22" t="s">
        <v>35</v>
      </c>
      <c r="H22" t="s">
        <v>36</v>
      </c>
      <c r="I22">
        <v>3395</v>
      </c>
    </row>
    <row r="23" spans="1:9" ht="14.5" x14ac:dyDescent="0.35">
      <c r="A23">
        <v>1</v>
      </c>
      <c r="B23" t="s">
        <v>42</v>
      </c>
      <c r="C23" t="s">
        <v>31</v>
      </c>
      <c r="D23" t="s">
        <v>32</v>
      </c>
      <c r="E23" t="s">
        <v>33</v>
      </c>
      <c r="F23" t="s">
        <v>39</v>
      </c>
      <c r="G23" t="s">
        <v>35</v>
      </c>
      <c r="H23" t="s">
        <v>38</v>
      </c>
      <c r="I23">
        <v>2703</v>
      </c>
    </row>
    <row r="24" spans="1:9" ht="14.5" x14ac:dyDescent="0.35">
      <c r="A24">
        <v>1</v>
      </c>
      <c r="B24" t="s">
        <v>42</v>
      </c>
      <c r="C24" t="s">
        <v>31</v>
      </c>
      <c r="D24" t="s">
        <v>32</v>
      </c>
      <c r="E24" t="s">
        <v>33</v>
      </c>
      <c r="F24" t="s">
        <v>34</v>
      </c>
      <c r="G24" t="s">
        <v>35</v>
      </c>
      <c r="H24" t="s">
        <v>36</v>
      </c>
      <c r="I24">
        <v>4184</v>
      </c>
    </row>
    <row r="25" spans="1:9" ht="14.5" x14ac:dyDescent="0.35">
      <c r="A25">
        <v>1</v>
      </c>
      <c r="B25" t="s">
        <v>42</v>
      </c>
      <c r="C25" t="s">
        <v>31</v>
      </c>
      <c r="D25" t="s">
        <v>32</v>
      </c>
      <c r="E25" t="s">
        <v>33</v>
      </c>
      <c r="F25" t="s">
        <v>34</v>
      </c>
      <c r="G25" t="s">
        <v>35</v>
      </c>
      <c r="H25" t="s">
        <v>38</v>
      </c>
      <c r="I25">
        <v>1693</v>
      </c>
    </row>
    <row r="26" spans="1:9" ht="14.5" x14ac:dyDescent="0.35">
      <c r="A26">
        <v>2</v>
      </c>
      <c r="B26" t="s">
        <v>43</v>
      </c>
      <c r="C26" t="s">
        <v>31</v>
      </c>
      <c r="D26" t="s">
        <v>32</v>
      </c>
      <c r="E26" t="s">
        <v>33</v>
      </c>
      <c r="F26" t="s">
        <v>37</v>
      </c>
      <c r="G26" t="s">
        <v>35</v>
      </c>
      <c r="H26" t="s">
        <v>36</v>
      </c>
      <c r="I26">
        <v>2406</v>
      </c>
    </row>
    <row r="27" spans="1:9" ht="14.5" x14ac:dyDescent="0.35">
      <c r="A27">
        <v>2</v>
      </c>
      <c r="B27" t="s">
        <v>43</v>
      </c>
      <c r="C27" t="s">
        <v>31</v>
      </c>
      <c r="D27" t="s">
        <v>32</v>
      </c>
      <c r="E27" t="s">
        <v>33</v>
      </c>
      <c r="F27" t="s">
        <v>37</v>
      </c>
      <c r="G27" t="s">
        <v>35</v>
      </c>
      <c r="H27" t="s">
        <v>38</v>
      </c>
      <c r="I27">
        <v>3110</v>
      </c>
    </row>
    <row r="28" spans="1:9" ht="14.5" x14ac:dyDescent="0.35">
      <c r="A28">
        <v>2</v>
      </c>
      <c r="B28" t="s">
        <v>43</v>
      </c>
      <c r="C28" t="s">
        <v>31</v>
      </c>
      <c r="D28" t="s">
        <v>32</v>
      </c>
      <c r="E28" t="s">
        <v>33</v>
      </c>
      <c r="F28" t="s">
        <v>40</v>
      </c>
      <c r="G28" t="s">
        <v>35</v>
      </c>
      <c r="H28" t="s">
        <v>36</v>
      </c>
      <c r="I28">
        <v>3147</v>
      </c>
    </row>
    <row r="29" spans="1:9" ht="14.5" x14ac:dyDescent="0.35">
      <c r="A29">
        <v>2</v>
      </c>
      <c r="B29" t="s">
        <v>43</v>
      </c>
      <c r="C29" t="s">
        <v>31</v>
      </c>
      <c r="D29" t="s">
        <v>32</v>
      </c>
      <c r="E29" t="s">
        <v>33</v>
      </c>
      <c r="F29" t="s">
        <v>40</v>
      </c>
      <c r="G29" t="s">
        <v>35</v>
      </c>
      <c r="H29" t="s">
        <v>38</v>
      </c>
      <c r="I29">
        <v>1324</v>
      </c>
    </row>
    <row r="30" spans="1:9" ht="14.5" x14ac:dyDescent="0.35">
      <c r="A30">
        <v>2</v>
      </c>
      <c r="B30" t="s">
        <v>43</v>
      </c>
      <c r="C30" t="s">
        <v>31</v>
      </c>
      <c r="D30" t="s">
        <v>32</v>
      </c>
      <c r="E30" t="s">
        <v>33</v>
      </c>
      <c r="F30" t="s">
        <v>39</v>
      </c>
      <c r="G30" t="s">
        <v>35</v>
      </c>
      <c r="H30" t="s">
        <v>36</v>
      </c>
      <c r="I30">
        <v>3329</v>
      </c>
    </row>
    <row r="31" spans="1:9" ht="14.5" x14ac:dyDescent="0.35">
      <c r="A31">
        <v>2</v>
      </c>
      <c r="B31" t="s">
        <v>43</v>
      </c>
      <c r="C31" t="s">
        <v>31</v>
      </c>
      <c r="D31" t="s">
        <v>32</v>
      </c>
      <c r="E31" t="s">
        <v>33</v>
      </c>
      <c r="F31" t="s">
        <v>39</v>
      </c>
      <c r="G31" t="s">
        <v>35</v>
      </c>
      <c r="H31" t="s">
        <v>38</v>
      </c>
      <c r="I31">
        <v>1317</v>
      </c>
    </row>
    <row r="32" spans="1:9" ht="14.5" x14ac:dyDescent="0.35">
      <c r="A32">
        <v>2</v>
      </c>
      <c r="B32" t="s">
        <v>43</v>
      </c>
      <c r="C32" t="s">
        <v>31</v>
      </c>
      <c r="D32" t="s">
        <v>32</v>
      </c>
      <c r="E32" t="s">
        <v>33</v>
      </c>
      <c r="F32" t="s">
        <v>34</v>
      </c>
      <c r="G32" t="s">
        <v>35</v>
      </c>
      <c r="H32" t="s">
        <v>36</v>
      </c>
      <c r="I32">
        <v>3876</v>
      </c>
    </row>
    <row r="33" spans="1:9" ht="14.5" x14ac:dyDescent="0.35">
      <c r="A33">
        <v>2</v>
      </c>
      <c r="B33" t="s">
        <v>43</v>
      </c>
      <c r="C33" t="s">
        <v>31</v>
      </c>
      <c r="D33" t="s">
        <v>32</v>
      </c>
      <c r="E33" t="s">
        <v>33</v>
      </c>
      <c r="F33" t="s">
        <v>34</v>
      </c>
      <c r="G33" t="s">
        <v>35</v>
      </c>
      <c r="H33" t="s">
        <v>38</v>
      </c>
      <c r="I33">
        <v>4123</v>
      </c>
    </row>
    <row r="34" spans="1:9" ht="14.5" x14ac:dyDescent="0.35">
      <c r="A34">
        <v>2</v>
      </c>
      <c r="B34" t="s">
        <v>44</v>
      </c>
      <c r="C34" t="s">
        <v>31</v>
      </c>
      <c r="D34" t="s">
        <v>32</v>
      </c>
      <c r="E34" t="s">
        <v>33</v>
      </c>
      <c r="F34" t="s">
        <v>37</v>
      </c>
      <c r="G34" t="s">
        <v>35</v>
      </c>
      <c r="H34" t="s">
        <v>36</v>
      </c>
      <c r="I34">
        <v>3911</v>
      </c>
    </row>
    <row r="35" spans="1:9" ht="14.5" x14ac:dyDescent="0.35">
      <c r="A35">
        <v>2</v>
      </c>
      <c r="B35" t="s">
        <v>44</v>
      </c>
      <c r="C35" t="s">
        <v>31</v>
      </c>
      <c r="D35" t="s">
        <v>32</v>
      </c>
      <c r="E35" t="s">
        <v>33</v>
      </c>
      <c r="F35" t="s">
        <v>37</v>
      </c>
      <c r="G35" t="s">
        <v>35</v>
      </c>
      <c r="H35" t="s">
        <v>38</v>
      </c>
      <c r="I35">
        <v>1704</v>
      </c>
    </row>
    <row r="36" spans="1:9" ht="14.5" x14ac:dyDescent="0.35">
      <c r="A36">
        <v>2</v>
      </c>
      <c r="B36" t="s">
        <v>44</v>
      </c>
      <c r="C36" t="s">
        <v>31</v>
      </c>
      <c r="D36" t="s">
        <v>32</v>
      </c>
      <c r="E36" t="s">
        <v>33</v>
      </c>
      <c r="F36" t="s">
        <v>40</v>
      </c>
      <c r="G36" t="s">
        <v>35</v>
      </c>
      <c r="H36" t="s">
        <v>36</v>
      </c>
      <c r="I36">
        <v>4264</v>
      </c>
    </row>
    <row r="37" spans="1:9" ht="14.5" x14ac:dyDescent="0.35">
      <c r="A37">
        <v>2</v>
      </c>
      <c r="B37" t="s">
        <v>44</v>
      </c>
      <c r="C37" t="s">
        <v>31</v>
      </c>
      <c r="D37" t="s">
        <v>32</v>
      </c>
      <c r="E37" t="s">
        <v>33</v>
      </c>
      <c r="F37" t="s">
        <v>40</v>
      </c>
      <c r="G37" t="s">
        <v>35</v>
      </c>
      <c r="H37" t="s">
        <v>38</v>
      </c>
      <c r="I37">
        <v>3664</v>
      </c>
    </row>
    <row r="38" spans="1:9" ht="14.5" x14ac:dyDescent="0.35">
      <c r="A38">
        <v>2</v>
      </c>
      <c r="B38" t="s">
        <v>44</v>
      </c>
      <c r="C38" t="s">
        <v>31</v>
      </c>
      <c r="D38" t="s">
        <v>32</v>
      </c>
      <c r="E38" t="s">
        <v>33</v>
      </c>
      <c r="F38" t="s">
        <v>39</v>
      </c>
      <c r="G38" t="s">
        <v>35</v>
      </c>
      <c r="H38" t="s">
        <v>36</v>
      </c>
      <c r="I38">
        <v>2376</v>
      </c>
    </row>
    <row r="39" spans="1:9" ht="14.5" x14ac:dyDescent="0.35">
      <c r="A39">
        <v>2</v>
      </c>
      <c r="B39" t="s">
        <v>44</v>
      </c>
      <c r="C39" t="s">
        <v>31</v>
      </c>
      <c r="D39" t="s">
        <v>32</v>
      </c>
      <c r="E39" t="s">
        <v>33</v>
      </c>
      <c r="F39" t="s">
        <v>39</v>
      </c>
      <c r="G39" t="s">
        <v>35</v>
      </c>
      <c r="H39" t="s">
        <v>38</v>
      </c>
      <c r="I39">
        <v>2295</v>
      </c>
    </row>
    <row r="40" spans="1:9" ht="14.5" x14ac:dyDescent="0.35">
      <c r="A40">
        <v>2</v>
      </c>
      <c r="B40" t="s">
        <v>44</v>
      </c>
      <c r="C40" t="s">
        <v>31</v>
      </c>
      <c r="D40" t="s">
        <v>32</v>
      </c>
      <c r="E40" t="s">
        <v>33</v>
      </c>
      <c r="F40" t="s">
        <v>34</v>
      </c>
      <c r="G40" t="s">
        <v>35</v>
      </c>
      <c r="H40" t="s">
        <v>36</v>
      </c>
      <c r="I40">
        <v>1241</v>
      </c>
    </row>
    <row r="41" spans="1:9" ht="14.5" x14ac:dyDescent="0.35">
      <c r="A41">
        <v>2</v>
      </c>
      <c r="B41" t="s">
        <v>44</v>
      </c>
      <c r="C41" t="s">
        <v>31</v>
      </c>
      <c r="D41" t="s">
        <v>32</v>
      </c>
      <c r="E41" t="s">
        <v>33</v>
      </c>
      <c r="F41" t="s">
        <v>34</v>
      </c>
      <c r="G41" t="s">
        <v>35</v>
      </c>
      <c r="H41" t="s">
        <v>38</v>
      </c>
      <c r="I41">
        <v>4340</v>
      </c>
    </row>
    <row r="42" spans="1:9" ht="14.5" x14ac:dyDescent="0.35">
      <c r="A42">
        <v>2</v>
      </c>
      <c r="B42" t="s">
        <v>45</v>
      </c>
      <c r="C42" t="s">
        <v>31</v>
      </c>
      <c r="D42" t="s">
        <v>32</v>
      </c>
      <c r="E42" t="s">
        <v>33</v>
      </c>
      <c r="F42" t="s">
        <v>37</v>
      </c>
      <c r="G42" t="s">
        <v>35</v>
      </c>
      <c r="H42" t="s">
        <v>36</v>
      </c>
      <c r="I42">
        <v>4393</v>
      </c>
    </row>
    <row r="43" spans="1:9" ht="14.5" x14ac:dyDescent="0.35">
      <c r="A43">
        <v>2</v>
      </c>
      <c r="B43" t="s">
        <v>45</v>
      </c>
      <c r="C43" t="s">
        <v>31</v>
      </c>
      <c r="D43" t="s">
        <v>32</v>
      </c>
      <c r="E43" t="s">
        <v>33</v>
      </c>
      <c r="F43" t="s">
        <v>37</v>
      </c>
      <c r="G43" t="s">
        <v>35</v>
      </c>
      <c r="H43" t="s">
        <v>38</v>
      </c>
      <c r="I43">
        <v>1350</v>
      </c>
    </row>
    <row r="44" spans="1:9" ht="14.5" x14ac:dyDescent="0.35">
      <c r="A44">
        <v>2</v>
      </c>
      <c r="B44" t="s">
        <v>45</v>
      </c>
      <c r="C44" t="s">
        <v>31</v>
      </c>
      <c r="D44" t="s">
        <v>32</v>
      </c>
      <c r="E44" t="s">
        <v>33</v>
      </c>
      <c r="F44" t="s">
        <v>40</v>
      </c>
      <c r="G44" t="s">
        <v>35</v>
      </c>
      <c r="H44" t="s">
        <v>36</v>
      </c>
      <c r="I44">
        <v>4725</v>
      </c>
    </row>
    <row r="45" spans="1:9" ht="14.5" x14ac:dyDescent="0.35">
      <c r="A45">
        <v>2</v>
      </c>
      <c r="B45" t="s">
        <v>45</v>
      </c>
      <c r="C45" t="s">
        <v>31</v>
      </c>
      <c r="D45" t="s">
        <v>32</v>
      </c>
      <c r="E45" t="s">
        <v>33</v>
      </c>
      <c r="F45" t="s">
        <v>40</v>
      </c>
      <c r="G45" t="s">
        <v>35</v>
      </c>
      <c r="H45" t="s">
        <v>38</v>
      </c>
      <c r="I45">
        <v>2513</v>
      </c>
    </row>
    <row r="46" spans="1:9" ht="14.5" x14ac:dyDescent="0.35">
      <c r="A46">
        <v>2</v>
      </c>
      <c r="B46" t="s">
        <v>45</v>
      </c>
      <c r="C46" t="s">
        <v>31</v>
      </c>
      <c r="D46" t="s">
        <v>32</v>
      </c>
      <c r="E46" t="s">
        <v>33</v>
      </c>
      <c r="F46" t="s">
        <v>39</v>
      </c>
      <c r="G46" t="s">
        <v>35</v>
      </c>
      <c r="H46" t="s">
        <v>36</v>
      </c>
      <c r="I46">
        <v>3194</v>
      </c>
    </row>
    <row r="47" spans="1:9" ht="14.5" x14ac:dyDescent="0.35">
      <c r="A47">
        <v>2</v>
      </c>
      <c r="B47" t="s">
        <v>45</v>
      </c>
      <c r="C47" t="s">
        <v>31</v>
      </c>
      <c r="D47" t="s">
        <v>32</v>
      </c>
      <c r="E47" t="s">
        <v>33</v>
      </c>
      <c r="F47" t="s">
        <v>39</v>
      </c>
      <c r="G47" t="s">
        <v>35</v>
      </c>
      <c r="H47" t="s">
        <v>38</v>
      </c>
      <c r="I47">
        <v>4847</v>
      </c>
    </row>
    <row r="48" spans="1:9" ht="14.5" x14ac:dyDescent="0.35">
      <c r="A48">
        <v>2</v>
      </c>
      <c r="B48" t="s">
        <v>45</v>
      </c>
      <c r="C48" t="s">
        <v>31</v>
      </c>
      <c r="D48" t="s">
        <v>32</v>
      </c>
      <c r="E48" t="s">
        <v>33</v>
      </c>
      <c r="F48" t="s">
        <v>34</v>
      </c>
      <c r="G48" t="s">
        <v>35</v>
      </c>
      <c r="H48" t="s">
        <v>36</v>
      </c>
      <c r="I48">
        <v>4978</v>
      </c>
    </row>
    <row r="49" spans="1:9" ht="14.5" x14ac:dyDescent="0.35">
      <c r="A49">
        <v>2</v>
      </c>
      <c r="B49" t="s">
        <v>45</v>
      </c>
      <c r="C49" t="s">
        <v>31</v>
      </c>
      <c r="D49" t="s">
        <v>32</v>
      </c>
      <c r="E49" t="s">
        <v>33</v>
      </c>
      <c r="F49" t="s">
        <v>34</v>
      </c>
      <c r="G49" t="s">
        <v>35</v>
      </c>
      <c r="H49" t="s">
        <v>38</v>
      </c>
      <c r="I49">
        <v>1666</v>
      </c>
    </row>
    <row r="50" spans="1:9" ht="14.5" x14ac:dyDescent="0.35">
      <c r="A50">
        <v>3</v>
      </c>
      <c r="B50" t="s">
        <v>46</v>
      </c>
      <c r="C50" t="s">
        <v>31</v>
      </c>
      <c r="D50" t="s">
        <v>32</v>
      </c>
      <c r="E50" t="s">
        <v>33</v>
      </c>
      <c r="F50" t="s">
        <v>37</v>
      </c>
      <c r="G50" t="s">
        <v>35</v>
      </c>
      <c r="H50" t="s">
        <v>36</v>
      </c>
      <c r="I50">
        <v>2525</v>
      </c>
    </row>
    <row r="51" spans="1:9" ht="14.5" x14ac:dyDescent="0.35">
      <c r="A51">
        <v>3</v>
      </c>
      <c r="B51" t="s">
        <v>46</v>
      </c>
      <c r="C51" t="s">
        <v>31</v>
      </c>
      <c r="D51" t="s">
        <v>32</v>
      </c>
      <c r="E51" t="s">
        <v>33</v>
      </c>
      <c r="F51" t="s">
        <v>37</v>
      </c>
      <c r="G51" t="s">
        <v>35</v>
      </c>
      <c r="H51" t="s">
        <v>38</v>
      </c>
      <c r="I51">
        <v>3566</v>
      </c>
    </row>
    <row r="52" spans="1:9" ht="14.5" x14ac:dyDescent="0.35">
      <c r="A52">
        <v>3</v>
      </c>
      <c r="B52" t="s">
        <v>46</v>
      </c>
      <c r="C52" t="s">
        <v>31</v>
      </c>
      <c r="D52" t="s">
        <v>32</v>
      </c>
      <c r="E52" t="s">
        <v>33</v>
      </c>
      <c r="F52" t="s">
        <v>40</v>
      </c>
      <c r="G52" t="s">
        <v>35</v>
      </c>
      <c r="H52" t="s">
        <v>36</v>
      </c>
      <c r="I52">
        <v>4166</v>
      </c>
    </row>
    <row r="53" spans="1:9" ht="14.5" x14ac:dyDescent="0.35">
      <c r="A53">
        <v>3</v>
      </c>
      <c r="B53" t="s">
        <v>46</v>
      </c>
      <c r="C53" t="s">
        <v>31</v>
      </c>
      <c r="D53" t="s">
        <v>32</v>
      </c>
      <c r="E53" t="s">
        <v>33</v>
      </c>
      <c r="F53" t="s">
        <v>40</v>
      </c>
      <c r="G53" t="s">
        <v>35</v>
      </c>
      <c r="H53" t="s">
        <v>38</v>
      </c>
      <c r="I53">
        <v>3533</v>
      </c>
    </row>
    <row r="54" spans="1:9" ht="14.5" x14ac:dyDescent="0.35">
      <c r="A54">
        <v>3</v>
      </c>
      <c r="B54" t="s">
        <v>46</v>
      </c>
      <c r="C54" t="s">
        <v>31</v>
      </c>
      <c r="D54" t="s">
        <v>32</v>
      </c>
      <c r="E54" t="s">
        <v>33</v>
      </c>
      <c r="F54" t="s">
        <v>39</v>
      </c>
      <c r="G54" t="s">
        <v>35</v>
      </c>
      <c r="H54" t="s">
        <v>36</v>
      </c>
      <c r="I54">
        <v>4908</v>
      </c>
    </row>
    <row r="55" spans="1:9" ht="14.5" x14ac:dyDescent="0.35">
      <c r="A55">
        <v>3</v>
      </c>
      <c r="B55" t="s">
        <v>46</v>
      </c>
      <c r="C55" t="s">
        <v>31</v>
      </c>
      <c r="D55" t="s">
        <v>32</v>
      </c>
      <c r="E55" t="s">
        <v>33</v>
      </c>
      <c r="F55" t="s">
        <v>39</v>
      </c>
      <c r="G55" t="s">
        <v>35</v>
      </c>
      <c r="H55" t="s">
        <v>38</v>
      </c>
      <c r="I55">
        <v>1759</v>
      </c>
    </row>
    <row r="56" spans="1:9" ht="14.5" x14ac:dyDescent="0.35">
      <c r="A56">
        <v>3</v>
      </c>
      <c r="B56" t="s">
        <v>46</v>
      </c>
      <c r="C56" t="s">
        <v>31</v>
      </c>
      <c r="D56" t="s">
        <v>32</v>
      </c>
      <c r="E56" t="s">
        <v>33</v>
      </c>
      <c r="F56" t="s">
        <v>34</v>
      </c>
      <c r="G56" t="s">
        <v>35</v>
      </c>
      <c r="H56" t="s">
        <v>36</v>
      </c>
      <c r="I56">
        <v>4836</v>
      </c>
    </row>
    <row r="57" spans="1:9" ht="14.5" x14ac:dyDescent="0.35">
      <c r="A57">
        <v>3</v>
      </c>
      <c r="B57" t="s">
        <v>46</v>
      </c>
      <c r="C57" t="s">
        <v>31</v>
      </c>
      <c r="D57" t="s">
        <v>32</v>
      </c>
      <c r="E57" t="s">
        <v>33</v>
      </c>
      <c r="F57" t="s">
        <v>34</v>
      </c>
      <c r="G57" t="s">
        <v>35</v>
      </c>
      <c r="H57" t="s">
        <v>38</v>
      </c>
      <c r="I57">
        <v>3742</v>
      </c>
    </row>
    <row r="58" spans="1:9" ht="14.5" x14ac:dyDescent="0.35">
      <c r="A58">
        <v>3</v>
      </c>
      <c r="B58" t="s">
        <v>47</v>
      </c>
      <c r="C58" t="s">
        <v>31</v>
      </c>
      <c r="D58" t="s">
        <v>32</v>
      </c>
      <c r="E58" t="s">
        <v>33</v>
      </c>
      <c r="F58" t="s">
        <v>37</v>
      </c>
      <c r="G58" t="s">
        <v>35</v>
      </c>
      <c r="H58" t="s">
        <v>36</v>
      </c>
      <c r="I58">
        <v>1682</v>
      </c>
    </row>
    <row r="59" spans="1:9" ht="14.5" x14ac:dyDescent="0.35">
      <c r="A59">
        <v>3</v>
      </c>
      <c r="B59" t="s">
        <v>47</v>
      </c>
      <c r="C59" t="s">
        <v>31</v>
      </c>
      <c r="D59" t="s">
        <v>32</v>
      </c>
      <c r="E59" t="s">
        <v>33</v>
      </c>
      <c r="F59" t="s">
        <v>37</v>
      </c>
      <c r="G59" t="s">
        <v>35</v>
      </c>
      <c r="H59" t="s">
        <v>38</v>
      </c>
      <c r="I59">
        <v>1098</v>
      </c>
    </row>
    <row r="60" spans="1:9" ht="14.5" x14ac:dyDescent="0.35">
      <c r="A60">
        <v>3</v>
      </c>
      <c r="B60" t="s">
        <v>47</v>
      </c>
      <c r="C60" t="s">
        <v>31</v>
      </c>
      <c r="D60" t="s">
        <v>32</v>
      </c>
      <c r="E60" t="s">
        <v>33</v>
      </c>
      <c r="F60" t="s">
        <v>40</v>
      </c>
      <c r="G60" t="s">
        <v>35</v>
      </c>
      <c r="H60" t="s">
        <v>36</v>
      </c>
      <c r="I60">
        <v>2228</v>
      </c>
    </row>
    <row r="61" spans="1:9" ht="14.5" x14ac:dyDescent="0.35">
      <c r="A61">
        <v>3</v>
      </c>
      <c r="B61" t="s">
        <v>47</v>
      </c>
      <c r="C61" t="s">
        <v>31</v>
      </c>
      <c r="D61" t="s">
        <v>32</v>
      </c>
      <c r="E61" t="s">
        <v>33</v>
      </c>
      <c r="F61" t="s">
        <v>40</v>
      </c>
      <c r="G61" t="s">
        <v>35</v>
      </c>
      <c r="H61" t="s">
        <v>38</v>
      </c>
      <c r="I61">
        <v>3187</v>
      </c>
    </row>
    <row r="62" spans="1:9" ht="14.5" x14ac:dyDescent="0.35">
      <c r="A62">
        <v>3</v>
      </c>
      <c r="B62" t="s">
        <v>47</v>
      </c>
      <c r="C62" t="s">
        <v>31</v>
      </c>
      <c r="D62" t="s">
        <v>32</v>
      </c>
      <c r="E62" t="s">
        <v>33</v>
      </c>
      <c r="F62" t="s">
        <v>39</v>
      </c>
      <c r="G62" t="s">
        <v>35</v>
      </c>
      <c r="H62" t="s">
        <v>36</v>
      </c>
      <c r="I62">
        <v>3251</v>
      </c>
    </row>
    <row r="63" spans="1:9" ht="14.5" x14ac:dyDescent="0.35">
      <c r="A63">
        <v>3</v>
      </c>
      <c r="B63" t="s">
        <v>47</v>
      </c>
      <c r="C63" t="s">
        <v>31</v>
      </c>
      <c r="D63" t="s">
        <v>32</v>
      </c>
      <c r="E63" t="s">
        <v>33</v>
      </c>
      <c r="F63" t="s">
        <v>39</v>
      </c>
      <c r="G63" t="s">
        <v>35</v>
      </c>
      <c r="H63" t="s">
        <v>38</v>
      </c>
      <c r="I63">
        <v>2522</v>
      </c>
    </row>
    <row r="64" spans="1:9" ht="14.5" x14ac:dyDescent="0.35">
      <c r="A64">
        <v>3</v>
      </c>
      <c r="B64" t="s">
        <v>47</v>
      </c>
      <c r="C64" t="s">
        <v>31</v>
      </c>
      <c r="D64" t="s">
        <v>32</v>
      </c>
      <c r="E64" t="s">
        <v>33</v>
      </c>
      <c r="F64" t="s">
        <v>34</v>
      </c>
      <c r="G64" t="s">
        <v>35</v>
      </c>
      <c r="H64" t="s">
        <v>36</v>
      </c>
      <c r="I64">
        <v>2475</v>
      </c>
    </row>
    <row r="65" spans="1:9" ht="14.5" x14ac:dyDescent="0.35">
      <c r="A65">
        <v>3</v>
      </c>
      <c r="B65" t="s">
        <v>47</v>
      </c>
      <c r="C65" t="s">
        <v>31</v>
      </c>
      <c r="D65" t="s">
        <v>32</v>
      </c>
      <c r="E65" t="s">
        <v>33</v>
      </c>
      <c r="F65" t="s">
        <v>34</v>
      </c>
      <c r="G65" t="s">
        <v>35</v>
      </c>
      <c r="H65" t="s">
        <v>38</v>
      </c>
      <c r="I65">
        <v>4011</v>
      </c>
    </row>
    <row r="66" spans="1:9" ht="14.5" x14ac:dyDescent="0.35">
      <c r="A66">
        <v>3</v>
      </c>
      <c r="B66" t="s">
        <v>48</v>
      </c>
      <c r="C66" t="s">
        <v>31</v>
      </c>
      <c r="D66" t="s">
        <v>32</v>
      </c>
      <c r="E66" t="s">
        <v>33</v>
      </c>
      <c r="F66" t="s">
        <v>37</v>
      </c>
      <c r="G66" t="s">
        <v>35</v>
      </c>
      <c r="H66" t="s">
        <v>36</v>
      </c>
      <c r="I66">
        <v>1921</v>
      </c>
    </row>
    <row r="67" spans="1:9" ht="14.5" x14ac:dyDescent="0.35">
      <c r="A67">
        <v>3</v>
      </c>
      <c r="B67" t="s">
        <v>48</v>
      </c>
      <c r="C67" t="s">
        <v>31</v>
      </c>
      <c r="D67" t="s">
        <v>32</v>
      </c>
      <c r="E67" t="s">
        <v>33</v>
      </c>
      <c r="F67" t="s">
        <v>37</v>
      </c>
      <c r="G67" t="s">
        <v>35</v>
      </c>
      <c r="H67" t="s">
        <v>38</v>
      </c>
      <c r="I67">
        <v>3674</v>
      </c>
    </row>
    <row r="68" spans="1:9" ht="14.5" x14ac:dyDescent="0.35">
      <c r="A68">
        <v>3</v>
      </c>
      <c r="B68" t="s">
        <v>48</v>
      </c>
      <c r="C68" t="s">
        <v>31</v>
      </c>
      <c r="D68" t="s">
        <v>32</v>
      </c>
      <c r="E68" t="s">
        <v>33</v>
      </c>
      <c r="F68" t="s">
        <v>40</v>
      </c>
      <c r="G68" t="s">
        <v>35</v>
      </c>
      <c r="H68" t="s">
        <v>36</v>
      </c>
      <c r="I68">
        <v>1844</v>
      </c>
    </row>
    <row r="69" spans="1:9" ht="14.5" x14ac:dyDescent="0.35">
      <c r="A69">
        <v>3</v>
      </c>
      <c r="B69" t="s">
        <v>48</v>
      </c>
      <c r="C69" t="s">
        <v>31</v>
      </c>
      <c r="D69" t="s">
        <v>32</v>
      </c>
      <c r="E69" t="s">
        <v>33</v>
      </c>
      <c r="F69" t="s">
        <v>40</v>
      </c>
      <c r="G69" t="s">
        <v>35</v>
      </c>
      <c r="H69" t="s">
        <v>38</v>
      </c>
      <c r="I69">
        <v>1321</v>
      </c>
    </row>
    <row r="70" spans="1:9" ht="14.5" x14ac:dyDescent="0.35">
      <c r="A70">
        <v>3</v>
      </c>
      <c r="B70" t="s">
        <v>48</v>
      </c>
      <c r="C70" t="s">
        <v>31</v>
      </c>
      <c r="D70" t="s">
        <v>32</v>
      </c>
      <c r="E70" t="s">
        <v>33</v>
      </c>
      <c r="F70" t="s">
        <v>39</v>
      </c>
      <c r="G70" t="s">
        <v>35</v>
      </c>
      <c r="H70" t="s">
        <v>36</v>
      </c>
      <c r="I70">
        <v>4073</v>
      </c>
    </row>
    <row r="71" spans="1:9" ht="14.5" x14ac:dyDescent="0.35">
      <c r="A71">
        <v>3</v>
      </c>
      <c r="B71" t="s">
        <v>48</v>
      </c>
      <c r="C71" t="s">
        <v>31</v>
      </c>
      <c r="D71" t="s">
        <v>32</v>
      </c>
      <c r="E71" t="s">
        <v>33</v>
      </c>
      <c r="F71" t="s">
        <v>39</v>
      </c>
      <c r="G71" t="s">
        <v>35</v>
      </c>
      <c r="H71" t="s">
        <v>38</v>
      </c>
      <c r="I71">
        <v>4013</v>
      </c>
    </row>
    <row r="72" spans="1:9" ht="14.5" x14ac:dyDescent="0.35">
      <c r="A72">
        <v>3</v>
      </c>
      <c r="B72" t="s">
        <v>48</v>
      </c>
      <c r="C72" t="s">
        <v>31</v>
      </c>
      <c r="D72" t="s">
        <v>32</v>
      </c>
      <c r="E72" t="s">
        <v>33</v>
      </c>
      <c r="F72" t="s">
        <v>34</v>
      </c>
      <c r="G72" t="s">
        <v>35</v>
      </c>
      <c r="H72" t="s">
        <v>36</v>
      </c>
      <c r="I72">
        <v>4304</v>
      </c>
    </row>
    <row r="73" spans="1:9" ht="14.5" x14ac:dyDescent="0.35">
      <c r="A73">
        <v>3</v>
      </c>
      <c r="B73" t="s">
        <v>48</v>
      </c>
      <c r="C73" t="s">
        <v>31</v>
      </c>
      <c r="D73" t="s">
        <v>32</v>
      </c>
      <c r="E73" t="s">
        <v>33</v>
      </c>
      <c r="F73" t="s">
        <v>34</v>
      </c>
      <c r="G73" t="s">
        <v>35</v>
      </c>
      <c r="H73" t="s">
        <v>38</v>
      </c>
      <c r="I73">
        <v>4436</v>
      </c>
    </row>
    <row r="74" spans="1:9" ht="14.5" x14ac:dyDescent="0.35">
      <c r="A74">
        <v>4</v>
      </c>
      <c r="B74" t="s">
        <v>49</v>
      </c>
      <c r="C74" t="s">
        <v>31</v>
      </c>
      <c r="D74" t="s">
        <v>32</v>
      </c>
      <c r="E74" t="s">
        <v>33</v>
      </c>
      <c r="F74" t="s">
        <v>37</v>
      </c>
      <c r="G74" t="s">
        <v>35</v>
      </c>
      <c r="H74" t="s">
        <v>36</v>
      </c>
      <c r="I74">
        <v>1436</v>
      </c>
    </row>
    <row r="75" spans="1:9" ht="14.5" x14ac:dyDescent="0.35">
      <c r="A75">
        <v>4</v>
      </c>
      <c r="B75" t="s">
        <v>49</v>
      </c>
      <c r="C75" t="s">
        <v>31</v>
      </c>
      <c r="D75" t="s">
        <v>32</v>
      </c>
      <c r="E75" t="s">
        <v>33</v>
      </c>
      <c r="F75" t="s">
        <v>37</v>
      </c>
      <c r="G75" t="s">
        <v>35</v>
      </c>
      <c r="H75" t="s">
        <v>38</v>
      </c>
      <c r="I75">
        <v>3148</v>
      </c>
    </row>
    <row r="76" spans="1:9" ht="14.5" x14ac:dyDescent="0.35">
      <c r="A76">
        <v>4</v>
      </c>
      <c r="B76" t="s">
        <v>49</v>
      </c>
      <c r="C76" t="s">
        <v>31</v>
      </c>
      <c r="D76" t="s">
        <v>32</v>
      </c>
      <c r="E76" t="s">
        <v>33</v>
      </c>
      <c r="F76" t="s">
        <v>40</v>
      </c>
      <c r="G76" t="s">
        <v>35</v>
      </c>
      <c r="H76" t="s">
        <v>36</v>
      </c>
      <c r="I76">
        <v>3483</v>
      </c>
    </row>
    <row r="77" spans="1:9" ht="14.5" x14ac:dyDescent="0.35">
      <c r="A77">
        <v>4</v>
      </c>
      <c r="B77" t="s">
        <v>49</v>
      </c>
      <c r="C77" t="s">
        <v>31</v>
      </c>
      <c r="D77" t="s">
        <v>32</v>
      </c>
      <c r="E77" t="s">
        <v>33</v>
      </c>
      <c r="F77" t="s">
        <v>40</v>
      </c>
      <c r="G77" t="s">
        <v>35</v>
      </c>
      <c r="H77" t="s">
        <v>38</v>
      </c>
      <c r="I77">
        <v>3535</v>
      </c>
    </row>
    <row r="78" spans="1:9" ht="14.5" x14ac:dyDescent="0.35">
      <c r="A78">
        <v>4</v>
      </c>
      <c r="B78" t="s">
        <v>49</v>
      </c>
      <c r="C78" t="s">
        <v>31</v>
      </c>
      <c r="D78" t="s">
        <v>32</v>
      </c>
      <c r="E78" t="s">
        <v>33</v>
      </c>
      <c r="F78" t="s">
        <v>39</v>
      </c>
      <c r="G78" t="s">
        <v>35</v>
      </c>
      <c r="H78" t="s">
        <v>36</v>
      </c>
      <c r="I78">
        <v>3541</v>
      </c>
    </row>
    <row r="79" spans="1:9" ht="14.5" x14ac:dyDescent="0.35">
      <c r="A79">
        <v>4</v>
      </c>
      <c r="B79" t="s">
        <v>49</v>
      </c>
      <c r="C79" t="s">
        <v>31</v>
      </c>
      <c r="D79" t="s">
        <v>32</v>
      </c>
      <c r="E79" t="s">
        <v>33</v>
      </c>
      <c r="F79" t="s">
        <v>39</v>
      </c>
      <c r="G79" t="s">
        <v>35</v>
      </c>
      <c r="H79" t="s">
        <v>38</v>
      </c>
      <c r="I79">
        <v>3130</v>
      </c>
    </row>
    <row r="80" spans="1:9" ht="14.5" x14ac:dyDescent="0.35">
      <c r="A80">
        <v>4</v>
      </c>
      <c r="B80" t="s">
        <v>49</v>
      </c>
      <c r="C80" t="s">
        <v>31</v>
      </c>
      <c r="D80" t="s">
        <v>32</v>
      </c>
      <c r="E80" t="s">
        <v>33</v>
      </c>
      <c r="F80" t="s">
        <v>34</v>
      </c>
      <c r="G80" t="s">
        <v>35</v>
      </c>
      <c r="H80" t="s">
        <v>36</v>
      </c>
      <c r="I80">
        <v>2722</v>
      </c>
    </row>
    <row r="81" spans="1:9" ht="14.5" x14ac:dyDescent="0.35">
      <c r="A81">
        <v>4</v>
      </c>
      <c r="B81" t="s">
        <v>49</v>
      </c>
      <c r="C81" t="s">
        <v>31</v>
      </c>
      <c r="D81" t="s">
        <v>32</v>
      </c>
      <c r="E81" t="s">
        <v>33</v>
      </c>
      <c r="F81" t="s">
        <v>34</v>
      </c>
      <c r="G81" t="s">
        <v>35</v>
      </c>
      <c r="H81" t="s">
        <v>38</v>
      </c>
      <c r="I81">
        <v>4665</v>
      </c>
    </row>
    <row r="82" spans="1:9" ht="14.5" x14ac:dyDescent="0.35">
      <c r="A82">
        <v>4</v>
      </c>
      <c r="B82" t="s">
        <v>50</v>
      </c>
      <c r="C82" t="s">
        <v>31</v>
      </c>
      <c r="D82" t="s">
        <v>32</v>
      </c>
      <c r="E82" t="s">
        <v>33</v>
      </c>
      <c r="F82" t="s">
        <v>37</v>
      </c>
      <c r="G82" t="s">
        <v>35</v>
      </c>
      <c r="H82" t="s">
        <v>36</v>
      </c>
      <c r="I82">
        <v>4126</v>
      </c>
    </row>
    <row r="83" spans="1:9" ht="14.5" x14ac:dyDescent="0.35">
      <c r="A83">
        <v>4</v>
      </c>
      <c r="B83" t="s">
        <v>50</v>
      </c>
      <c r="C83" t="s">
        <v>31</v>
      </c>
      <c r="D83" t="s">
        <v>32</v>
      </c>
      <c r="E83" t="s">
        <v>33</v>
      </c>
      <c r="F83" t="s">
        <v>37</v>
      </c>
      <c r="G83" t="s">
        <v>35</v>
      </c>
      <c r="H83" t="s">
        <v>38</v>
      </c>
      <c r="I83">
        <v>3755</v>
      </c>
    </row>
    <row r="84" spans="1:9" ht="14.5" x14ac:dyDescent="0.35">
      <c r="A84">
        <v>4</v>
      </c>
      <c r="B84" t="s">
        <v>50</v>
      </c>
      <c r="C84" t="s">
        <v>31</v>
      </c>
      <c r="D84" t="s">
        <v>32</v>
      </c>
      <c r="E84" t="s">
        <v>33</v>
      </c>
      <c r="F84" t="s">
        <v>40</v>
      </c>
      <c r="G84" t="s">
        <v>35</v>
      </c>
      <c r="H84" t="s">
        <v>36</v>
      </c>
      <c r="I84">
        <v>2608</v>
      </c>
    </row>
    <row r="85" spans="1:9" ht="14.5" x14ac:dyDescent="0.35">
      <c r="A85">
        <v>4</v>
      </c>
      <c r="B85" t="s">
        <v>50</v>
      </c>
      <c r="C85" t="s">
        <v>31</v>
      </c>
      <c r="D85" t="s">
        <v>32</v>
      </c>
      <c r="E85" t="s">
        <v>33</v>
      </c>
      <c r="F85" t="s">
        <v>40</v>
      </c>
      <c r="G85" t="s">
        <v>35</v>
      </c>
      <c r="H85" t="s">
        <v>38</v>
      </c>
      <c r="I85">
        <v>2704</v>
      </c>
    </row>
    <row r="86" spans="1:9" ht="14.5" x14ac:dyDescent="0.35">
      <c r="A86">
        <v>4</v>
      </c>
      <c r="B86" t="s">
        <v>50</v>
      </c>
      <c r="C86" t="s">
        <v>31</v>
      </c>
      <c r="D86" t="s">
        <v>32</v>
      </c>
      <c r="E86" t="s">
        <v>33</v>
      </c>
      <c r="F86" t="s">
        <v>39</v>
      </c>
      <c r="G86" t="s">
        <v>35</v>
      </c>
      <c r="H86" t="s">
        <v>36</v>
      </c>
      <c r="I86">
        <v>4524</v>
      </c>
    </row>
    <row r="87" spans="1:9" ht="14.5" x14ac:dyDescent="0.35">
      <c r="A87">
        <v>4</v>
      </c>
      <c r="B87" t="s">
        <v>50</v>
      </c>
      <c r="C87" t="s">
        <v>31</v>
      </c>
      <c r="D87" t="s">
        <v>32</v>
      </c>
      <c r="E87" t="s">
        <v>33</v>
      </c>
      <c r="F87" t="s">
        <v>39</v>
      </c>
      <c r="G87" t="s">
        <v>35</v>
      </c>
      <c r="H87" t="s">
        <v>38</v>
      </c>
      <c r="I87">
        <v>1095</v>
      </c>
    </row>
    <row r="88" spans="1:9" ht="14.5" x14ac:dyDescent="0.35">
      <c r="A88">
        <v>4</v>
      </c>
      <c r="B88" t="s">
        <v>50</v>
      </c>
      <c r="C88" t="s">
        <v>31</v>
      </c>
      <c r="D88" t="s">
        <v>32</v>
      </c>
      <c r="E88" t="s">
        <v>33</v>
      </c>
      <c r="F88" t="s">
        <v>34</v>
      </c>
      <c r="G88" t="s">
        <v>35</v>
      </c>
      <c r="H88" t="s">
        <v>36</v>
      </c>
      <c r="I88">
        <v>1471</v>
      </c>
    </row>
    <row r="89" spans="1:9" ht="14.5" x14ac:dyDescent="0.35">
      <c r="A89">
        <v>4</v>
      </c>
      <c r="B89" t="s">
        <v>50</v>
      </c>
      <c r="C89" t="s">
        <v>31</v>
      </c>
      <c r="D89" t="s">
        <v>32</v>
      </c>
      <c r="E89" t="s">
        <v>33</v>
      </c>
      <c r="F89" t="s">
        <v>34</v>
      </c>
      <c r="G89" t="s">
        <v>35</v>
      </c>
      <c r="H89" t="s">
        <v>38</v>
      </c>
      <c r="I89">
        <v>1411</v>
      </c>
    </row>
    <row r="90" spans="1:9" ht="14.5" x14ac:dyDescent="0.35">
      <c r="A90">
        <v>4</v>
      </c>
      <c r="B90" t="s">
        <v>51</v>
      </c>
      <c r="C90" t="s">
        <v>31</v>
      </c>
      <c r="D90" t="s">
        <v>32</v>
      </c>
      <c r="E90" t="s">
        <v>33</v>
      </c>
      <c r="F90" t="s">
        <v>37</v>
      </c>
      <c r="G90" t="s">
        <v>35</v>
      </c>
      <c r="H90" t="s">
        <v>36</v>
      </c>
      <c r="I90">
        <v>4038</v>
      </c>
    </row>
    <row r="91" spans="1:9" ht="14.5" x14ac:dyDescent="0.35">
      <c r="A91">
        <v>4</v>
      </c>
      <c r="B91" t="s">
        <v>51</v>
      </c>
      <c r="C91" t="s">
        <v>31</v>
      </c>
      <c r="D91" t="s">
        <v>32</v>
      </c>
      <c r="E91" t="s">
        <v>33</v>
      </c>
      <c r="F91" t="s">
        <v>37</v>
      </c>
      <c r="G91" t="s">
        <v>35</v>
      </c>
      <c r="H91" t="s">
        <v>38</v>
      </c>
      <c r="I91">
        <v>1128</v>
      </c>
    </row>
    <row r="92" spans="1:9" ht="14.5" x14ac:dyDescent="0.35">
      <c r="A92">
        <v>4</v>
      </c>
      <c r="B92" t="s">
        <v>51</v>
      </c>
      <c r="C92" t="s">
        <v>31</v>
      </c>
      <c r="D92" t="s">
        <v>32</v>
      </c>
      <c r="E92" t="s">
        <v>33</v>
      </c>
      <c r="F92" t="s">
        <v>40</v>
      </c>
      <c r="G92" t="s">
        <v>35</v>
      </c>
      <c r="H92" t="s">
        <v>36</v>
      </c>
      <c r="I92">
        <v>2049</v>
      </c>
    </row>
    <row r="93" spans="1:9" ht="14.5" x14ac:dyDescent="0.35">
      <c r="A93">
        <v>4</v>
      </c>
      <c r="B93" t="s">
        <v>51</v>
      </c>
      <c r="C93" t="s">
        <v>31</v>
      </c>
      <c r="D93" t="s">
        <v>32</v>
      </c>
      <c r="E93" t="s">
        <v>33</v>
      </c>
      <c r="F93" t="s">
        <v>40</v>
      </c>
      <c r="G93" t="s">
        <v>35</v>
      </c>
      <c r="H93" t="s">
        <v>38</v>
      </c>
      <c r="I93">
        <v>2270</v>
      </c>
    </row>
    <row r="94" spans="1:9" ht="14.5" x14ac:dyDescent="0.35">
      <c r="A94">
        <v>4</v>
      </c>
      <c r="B94" t="s">
        <v>51</v>
      </c>
      <c r="C94" t="s">
        <v>31</v>
      </c>
      <c r="D94" t="s">
        <v>32</v>
      </c>
      <c r="E94" t="s">
        <v>33</v>
      </c>
      <c r="F94" t="s">
        <v>39</v>
      </c>
      <c r="G94" t="s">
        <v>35</v>
      </c>
      <c r="H94" t="s">
        <v>36</v>
      </c>
      <c r="I94">
        <v>2163</v>
      </c>
    </row>
    <row r="95" spans="1:9" ht="14.5" x14ac:dyDescent="0.35">
      <c r="A95">
        <v>4</v>
      </c>
      <c r="B95" t="s">
        <v>51</v>
      </c>
      <c r="C95" t="s">
        <v>31</v>
      </c>
      <c r="D95" t="s">
        <v>32</v>
      </c>
      <c r="E95" t="s">
        <v>33</v>
      </c>
      <c r="F95" t="s">
        <v>39</v>
      </c>
      <c r="G95" t="s">
        <v>35</v>
      </c>
      <c r="H95" t="s">
        <v>38</v>
      </c>
      <c r="I95">
        <v>3547</v>
      </c>
    </row>
    <row r="96" spans="1:9" ht="14.5" x14ac:dyDescent="0.35">
      <c r="A96">
        <v>4</v>
      </c>
      <c r="B96" t="s">
        <v>51</v>
      </c>
      <c r="C96" t="s">
        <v>31</v>
      </c>
      <c r="D96" t="s">
        <v>32</v>
      </c>
      <c r="E96" t="s">
        <v>33</v>
      </c>
      <c r="F96" t="s">
        <v>34</v>
      </c>
      <c r="G96" t="s">
        <v>35</v>
      </c>
      <c r="H96" t="s">
        <v>36</v>
      </c>
      <c r="I96">
        <v>3515</v>
      </c>
    </row>
    <row r="97" spans="1:9" ht="14.5" x14ac:dyDescent="0.35">
      <c r="A97">
        <v>4</v>
      </c>
      <c r="B97" t="s">
        <v>51</v>
      </c>
      <c r="C97" t="s">
        <v>31</v>
      </c>
      <c r="D97" t="s">
        <v>32</v>
      </c>
      <c r="E97" t="s">
        <v>33</v>
      </c>
      <c r="F97" t="s">
        <v>34</v>
      </c>
      <c r="G97" t="s">
        <v>35</v>
      </c>
      <c r="H97" t="s">
        <v>38</v>
      </c>
      <c r="I97">
        <v>1859</v>
      </c>
    </row>
    <row r="98" spans="1:9" ht="14.5" x14ac:dyDescent="0.35">
      <c r="A98">
        <v>1</v>
      </c>
      <c r="B98" t="s">
        <v>30</v>
      </c>
      <c r="C98" t="s">
        <v>31</v>
      </c>
      <c r="D98" t="s">
        <v>32</v>
      </c>
      <c r="E98" t="s">
        <v>33</v>
      </c>
      <c r="F98" t="s">
        <v>40</v>
      </c>
      <c r="G98" t="s">
        <v>52</v>
      </c>
      <c r="H98" t="s">
        <v>36</v>
      </c>
      <c r="I98">
        <v>3661</v>
      </c>
    </row>
    <row r="99" spans="1:9" ht="14.5" x14ac:dyDescent="0.35">
      <c r="A99">
        <v>1</v>
      </c>
      <c r="B99" t="s">
        <v>30</v>
      </c>
      <c r="C99" t="s">
        <v>31</v>
      </c>
      <c r="D99" t="s">
        <v>32</v>
      </c>
      <c r="E99" t="s">
        <v>33</v>
      </c>
      <c r="F99" t="s">
        <v>34</v>
      </c>
      <c r="G99" t="s">
        <v>52</v>
      </c>
      <c r="H99" t="s">
        <v>38</v>
      </c>
      <c r="I99">
        <v>4035</v>
      </c>
    </row>
    <row r="100" spans="1:9" ht="14.5" x14ac:dyDescent="0.35">
      <c r="A100">
        <v>1</v>
      </c>
      <c r="B100" t="s">
        <v>30</v>
      </c>
      <c r="C100" t="s">
        <v>31</v>
      </c>
      <c r="D100" t="s">
        <v>32</v>
      </c>
      <c r="E100" t="s">
        <v>33</v>
      </c>
      <c r="F100" t="s">
        <v>37</v>
      </c>
      <c r="G100" t="s">
        <v>52</v>
      </c>
      <c r="H100" t="s">
        <v>36</v>
      </c>
      <c r="I100">
        <v>1806</v>
      </c>
    </row>
    <row r="101" spans="1:9" ht="14.5" x14ac:dyDescent="0.35">
      <c r="A101">
        <v>1</v>
      </c>
      <c r="B101" t="s">
        <v>30</v>
      </c>
      <c r="C101" t="s">
        <v>31</v>
      </c>
      <c r="D101" t="s">
        <v>32</v>
      </c>
      <c r="E101" t="s">
        <v>33</v>
      </c>
      <c r="F101" t="s">
        <v>37</v>
      </c>
      <c r="G101" t="s">
        <v>52</v>
      </c>
      <c r="H101" t="s">
        <v>38</v>
      </c>
      <c r="I101">
        <v>4388</v>
      </c>
    </row>
    <row r="102" spans="1:9" ht="14.5" x14ac:dyDescent="0.35">
      <c r="A102">
        <v>1</v>
      </c>
      <c r="B102" t="s">
        <v>30</v>
      </c>
      <c r="C102" t="s">
        <v>31</v>
      </c>
      <c r="D102" t="s">
        <v>32</v>
      </c>
      <c r="E102" t="s">
        <v>33</v>
      </c>
      <c r="F102" t="s">
        <v>40</v>
      </c>
      <c r="G102" t="s">
        <v>52</v>
      </c>
      <c r="H102" t="s">
        <v>38</v>
      </c>
      <c r="I102">
        <v>1256</v>
      </c>
    </row>
    <row r="103" spans="1:9" ht="14.5" x14ac:dyDescent="0.35">
      <c r="A103">
        <v>1</v>
      </c>
      <c r="B103" t="s">
        <v>30</v>
      </c>
      <c r="C103" t="s">
        <v>31</v>
      </c>
      <c r="D103" t="s">
        <v>32</v>
      </c>
      <c r="E103" t="s">
        <v>33</v>
      </c>
      <c r="F103" t="s">
        <v>39</v>
      </c>
      <c r="G103" t="s">
        <v>52</v>
      </c>
      <c r="H103" t="s">
        <v>36</v>
      </c>
      <c r="I103">
        <v>2840</v>
      </c>
    </row>
    <row r="104" spans="1:9" ht="14.5" x14ac:dyDescent="0.35">
      <c r="A104">
        <v>1</v>
      </c>
      <c r="B104" t="s">
        <v>30</v>
      </c>
      <c r="C104" t="s">
        <v>31</v>
      </c>
      <c r="D104" t="s">
        <v>32</v>
      </c>
      <c r="E104" t="s">
        <v>33</v>
      </c>
      <c r="F104" t="s">
        <v>39</v>
      </c>
      <c r="G104" t="s">
        <v>52</v>
      </c>
      <c r="H104" t="s">
        <v>38</v>
      </c>
      <c r="I104">
        <v>1012</v>
      </c>
    </row>
    <row r="105" spans="1:9" ht="14.5" x14ac:dyDescent="0.35">
      <c r="A105">
        <v>1</v>
      </c>
      <c r="B105" t="s">
        <v>30</v>
      </c>
      <c r="C105" t="s">
        <v>31</v>
      </c>
      <c r="D105" t="s">
        <v>32</v>
      </c>
      <c r="E105" t="s">
        <v>33</v>
      </c>
      <c r="F105" t="s">
        <v>34</v>
      </c>
      <c r="G105" t="s">
        <v>52</v>
      </c>
      <c r="H105" t="s">
        <v>36</v>
      </c>
      <c r="I105">
        <v>3308</v>
      </c>
    </row>
    <row r="106" spans="1:9" ht="14.5" x14ac:dyDescent="0.35">
      <c r="A106">
        <v>1</v>
      </c>
      <c r="B106" t="s">
        <v>41</v>
      </c>
      <c r="C106" t="s">
        <v>31</v>
      </c>
      <c r="D106" t="s">
        <v>32</v>
      </c>
      <c r="E106" t="s">
        <v>33</v>
      </c>
      <c r="F106" t="s">
        <v>37</v>
      </c>
      <c r="G106" t="s">
        <v>52</v>
      </c>
      <c r="H106" t="s">
        <v>36</v>
      </c>
      <c r="I106">
        <v>2437</v>
      </c>
    </row>
    <row r="107" spans="1:9" ht="14.5" x14ac:dyDescent="0.35">
      <c r="A107">
        <v>1</v>
      </c>
      <c r="B107" t="s">
        <v>41</v>
      </c>
      <c r="C107" t="s">
        <v>31</v>
      </c>
      <c r="D107" t="s">
        <v>32</v>
      </c>
      <c r="E107" t="s">
        <v>33</v>
      </c>
      <c r="F107" t="s">
        <v>37</v>
      </c>
      <c r="G107" t="s">
        <v>52</v>
      </c>
      <c r="H107" t="s">
        <v>38</v>
      </c>
      <c r="I107">
        <v>1775</v>
      </c>
    </row>
    <row r="108" spans="1:9" ht="14.5" x14ac:dyDescent="0.35">
      <c r="A108">
        <v>1</v>
      </c>
      <c r="B108" t="s">
        <v>41</v>
      </c>
      <c r="C108" t="s">
        <v>31</v>
      </c>
      <c r="D108" t="s">
        <v>32</v>
      </c>
      <c r="E108" t="s">
        <v>33</v>
      </c>
      <c r="F108" t="s">
        <v>40</v>
      </c>
      <c r="G108" t="s">
        <v>52</v>
      </c>
      <c r="H108" t="s">
        <v>36</v>
      </c>
      <c r="I108">
        <v>2296</v>
      </c>
    </row>
    <row r="109" spans="1:9" ht="14.5" x14ac:dyDescent="0.35">
      <c r="A109">
        <v>1</v>
      </c>
      <c r="B109" t="s">
        <v>41</v>
      </c>
      <c r="C109" t="s">
        <v>31</v>
      </c>
      <c r="D109" t="s">
        <v>32</v>
      </c>
      <c r="E109" t="s">
        <v>33</v>
      </c>
      <c r="F109" t="s">
        <v>40</v>
      </c>
      <c r="G109" t="s">
        <v>52</v>
      </c>
      <c r="H109" t="s">
        <v>38</v>
      </c>
      <c r="I109">
        <v>2384</v>
      </c>
    </row>
    <row r="110" spans="1:9" ht="14.5" x14ac:dyDescent="0.35">
      <c r="A110">
        <v>1</v>
      </c>
      <c r="B110" t="s">
        <v>41</v>
      </c>
      <c r="C110" t="s">
        <v>31</v>
      </c>
      <c r="D110" t="s">
        <v>32</v>
      </c>
      <c r="E110" t="s">
        <v>33</v>
      </c>
      <c r="F110" t="s">
        <v>39</v>
      </c>
      <c r="G110" t="s">
        <v>52</v>
      </c>
      <c r="H110" t="s">
        <v>36</v>
      </c>
      <c r="I110">
        <v>2589</v>
      </c>
    </row>
    <row r="111" spans="1:9" ht="14.5" x14ac:dyDescent="0.35">
      <c r="A111">
        <v>1</v>
      </c>
      <c r="B111" t="s">
        <v>41</v>
      </c>
      <c r="C111" t="s">
        <v>31</v>
      </c>
      <c r="D111" t="s">
        <v>32</v>
      </c>
      <c r="E111" t="s">
        <v>33</v>
      </c>
      <c r="F111" t="s">
        <v>39</v>
      </c>
      <c r="G111" t="s">
        <v>52</v>
      </c>
      <c r="H111" t="s">
        <v>38</v>
      </c>
      <c r="I111">
        <v>1039</v>
      </c>
    </row>
    <row r="112" spans="1:9" ht="14.5" x14ac:dyDescent="0.35">
      <c r="A112">
        <v>1</v>
      </c>
      <c r="B112" t="s">
        <v>41</v>
      </c>
      <c r="C112" t="s">
        <v>31</v>
      </c>
      <c r="D112" t="s">
        <v>32</v>
      </c>
      <c r="E112" t="s">
        <v>33</v>
      </c>
      <c r="F112" t="s">
        <v>34</v>
      </c>
      <c r="G112" t="s">
        <v>52</v>
      </c>
      <c r="H112" t="s">
        <v>36</v>
      </c>
      <c r="I112">
        <v>1075</v>
      </c>
    </row>
    <row r="113" spans="1:9" ht="14.5" x14ac:dyDescent="0.35">
      <c r="A113">
        <v>1</v>
      </c>
      <c r="B113" t="s">
        <v>41</v>
      </c>
      <c r="C113" t="s">
        <v>31</v>
      </c>
      <c r="D113" t="s">
        <v>32</v>
      </c>
      <c r="E113" t="s">
        <v>33</v>
      </c>
      <c r="F113" t="s">
        <v>34</v>
      </c>
      <c r="G113" t="s">
        <v>52</v>
      </c>
      <c r="H113" t="s">
        <v>38</v>
      </c>
      <c r="I113">
        <v>1818</v>
      </c>
    </row>
    <row r="114" spans="1:9" ht="14.5" x14ac:dyDescent="0.35">
      <c r="A114">
        <v>1</v>
      </c>
      <c r="B114" t="s">
        <v>42</v>
      </c>
      <c r="C114" t="s">
        <v>31</v>
      </c>
      <c r="D114" t="s">
        <v>32</v>
      </c>
      <c r="E114" t="s">
        <v>33</v>
      </c>
      <c r="F114" t="s">
        <v>37</v>
      </c>
      <c r="G114" t="s">
        <v>52</v>
      </c>
      <c r="H114" t="s">
        <v>36</v>
      </c>
      <c r="I114">
        <v>4932</v>
      </c>
    </row>
    <row r="115" spans="1:9" ht="14.5" x14ac:dyDescent="0.35">
      <c r="A115">
        <v>1</v>
      </c>
      <c r="B115" t="s">
        <v>42</v>
      </c>
      <c r="C115" t="s">
        <v>31</v>
      </c>
      <c r="D115" t="s">
        <v>32</v>
      </c>
      <c r="E115" t="s">
        <v>33</v>
      </c>
      <c r="F115" t="s">
        <v>37</v>
      </c>
      <c r="G115" t="s">
        <v>52</v>
      </c>
      <c r="H115" t="s">
        <v>38</v>
      </c>
      <c r="I115">
        <v>3999</v>
      </c>
    </row>
    <row r="116" spans="1:9" ht="14.5" x14ac:dyDescent="0.35">
      <c r="A116">
        <v>1</v>
      </c>
      <c r="B116" t="s">
        <v>42</v>
      </c>
      <c r="C116" t="s">
        <v>31</v>
      </c>
      <c r="D116" t="s">
        <v>32</v>
      </c>
      <c r="E116" t="s">
        <v>33</v>
      </c>
      <c r="F116" t="s">
        <v>40</v>
      </c>
      <c r="G116" t="s">
        <v>52</v>
      </c>
      <c r="H116" t="s">
        <v>36</v>
      </c>
      <c r="I116">
        <v>3066</v>
      </c>
    </row>
    <row r="117" spans="1:9" ht="14.5" x14ac:dyDescent="0.35">
      <c r="A117">
        <v>1</v>
      </c>
      <c r="B117" t="s">
        <v>42</v>
      </c>
      <c r="C117" t="s">
        <v>31</v>
      </c>
      <c r="D117" t="s">
        <v>32</v>
      </c>
      <c r="E117" t="s">
        <v>33</v>
      </c>
      <c r="F117" t="s">
        <v>40</v>
      </c>
      <c r="G117" t="s">
        <v>52</v>
      </c>
      <c r="H117" t="s">
        <v>38</v>
      </c>
      <c r="I117">
        <v>2669</v>
      </c>
    </row>
    <row r="118" spans="1:9" ht="14.5" x14ac:dyDescent="0.35">
      <c r="A118">
        <v>1</v>
      </c>
      <c r="B118" t="s">
        <v>42</v>
      </c>
      <c r="C118" t="s">
        <v>31</v>
      </c>
      <c r="D118" t="s">
        <v>32</v>
      </c>
      <c r="E118" t="s">
        <v>33</v>
      </c>
      <c r="F118" t="s">
        <v>39</v>
      </c>
      <c r="G118" t="s">
        <v>52</v>
      </c>
      <c r="H118" t="s">
        <v>36</v>
      </c>
      <c r="I118">
        <v>3389</v>
      </c>
    </row>
    <row r="119" spans="1:9" ht="14.5" x14ac:dyDescent="0.35">
      <c r="A119">
        <v>1</v>
      </c>
      <c r="B119" t="s">
        <v>42</v>
      </c>
      <c r="C119" t="s">
        <v>31</v>
      </c>
      <c r="D119" t="s">
        <v>32</v>
      </c>
      <c r="E119" t="s">
        <v>33</v>
      </c>
      <c r="F119" t="s">
        <v>39</v>
      </c>
      <c r="G119" t="s">
        <v>52</v>
      </c>
      <c r="H119" t="s">
        <v>38</v>
      </c>
      <c r="I119">
        <v>3177</v>
      </c>
    </row>
    <row r="120" spans="1:9" ht="14.5" x14ac:dyDescent="0.35">
      <c r="A120">
        <v>1</v>
      </c>
      <c r="B120" t="s">
        <v>42</v>
      </c>
      <c r="C120" t="s">
        <v>31</v>
      </c>
      <c r="D120" t="s">
        <v>32</v>
      </c>
      <c r="E120" t="s">
        <v>33</v>
      </c>
      <c r="F120" t="s">
        <v>34</v>
      </c>
      <c r="G120" t="s">
        <v>52</v>
      </c>
      <c r="H120" t="s">
        <v>36</v>
      </c>
      <c r="I120">
        <v>2678</v>
      </c>
    </row>
    <row r="121" spans="1:9" ht="14.5" x14ac:dyDescent="0.35">
      <c r="A121">
        <v>1</v>
      </c>
      <c r="B121" t="s">
        <v>42</v>
      </c>
      <c r="C121" t="s">
        <v>31</v>
      </c>
      <c r="D121" t="s">
        <v>32</v>
      </c>
      <c r="E121" t="s">
        <v>33</v>
      </c>
      <c r="F121" t="s">
        <v>34</v>
      </c>
      <c r="G121" t="s">
        <v>52</v>
      </c>
      <c r="H121" t="s">
        <v>38</v>
      </c>
      <c r="I121">
        <v>4385</v>
      </c>
    </row>
    <row r="122" spans="1:9" ht="14.5" x14ac:dyDescent="0.35">
      <c r="A122">
        <v>2</v>
      </c>
      <c r="B122" t="s">
        <v>43</v>
      </c>
      <c r="C122" t="s">
        <v>31</v>
      </c>
      <c r="D122" t="s">
        <v>32</v>
      </c>
      <c r="E122" t="s">
        <v>33</v>
      </c>
      <c r="F122" t="s">
        <v>37</v>
      </c>
      <c r="G122" t="s">
        <v>52</v>
      </c>
      <c r="H122" t="s">
        <v>36</v>
      </c>
      <c r="I122">
        <v>3812</v>
      </c>
    </row>
    <row r="123" spans="1:9" ht="14.5" x14ac:dyDescent="0.35">
      <c r="A123">
        <v>2</v>
      </c>
      <c r="B123" t="s">
        <v>43</v>
      </c>
      <c r="C123" t="s">
        <v>31</v>
      </c>
      <c r="D123" t="s">
        <v>32</v>
      </c>
      <c r="E123" t="s">
        <v>33</v>
      </c>
      <c r="F123" t="s">
        <v>37</v>
      </c>
      <c r="G123" t="s">
        <v>52</v>
      </c>
      <c r="H123" t="s">
        <v>38</v>
      </c>
      <c r="I123">
        <v>2989</v>
      </c>
    </row>
    <row r="124" spans="1:9" ht="14.5" x14ac:dyDescent="0.35">
      <c r="A124">
        <v>2</v>
      </c>
      <c r="B124" t="s">
        <v>43</v>
      </c>
      <c r="C124" t="s">
        <v>31</v>
      </c>
      <c r="D124" t="s">
        <v>32</v>
      </c>
      <c r="E124" t="s">
        <v>33</v>
      </c>
      <c r="F124" t="s">
        <v>40</v>
      </c>
      <c r="G124" t="s">
        <v>52</v>
      </c>
      <c r="H124" t="s">
        <v>36</v>
      </c>
      <c r="I124">
        <v>4948</v>
      </c>
    </row>
    <row r="125" spans="1:9" ht="14.5" x14ac:dyDescent="0.35">
      <c r="A125">
        <v>2</v>
      </c>
      <c r="B125" t="s">
        <v>43</v>
      </c>
      <c r="C125" t="s">
        <v>31</v>
      </c>
      <c r="D125" t="s">
        <v>32</v>
      </c>
      <c r="E125" t="s">
        <v>33</v>
      </c>
      <c r="F125" t="s">
        <v>40</v>
      </c>
      <c r="G125" t="s">
        <v>52</v>
      </c>
      <c r="H125" t="s">
        <v>38</v>
      </c>
      <c r="I125">
        <v>2862</v>
      </c>
    </row>
    <row r="126" spans="1:9" ht="14.5" x14ac:dyDescent="0.35">
      <c r="A126">
        <v>2</v>
      </c>
      <c r="B126" t="s">
        <v>43</v>
      </c>
      <c r="C126" t="s">
        <v>31</v>
      </c>
      <c r="D126" t="s">
        <v>32</v>
      </c>
      <c r="E126" t="s">
        <v>33</v>
      </c>
      <c r="F126" t="s">
        <v>39</v>
      </c>
      <c r="G126" t="s">
        <v>52</v>
      </c>
      <c r="H126" t="s">
        <v>36</v>
      </c>
      <c r="I126">
        <v>1140</v>
      </c>
    </row>
    <row r="127" spans="1:9" ht="14.5" x14ac:dyDescent="0.35">
      <c r="A127">
        <v>2</v>
      </c>
      <c r="B127" t="s">
        <v>43</v>
      </c>
      <c r="C127" t="s">
        <v>31</v>
      </c>
      <c r="D127" t="s">
        <v>32</v>
      </c>
      <c r="E127" t="s">
        <v>33</v>
      </c>
      <c r="F127" t="s">
        <v>39</v>
      </c>
      <c r="G127" t="s">
        <v>52</v>
      </c>
      <c r="H127" t="s">
        <v>38</v>
      </c>
      <c r="I127">
        <v>2152</v>
      </c>
    </row>
    <row r="128" spans="1:9" ht="14.5" x14ac:dyDescent="0.35">
      <c r="A128">
        <v>2</v>
      </c>
      <c r="B128" t="s">
        <v>43</v>
      </c>
      <c r="C128" t="s">
        <v>31</v>
      </c>
      <c r="D128" t="s">
        <v>32</v>
      </c>
      <c r="E128" t="s">
        <v>33</v>
      </c>
      <c r="F128" t="s">
        <v>34</v>
      </c>
      <c r="G128" t="s">
        <v>52</v>
      </c>
      <c r="H128" t="s">
        <v>36</v>
      </c>
      <c r="I128">
        <v>3549</v>
      </c>
    </row>
    <row r="129" spans="1:9" ht="14.5" x14ac:dyDescent="0.35">
      <c r="A129">
        <v>2</v>
      </c>
      <c r="B129" t="s">
        <v>43</v>
      </c>
      <c r="C129" t="s">
        <v>31</v>
      </c>
      <c r="D129" t="s">
        <v>32</v>
      </c>
      <c r="E129" t="s">
        <v>33</v>
      </c>
      <c r="F129" t="s">
        <v>34</v>
      </c>
      <c r="G129" t="s">
        <v>52</v>
      </c>
      <c r="H129" t="s">
        <v>38</v>
      </c>
      <c r="I129">
        <v>2114</v>
      </c>
    </row>
    <row r="130" spans="1:9" ht="14.5" x14ac:dyDescent="0.35">
      <c r="A130">
        <v>2</v>
      </c>
      <c r="B130" t="s">
        <v>44</v>
      </c>
      <c r="C130" t="s">
        <v>31</v>
      </c>
      <c r="D130" t="s">
        <v>32</v>
      </c>
      <c r="E130" t="s">
        <v>33</v>
      </c>
      <c r="F130" t="s">
        <v>37</v>
      </c>
      <c r="G130" t="s">
        <v>52</v>
      </c>
      <c r="H130" t="s">
        <v>36</v>
      </c>
      <c r="I130">
        <v>4764</v>
      </c>
    </row>
    <row r="131" spans="1:9" ht="14.5" x14ac:dyDescent="0.35">
      <c r="A131">
        <v>2</v>
      </c>
      <c r="B131" t="s">
        <v>44</v>
      </c>
      <c r="C131" t="s">
        <v>31</v>
      </c>
      <c r="D131" t="s">
        <v>32</v>
      </c>
      <c r="E131" t="s">
        <v>33</v>
      </c>
      <c r="F131" t="s">
        <v>37</v>
      </c>
      <c r="G131" t="s">
        <v>52</v>
      </c>
      <c r="H131" t="s">
        <v>38</v>
      </c>
      <c r="I131">
        <v>1590</v>
      </c>
    </row>
    <row r="132" spans="1:9" ht="14.5" x14ac:dyDescent="0.35">
      <c r="A132">
        <v>2</v>
      </c>
      <c r="B132" t="s">
        <v>44</v>
      </c>
      <c r="C132" t="s">
        <v>31</v>
      </c>
      <c r="D132" t="s">
        <v>32</v>
      </c>
      <c r="E132" t="s">
        <v>33</v>
      </c>
      <c r="F132" t="s">
        <v>40</v>
      </c>
      <c r="G132" t="s">
        <v>52</v>
      </c>
      <c r="H132" t="s">
        <v>36</v>
      </c>
      <c r="I132">
        <v>3202</v>
      </c>
    </row>
    <row r="133" spans="1:9" ht="14.5" x14ac:dyDescent="0.35">
      <c r="A133">
        <v>2</v>
      </c>
      <c r="B133" t="s">
        <v>44</v>
      </c>
      <c r="C133" t="s">
        <v>31</v>
      </c>
      <c r="D133" t="s">
        <v>32</v>
      </c>
      <c r="E133" t="s">
        <v>33</v>
      </c>
      <c r="F133" t="s">
        <v>40</v>
      </c>
      <c r="G133" t="s">
        <v>52</v>
      </c>
      <c r="H133" t="s">
        <v>38</v>
      </c>
      <c r="I133">
        <v>1627</v>
      </c>
    </row>
    <row r="134" spans="1:9" ht="14.5" x14ac:dyDescent="0.35">
      <c r="A134">
        <v>2</v>
      </c>
      <c r="B134" t="s">
        <v>44</v>
      </c>
      <c r="C134" t="s">
        <v>31</v>
      </c>
      <c r="D134" t="s">
        <v>32</v>
      </c>
      <c r="E134" t="s">
        <v>33</v>
      </c>
      <c r="F134" t="s">
        <v>39</v>
      </c>
      <c r="G134" t="s">
        <v>52</v>
      </c>
      <c r="H134" t="s">
        <v>36</v>
      </c>
      <c r="I134">
        <v>3200</v>
      </c>
    </row>
    <row r="135" spans="1:9" ht="14.5" x14ac:dyDescent="0.35">
      <c r="A135">
        <v>2</v>
      </c>
      <c r="B135" t="s">
        <v>44</v>
      </c>
      <c r="C135" t="s">
        <v>31</v>
      </c>
      <c r="D135" t="s">
        <v>32</v>
      </c>
      <c r="E135" t="s">
        <v>33</v>
      </c>
      <c r="F135" t="s">
        <v>39</v>
      </c>
      <c r="G135" t="s">
        <v>52</v>
      </c>
      <c r="H135" t="s">
        <v>38</v>
      </c>
      <c r="I135">
        <v>3343</v>
      </c>
    </row>
    <row r="136" spans="1:9" ht="14.5" x14ac:dyDescent="0.35">
      <c r="A136">
        <v>2</v>
      </c>
      <c r="B136" t="s">
        <v>44</v>
      </c>
      <c r="C136" t="s">
        <v>31</v>
      </c>
      <c r="D136" t="s">
        <v>32</v>
      </c>
      <c r="E136" t="s">
        <v>33</v>
      </c>
      <c r="F136" t="s">
        <v>34</v>
      </c>
      <c r="G136" t="s">
        <v>52</v>
      </c>
      <c r="H136" t="s">
        <v>36</v>
      </c>
      <c r="I136">
        <v>3007</v>
      </c>
    </row>
    <row r="137" spans="1:9" ht="14.5" x14ac:dyDescent="0.35">
      <c r="A137">
        <v>2</v>
      </c>
      <c r="B137" t="s">
        <v>44</v>
      </c>
      <c r="C137" t="s">
        <v>31</v>
      </c>
      <c r="D137" t="s">
        <v>32</v>
      </c>
      <c r="E137" t="s">
        <v>33</v>
      </c>
      <c r="F137" t="s">
        <v>34</v>
      </c>
      <c r="G137" t="s">
        <v>52</v>
      </c>
      <c r="H137" t="s">
        <v>38</v>
      </c>
      <c r="I137">
        <v>4387</v>
      </c>
    </row>
    <row r="138" spans="1:9" ht="14.5" x14ac:dyDescent="0.35">
      <c r="A138">
        <v>2</v>
      </c>
      <c r="B138" t="s">
        <v>45</v>
      </c>
      <c r="C138" t="s">
        <v>31</v>
      </c>
      <c r="D138" t="s">
        <v>32</v>
      </c>
      <c r="E138" t="s">
        <v>33</v>
      </c>
      <c r="F138" t="s">
        <v>37</v>
      </c>
      <c r="G138" t="s">
        <v>52</v>
      </c>
      <c r="H138" t="s">
        <v>36</v>
      </c>
      <c r="I138">
        <v>2943</v>
      </c>
    </row>
    <row r="139" spans="1:9" ht="14.5" x14ac:dyDescent="0.35">
      <c r="A139">
        <v>2</v>
      </c>
      <c r="B139" t="s">
        <v>45</v>
      </c>
      <c r="C139" t="s">
        <v>31</v>
      </c>
      <c r="D139" t="s">
        <v>32</v>
      </c>
      <c r="E139" t="s">
        <v>33</v>
      </c>
      <c r="F139" t="s">
        <v>37</v>
      </c>
      <c r="G139" t="s">
        <v>52</v>
      </c>
      <c r="H139" t="s">
        <v>38</v>
      </c>
      <c r="I139">
        <v>4048</v>
      </c>
    </row>
    <row r="140" spans="1:9" ht="14.5" x14ac:dyDescent="0.35">
      <c r="A140">
        <v>2</v>
      </c>
      <c r="B140" t="s">
        <v>45</v>
      </c>
      <c r="C140" t="s">
        <v>31</v>
      </c>
      <c r="D140" t="s">
        <v>32</v>
      </c>
      <c r="E140" t="s">
        <v>33</v>
      </c>
      <c r="F140" t="s">
        <v>40</v>
      </c>
      <c r="G140" t="s">
        <v>52</v>
      </c>
      <c r="H140" t="s">
        <v>36</v>
      </c>
      <c r="I140">
        <v>1718</v>
      </c>
    </row>
    <row r="141" spans="1:9" ht="14.5" x14ac:dyDescent="0.35">
      <c r="A141">
        <v>2</v>
      </c>
      <c r="B141" t="s">
        <v>45</v>
      </c>
      <c r="C141" t="s">
        <v>31</v>
      </c>
      <c r="D141" t="s">
        <v>32</v>
      </c>
      <c r="E141" t="s">
        <v>33</v>
      </c>
      <c r="F141" t="s">
        <v>40</v>
      </c>
      <c r="G141" t="s">
        <v>52</v>
      </c>
      <c r="H141" t="s">
        <v>38</v>
      </c>
      <c r="I141">
        <v>4538</v>
      </c>
    </row>
    <row r="142" spans="1:9" ht="14.5" x14ac:dyDescent="0.35">
      <c r="A142">
        <v>2</v>
      </c>
      <c r="B142" t="s">
        <v>45</v>
      </c>
      <c r="C142" t="s">
        <v>31</v>
      </c>
      <c r="D142" t="s">
        <v>32</v>
      </c>
      <c r="E142" t="s">
        <v>33</v>
      </c>
      <c r="F142" t="s">
        <v>39</v>
      </c>
      <c r="G142" t="s">
        <v>52</v>
      </c>
      <c r="H142" t="s">
        <v>36</v>
      </c>
      <c r="I142">
        <v>1080</v>
      </c>
    </row>
    <row r="143" spans="1:9" ht="14.5" x14ac:dyDescent="0.35">
      <c r="A143">
        <v>2</v>
      </c>
      <c r="B143" t="s">
        <v>45</v>
      </c>
      <c r="C143" t="s">
        <v>31</v>
      </c>
      <c r="D143" t="s">
        <v>32</v>
      </c>
      <c r="E143" t="s">
        <v>33</v>
      </c>
      <c r="F143" t="s">
        <v>39</v>
      </c>
      <c r="G143" t="s">
        <v>52</v>
      </c>
      <c r="H143" t="s">
        <v>38</v>
      </c>
      <c r="I143">
        <v>1134</v>
      </c>
    </row>
    <row r="144" spans="1:9" ht="14.5" x14ac:dyDescent="0.35">
      <c r="A144">
        <v>2</v>
      </c>
      <c r="B144" t="s">
        <v>45</v>
      </c>
      <c r="C144" t="s">
        <v>31</v>
      </c>
      <c r="D144" t="s">
        <v>32</v>
      </c>
      <c r="E144" t="s">
        <v>33</v>
      </c>
      <c r="F144" t="s">
        <v>34</v>
      </c>
      <c r="G144" t="s">
        <v>52</v>
      </c>
      <c r="H144" t="s">
        <v>36</v>
      </c>
      <c r="I144">
        <v>2247</v>
      </c>
    </row>
    <row r="145" spans="1:9" ht="14.5" x14ac:dyDescent="0.35">
      <c r="A145">
        <v>2</v>
      </c>
      <c r="B145" t="s">
        <v>45</v>
      </c>
      <c r="C145" t="s">
        <v>31</v>
      </c>
      <c r="D145" t="s">
        <v>32</v>
      </c>
      <c r="E145" t="s">
        <v>33</v>
      </c>
      <c r="F145" t="s">
        <v>34</v>
      </c>
      <c r="G145" t="s">
        <v>52</v>
      </c>
      <c r="H145" t="s">
        <v>38</v>
      </c>
      <c r="I145">
        <v>3273</v>
      </c>
    </row>
    <row r="146" spans="1:9" ht="14.5" x14ac:dyDescent="0.35">
      <c r="A146">
        <v>3</v>
      </c>
      <c r="B146" t="s">
        <v>46</v>
      </c>
      <c r="C146" t="s">
        <v>31</v>
      </c>
      <c r="D146" t="s">
        <v>32</v>
      </c>
      <c r="E146" t="s">
        <v>33</v>
      </c>
      <c r="F146" t="s">
        <v>37</v>
      </c>
      <c r="G146" t="s">
        <v>52</v>
      </c>
      <c r="H146" t="s">
        <v>36</v>
      </c>
      <c r="I146">
        <v>3098</v>
      </c>
    </row>
    <row r="147" spans="1:9" ht="14.5" x14ac:dyDescent="0.35">
      <c r="A147">
        <v>3</v>
      </c>
      <c r="B147" t="s">
        <v>46</v>
      </c>
      <c r="C147" t="s">
        <v>31</v>
      </c>
      <c r="D147" t="s">
        <v>32</v>
      </c>
      <c r="E147" t="s">
        <v>33</v>
      </c>
      <c r="F147" t="s">
        <v>37</v>
      </c>
      <c r="G147" t="s">
        <v>52</v>
      </c>
      <c r="H147" t="s">
        <v>38</v>
      </c>
      <c r="I147">
        <v>1909</v>
      </c>
    </row>
    <row r="148" spans="1:9" ht="14.5" x14ac:dyDescent="0.35">
      <c r="A148">
        <v>3</v>
      </c>
      <c r="B148" t="s">
        <v>46</v>
      </c>
      <c r="C148" t="s">
        <v>31</v>
      </c>
      <c r="D148" t="s">
        <v>32</v>
      </c>
      <c r="E148" t="s">
        <v>33</v>
      </c>
      <c r="F148" t="s">
        <v>40</v>
      </c>
      <c r="G148" t="s">
        <v>52</v>
      </c>
      <c r="H148" t="s">
        <v>36</v>
      </c>
      <c r="I148">
        <v>1301</v>
      </c>
    </row>
    <row r="149" spans="1:9" ht="14.5" x14ac:dyDescent="0.35">
      <c r="A149">
        <v>3</v>
      </c>
      <c r="B149" t="s">
        <v>46</v>
      </c>
      <c r="C149" t="s">
        <v>31</v>
      </c>
      <c r="D149" t="s">
        <v>32</v>
      </c>
      <c r="E149" t="s">
        <v>33</v>
      </c>
      <c r="F149" t="s">
        <v>40</v>
      </c>
      <c r="G149" t="s">
        <v>52</v>
      </c>
      <c r="H149" t="s">
        <v>38</v>
      </c>
      <c r="I149">
        <v>2365</v>
      </c>
    </row>
    <row r="150" spans="1:9" ht="14.5" x14ac:dyDescent="0.35">
      <c r="A150">
        <v>3</v>
      </c>
      <c r="B150" t="s">
        <v>46</v>
      </c>
      <c r="C150" t="s">
        <v>31</v>
      </c>
      <c r="D150" t="s">
        <v>32</v>
      </c>
      <c r="E150" t="s">
        <v>33</v>
      </c>
      <c r="F150" t="s">
        <v>39</v>
      </c>
      <c r="G150" t="s">
        <v>52</v>
      </c>
      <c r="H150" t="s">
        <v>36</v>
      </c>
      <c r="I150">
        <v>2163</v>
      </c>
    </row>
    <row r="151" spans="1:9" ht="14.5" x14ac:dyDescent="0.35">
      <c r="A151">
        <v>3</v>
      </c>
      <c r="B151" t="s">
        <v>46</v>
      </c>
      <c r="C151" t="s">
        <v>31</v>
      </c>
      <c r="D151" t="s">
        <v>32</v>
      </c>
      <c r="E151" t="s">
        <v>33</v>
      </c>
      <c r="F151" t="s">
        <v>39</v>
      </c>
      <c r="G151" t="s">
        <v>52</v>
      </c>
      <c r="H151" t="s">
        <v>38</v>
      </c>
      <c r="I151">
        <v>3452</v>
      </c>
    </row>
    <row r="152" spans="1:9" ht="14.5" x14ac:dyDescent="0.35">
      <c r="A152">
        <v>3</v>
      </c>
      <c r="B152" t="s">
        <v>46</v>
      </c>
      <c r="C152" t="s">
        <v>31</v>
      </c>
      <c r="D152" t="s">
        <v>32</v>
      </c>
      <c r="E152" t="s">
        <v>33</v>
      </c>
      <c r="F152" t="s">
        <v>34</v>
      </c>
      <c r="G152" t="s">
        <v>52</v>
      </c>
      <c r="H152" t="s">
        <v>36</v>
      </c>
      <c r="I152">
        <v>2257</v>
      </c>
    </row>
    <row r="153" spans="1:9" ht="14.5" x14ac:dyDescent="0.35">
      <c r="A153">
        <v>3</v>
      </c>
      <c r="B153" t="s">
        <v>46</v>
      </c>
      <c r="C153" t="s">
        <v>31</v>
      </c>
      <c r="D153" t="s">
        <v>32</v>
      </c>
      <c r="E153" t="s">
        <v>33</v>
      </c>
      <c r="F153" t="s">
        <v>34</v>
      </c>
      <c r="G153" t="s">
        <v>52</v>
      </c>
      <c r="H153" t="s">
        <v>38</v>
      </c>
      <c r="I153">
        <v>4674</v>
      </c>
    </row>
    <row r="154" spans="1:9" ht="14.5" x14ac:dyDescent="0.35">
      <c r="A154">
        <v>3</v>
      </c>
      <c r="B154" t="s">
        <v>47</v>
      </c>
      <c r="C154" t="s">
        <v>31</v>
      </c>
      <c r="D154" t="s">
        <v>32</v>
      </c>
      <c r="E154" t="s">
        <v>33</v>
      </c>
      <c r="F154" t="s">
        <v>37</v>
      </c>
      <c r="G154" t="s">
        <v>52</v>
      </c>
      <c r="H154" t="s">
        <v>36</v>
      </c>
      <c r="I154">
        <v>1218</v>
      </c>
    </row>
    <row r="155" spans="1:9" ht="14.5" x14ac:dyDescent="0.35">
      <c r="A155">
        <v>3</v>
      </c>
      <c r="B155" t="s">
        <v>47</v>
      </c>
      <c r="C155" t="s">
        <v>31</v>
      </c>
      <c r="D155" t="s">
        <v>32</v>
      </c>
      <c r="E155" t="s">
        <v>33</v>
      </c>
      <c r="F155" t="s">
        <v>37</v>
      </c>
      <c r="G155" t="s">
        <v>52</v>
      </c>
      <c r="H155" t="s">
        <v>38</v>
      </c>
      <c r="I155">
        <v>1663</v>
      </c>
    </row>
    <row r="156" spans="1:9" ht="14.5" x14ac:dyDescent="0.35">
      <c r="A156">
        <v>3</v>
      </c>
      <c r="B156" t="s">
        <v>47</v>
      </c>
      <c r="C156" t="s">
        <v>31</v>
      </c>
      <c r="D156" t="s">
        <v>32</v>
      </c>
      <c r="E156" t="s">
        <v>33</v>
      </c>
      <c r="F156" t="s">
        <v>40</v>
      </c>
      <c r="G156" t="s">
        <v>52</v>
      </c>
      <c r="H156" t="s">
        <v>36</v>
      </c>
      <c r="I156">
        <v>2336</v>
      </c>
    </row>
    <row r="157" spans="1:9" ht="14.5" x14ac:dyDescent="0.35">
      <c r="A157">
        <v>3</v>
      </c>
      <c r="B157" t="s">
        <v>47</v>
      </c>
      <c r="C157" t="s">
        <v>31</v>
      </c>
      <c r="D157" t="s">
        <v>32</v>
      </c>
      <c r="E157" t="s">
        <v>33</v>
      </c>
      <c r="F157" t="s">
        <v>40</v>
      </c>
      <c r="G157" t="s">
        <v>52</v>
      </c>
      <c r="H157" t="s">
        <v>38</v>
      </c>
      <c r="I157">
        <v>3328</v>
      </c>
    </row>
    <row r="158" spans="1:9" ht="14.5" x14ac:dyDescent="0.35">
      <c r="A158">
        <v>3</v>
      </c>
      <c r="B158" t="s">
        <v>47</v>
      </c>
      <c r="C158" t="s">
        <v>31</v>
      </c>
      <c r="D158" t="s">
        <v>32</v>
      </c>
      <c r="E158" t="s">
        <v>33</v>
      </c>
      <c r="F158" t="s">
        <v>39</v>
      </c>
      <c r="G158" t="s">
        <v>52</v>
      </c>
      <c r="H158" t="s">
        <v>36</v>
      </c>
      <c r="I158">
        <v>1517</v>
      </c>
    </row>
    <row r="159" spans="1:9" ht="14.5" x14ac:dyDescent="0.35">
      <c r="A159">
        <v>3</v>
      </c>
      <c r="B159" t="s">
        <v>47</v>
      </c>
      <c r="C159" t="s">
        <v>31</v>
      </c>
      <c r="D159" t="s">
        <v>32</v>
      </c>
      <c r="E159" t="s">
        <v>33</v>
      </c>
      <c r="F159" t="s">
        <v>39</v>
      </c>
      <c r="G159" t="s">
        <v>52</v>
      </c>
      <c r="H159" t="s">
        <v>38</v>
      </c>
      <c r="I159">
        <v>2752</v>
      </c>
    </row>
    <row r="160" spans="1:9" ht="14.5" x14ac:dyDescent="0.35">
      <c r="A160">
        <v>3</v>
      </c>
      <c r="B160" t="s">
        <v>47</v>
      </c>
      <c r="C160" t="s">
        <v>31</v>
      </c>
      <c r="D160" t="s">
        <v>32</v>
      </c>
      <c r="E160" t="s">
        <v>33</v>
      </c>
      <c r="F160" t="s">
        <v>34</v>
      </c>
      <c r="G160" t="s">
        <v>52</v>
      </c>
      <c r="H160" t="s">
        <v>36</v>
      </c>
      <c r="I160">
        <v>4194</v>
      </c>
    </row>
    <row r="161" spans="1:9" ht="14.5" x14ac:dyDescent="0.35">
      <c r="A161">
        <v>3</v>
      </c>
      <c r="B161" t="s">
        <v>47</v>
      </c>
      <c r="C161" t="s">
        <v>31</v>
      </c>
      <c r="D161" t="s">
        <v>32</v>
      </c>
      <c r="E161" t="s">
        <v>33</v>
      </c>
      <c r="F161" t="s">
        <v>34</v>
      </c>
      <c r="G161" t="s">
        <v>52</v>
      </c>
      <c r="H161" t="s">
        <v>38</v>
      </c>
      <c r="I161">
        <v>2176</v>
      </c>
    </row>
    <row r="162" spans="1:9" ht="14.5" x14ac:dyDescent="0.35">
      <c r="A162">
        <v>3</v>
      </c>
      <c r="B162" t="s">
        <v>48</v>
      </c>
      <c r="C162" t="s">
        <v>31</v>
      </c>
      <c r="D162" t="s">
        <v>32</v>
      </c>
      <c r="E162" t="s">
        <v>33</v>
      </c>
      <c r="F162" t="s">
        <v>37</v>
      </c>
      <c r="G162" t="s">
        <v>52</v>
      </c>
      <c r="H162" t="s">
        <v>36</v>
      </c>
      <c r="I162">
        <v>4915</v>
      </c>
    </row>
    <row r="163" spans="1:9" ht="14.5" x14ac:dyDescent="0.35">
      <c r="A163">
        <v>3</v>
      </c>
      <c r="B163" t="s">
        <v>48</v>
      </c>
      <c r="C163" t="s">
        <v>31</v>
      </c>
      <c r="D163" t="s">
        <v>32</v>
      </c>
      <c r="E163" t="s">
        <v>33</v>
      </c>
      <c r="F163" t="s">
        <v>37</v>
      </c>
      <c r="G163" t="s">
        <v>52</v>
      </c>
      <c r="H163" t="s">
        <v>38</v>
      </c>
      <c r="I163">
        <v>2167</v>
      </c>
    </row>
    <row r="164" spans="1:9" ht="14.5" x14ac:dyDescent="0.35">
      <c r="A164">
        <v>3</v>
      </c>
      <c r="B164" t="s">
        <v>48</v>
      </c>
      <c r="C164" t="s">
        <v>31</v>
      </c>
      <c r="D164" t="s">
        <v>32</v>
      </c>
      <c r="E164" t="s">
        <v>33</v>
      </c>
      <c r="F164" t="s">
        <v>40</v>
      </c>
      <c r="G164" t="s">
        <v>52</v>
      </c>
      <c r="H164" t="s">
        <v>36</v>
      </c>
      <c r="I164">
        <v>3997</v>
      </c>
    </row>
    <row r="165" spans="1:9" ht="14.5" x14ac:dyDescent="0.35">
      <c r="A165">
        <v>3</v>
      </c>
      <c r="B165" t="s">
        <v>48</v>
      </c>
      <c r="C165" t="s">
        <v>31</v>
      </c>
      <c r="D165" t="s">
        <v>32</v>
      </c>
      <c r="E165" t="s">
        <v>33</v>
      </c>
      <c r="F165" t="s">
        <v>40</v>
      </c>
      <c r="G165" t="s">
        <v>52</v>
      </c>
      <c r="H165" t="s">
        <v>38</v>
      </c>
      <c r="I165">
        <v>2384</v>
      </c>
    </row>
    <row r="166" spans="1:9" ht="14.5" x14ac:dyDescent="0.35">
      <c r="A166">
        <v>3</v>
      </c>
      <c r="B166" t="s">
        <v>48</v>
      </c>
      <c r="C166" t="s">
        <v>31</v>
      </c>
      <c r="D166" t="s">
        <v>32</v>
      </c>
      <c r="E166" t="s">
        <v>33</v>
      </c>
      <c r="F166" t="s">
        <v>39</v>
      </c>
      <c r="G166" t="s">
        <v>52</v>
      </c>
      <c r="H166" t="s">
        <v>36</v>
      </c>
      <c r="I166">
        <v>4555</v>
      </c>
    </row>
    <row r="167" spans="1:9" ht="14.5" x14ac:dyDescent="0.35">
      <c r="A167">
        <v>3</v>
      </c>
      <c r="B167" t="s">
        <v>48</v>
      </c>
      <c r="C167" t="s">
        <v>31</v>
      </c>
      <c r="D167" t="s">
        <v>32</v>
      </c>
      <c r="E167" t="s">
        <v>33</v>
      </c>
      <c r="F167" t="s">
        <v>39</v>
      </c>
      <c r="G167" t="s">
        <v>52</v>
      </c>
      <c r="H167" t="s">
        <v>38</v>
      </c>
      <c r="I167">
        <v>2530</v>
      </c>
    </row>
    <row r="168" spans="1:9" ht="14.5" x14ac:dyDescent="0.35">
      <c r="A168">
        <v>3</v>
      </c>
      <c r="B168" t="s">
        <v>48</v>
      </c>
      <c r="C168" t="s">
        <v>31</v>
      </c>
      <c r="D168" t="s">
        <v>32</v>
      </c>
      <c r="E168" t="s">
        <v>33</v>
      </c>
      <c r="F168" t="s">
        <v>34</v>
      </c>
      <c r="G168" t="s">
        <v>52</v>
      </c>
      <c r="H168" t="s">
        <v>36</v>
      </c>
      <c r="I168">
        <v>4263</v>
      </c>
    </row>
    <row r="169" spans="1:9" ht="14.5" x14ac:dyDescent="0.35">
      <c r="A169">
        <v>3</v>
      </c>
      <c r="B169" t="s">
        <v>48</v>
      </c>
      <c r="C169" t="s">
        <v>31</v>
      </c>
      <c r="D169" t="s">
        <v>32</v>
      </c>
      <c r="E169" t="s">
        <v>33</v>
      </c>
      <c r="F169" t="s">
        <v>34</v>
      </c>
      <c r="G169" t="s">
        <v>52</v>
      </c>
      <c r="H169" t="s">
        <v>38</v>
      </c>
      <c r="I169">
        <v>4835</v>
      </c>
    </row>
    <row r="170" spans="1:9" ht="14.5" x14ac:dyDescent="0.35">
      <c r="A170">
        <v>4</v>
      </c>
      <c r="B170" t="s">
        <v>49</v>
      </c>
      <c r="C170" t="s">
        <v>31</v>
      </c>
      <c r="D170" t="s">
        <v>32</v>
      </c>
      <c r="E170" t="s">
        <v>33</v>
      </c>
      <c r="F170" t="s">
        <v>37</v>
      </c>
      <c r="G170" t="s">
        <v>52</v>
      </c>
      <c r="H170" t="s">
        <v>36</v>
      </c>
      <c r="I170">
        <v>2147</v>
      </c>
    </row>
    <row r="171" spans="1:9" ht="14.5" x14ac:dyDescent="0.35">
      <c r="A171">
        <v>4</v>
      </c>
      <c r="B171" t="s">
        <v>49</v>
      </c>
      <c r="C171" t="s">
        <v>31</v>
      </c>
      <c r="D171" t="s">
        <v>32</v>
      </c>
      <c r="E171" t="s">
        <v>33</v>
      </c>
      <c r="F171" t="s">
        <v>37</v>
      </c>
      <c r="G171" t="s">
        <v>52</v>
      </c>
      <c r="H171" t="s">
        <v>38</v>
      </c>
      <c r="I171">
        <v>4000</v>
      </c>
    </row>
    <row r="172" spans="1:9" ht="14.5" x14ac:dyDescent="0.35">
      <c r="A172">
        <v>4</v>
      </c>
      <c r="B172" t="s">
        <v>49</v>
      </c>
      <c r="C172" t="s">
        <v>31</v>
      </c>
      <c r="D172" t="s">
        <v>32</v>
      </c>
      <c r="E172" t="s">
        <v>33</v>
      </c>
      <c r="F172" t="s">
        <v>40</v>
      </c>
      <c r="G172" t="s">
        <v>52</v>
      </c>
      <c r="H172" t="s">
        <v>36</v>
      </c>
      <c r="I172">
        <v>1526</v>
      </c>
    </row>
    <row r="173" spans="1:9" ht="14.5" x14ac:dyDescent="0.35">
      <c r="A173">
        <v>4</v>
      </c>
      <c r="B173" t="s">
        <v>49</v>
      </c>
      <c r="C173" t="s">
        <v>31</v>
      </c>
      <c r="D173" t="s">
        <v>32</v>
      </c>
      <c r="E173" t="s">
        <v>33</v>
      </c>
      <c r="F173" t="s">
        <v>40</v>
      </c>
      <c r="G173" t="s">
        <v>52</v>
      </c>
      <c r="H173" t="s">
        <v>38</v>
      </c>
      <c r="I173">
        <v>4779</v>
      </c>
    </row>
    <row r="174" spans="1:9" ht="14.5" x14ac:dyDescent="0.35">
      <c r="A174">
        <v>4</v>
      </c>
      <c r="B174" t="s">
        <v>49</v>
      </c>
      <c r="C174" t="s">
        <v>31</v>
      </c>
      <c r="D174" t="s">
        <v>32</v>
      </c>
      <c r="E174" t="s">
        <v>33</v>
      </c>
      <c r="F174" t="s">
        <v>39</v>
      </c>
      <c r="G174" t="s">
        <v>52</v>
      </c>
      <c r="H174" t="s">
        <v>36</v>
      </c>
      <c r="I174">
        <v>2482</v>
      </c>
    </row>
    <row r="175" spans="1:9" ht="14.5" x14ac:dyDescent="0.35">
      <c r="A175">
        <v>4</v>
      </c>
      <c r="B175" t="s">
        <v>49</v>
      </c>
      <c r="C175" t="s">
        <v>31</v>
      </c>
      <c r="D175" t="s">
        <v>32</v>
      </c>
      <c r="E175" t="s">
        <v>33</v>
      </c>
      <c r="F175" t="s">
        <v>39</v>
      </c>
      <c r="G175" t="s">
        <v>52</v>
      </c>
      <c r="H175" t="s">
        <v>38</v>
      </c>
      <c r="I175">
        <v>2502</v>
      </c>
    </row>
    <row r="176" spans="1:9" ht="14.5" x14ac:dyDescent="0.35">
      <c r="A176">
        <v>4</v>
      </c>
      <c r="B176" t="s">
        <v>49</v>
      </c>
      <c r="C176" t="s">
        <v>31</v>
      </c>
      <c r="D176" t="s">
        <v>32</v>
      </c>
      <c r="E176" t="s">
        <v>33</v>
      </c>
      <c r="F176" t="s">
        <v>34</v>
      </c>
      <c r="G176" t="s">
        <v>52</v>
      </c>
      <c r="H176" t="s">
        <v>36</v>
      </c>
      <c r="I176">
        <v>1374</v>
      </c>
    </row>
    <row r="177" spans="1:9" ht="14.5" x14ac:dyDescent="0.35">
      <c r="A177">
        <v>4</v>
      </c>
      <c r="B177" t="s">
        <v>49</v>
      </c>
      <c r="C177" t="s">
        <v>31</v>
      </c>
      <c r="D177" t="s">
        <v>32</v>
      </c>
      <c r="E177" t="s">
        <v>33</v>
      </c>
      <c r="F177" t="s">
        <v>34</v>
      </c>
      <c r="G177" t="s">
        <v>52</v>
      </c>
      <c r="H177" t="s">
        <v>38</v>
      </c>
      <c r="I177">
        <v>2016</v>
      </c>
    </row>
    <row r="178" spans="1:9" ht="14.5" x14ac:dyDescent="0.35">
      <c r="A178">
        <v>4</v>
      </c>
      <c r="B178" t="s">
        <v>50</v>
      </c>
      <c r="C178" t="s">
        <v>31</v>
      </c>
      <c r="D178" t="s">
        <v>32</v>
      </c>
      <c r="E178" t="s">
        <v>33</v>
      </c>
      <c r="F178" t="s">
        <v>37</v>
      </c>
      <c r="G178" t="s">
        <v>52</v>
      </c>
      <c r="H178" t="s">
        <v>36</v>
      </c>
      <c r="I178">
        <v>1043</v>
      </c>
    </row>
    <row r="179" spans="1:9" ht="14.5" x14ac:dyDescent="0.35">
      <c r="A179">
        <v>4</v>
      </c>
      <c r="B179" t="s">
        <v>50</v>
      </c>
      <c r="C179" t="s">
        <v>31</v>
      </c>
      <c r="D179" t="s">
        <v>32</v>
      </c>
      <c r="E179" t="s">
        <v>33</v>
      </c>
      <c r="F179" t="s">
        <v>37</v>
      </c>
      <c r="G179" t="s">
        <v>52</v>
      </c>
      <c r="H179" t="s">
        <v>38</v>
      </c>
      <c r="I179">
        <v>4497</v>
      </c>
    </row>
    <row r="180" spans="1:9" ht="14.5" x14ac:dyDescent="0.35">
      <c r="A180">
        <v>4</v>
      </c>
      <c r="B180" t="s">
        <v>50</v>
      </c>
      <c r="C180" t="s">
        <v>31</v>
      </c>
      <c r="D180" t="s">
        <v>32</v>
      </c>
      <c r="E180" t="s">
        <v>33</v>
      </c>
      <c r="F180" t="s">
        <v>40</v>
      </c>
      <c r="G180" t="s">
        <v>52</v>
      </c>
      <c r="H180" t="s">
        <v>36</v>
      </c>
      <c r="I180">
        <v>3296</v>
      </c>
    </row>
    <row r="181" spans="1:9" ht="14.5" x14ac:dyDescent="0.35">
      <c r="A181">
        <v>4</v>
      </c>
      <c r="B181" t="s">
        <v>50</v>
      </c>
      <c r="C181" t="s">
        <v>31</v>
      </c>
      <c r="D181" t="s">
        <v>32</v>
      </c>
      <c r="E181" t="s">
        <v>33</v>
      </c>
      <c r="F181" t="s">
        <v>40</v>
      </c>
      <c r="G181" t="s">
        <v>52</v>
      </c>
      <c r="H181" t="s">
        <v>38</v>
      </c>
      <c r="I181">
        <v>3766</v>
      </c>
    </row>
    <row r="182" spans="1:9" ht="14.5" x14ac:dyDescent="0.35">
      <c r="A182">
        <v>4</v>
      </c>
      <c r="B182" t="s">
        <v>50</v>
      </c>
      <c r="C182" t="s">
        <v>31</v>
      </c>
      <c r="D182" t="s">
        <v>32</v>
      </c>
      <c r="E182" t="s">
        <v>33</v>
      </c>
      <c r="F182" t="s">
        <v>39</v>
      </c>
      <c r="G182" t="s">
        <v>52</v>
      </c>
      <c r="H182" t="s">
        <v>36</v>
      </c>
      <c r="I182">
        <v>2536</v>
      </c>
    </row>
    <row r="183" spans="1:9" ht="14.5" x14ac:dyDescent="0.35">
      <c r="A183">
        <v>4</v>
      </c>
      <c r="B183" t="s">
        <v>50</v>
      </c>
      <c r="C183" t="s">
        <v>31</v>
      </c>
      <c r="D183" t="s">
        <v>32</v>
      </c>
      <c r="E183" t="s">
        <v>33</v>
      </c>
      <c r="F183" t="s">
        <v>39</v>
      </c>
      <c r="G183" t="s">
        <v>52</v>
      </c>
      <c r="H183" t="s">
        <v>38</v>
      </c>
      <c r="I183">
        <v>1771</v>
      </c>
    </row>
    <row r="184" spans="1:9" ht="14.5" x14ac:dyDescent="0.35">
      <c r="A184">
        <v>4</v>
      </c>
      <c r="B184" t="s">
        <v>50</v>
      </c>
      <c r="C184" t="s">
        <v>31</v>
      </c>
      <c r="D184" t="s">
        <v>32</v>
      </c>
      <c r="E184" t="s">
        <v>33</v>
      </c>
      <c r="F184" t="s">
        <v>34</v>
      </c>
      <c r="G184" t="s">
        <v>52</v>
      </c>
      <c r="H184" t="s">
        <v>36</v>
      </c>
      <c r="I184">
        <v>4548</v>
      </c>
    </row>
    <row r="185" spans="1:9" ht="14.5" x14ac:dyDescent="0.35">
      <c r="A185">
        <v>4</v>
      </c>
      <c r="B185" t="s">
        <v>50</v>
      </c>
      <c r="C185" t="s">
        <v>31</v>
      </c>
      <c r="D185" t="s">
        <v>32</v>
      </c>
      <c r="E185" t="s">
        <v>33</v>
      </c>
      <c r="F185" t="s">
        <v>34</v>
      </c>
      <c r="G185" t="s">
        <v>52</v>
      </c>
      <c r="H185" t="s">
        <v>38</v>
      </c>
      <c r="I185">
        <v>3905</v>
      </c>
    </row>
    <row r="186" spans="1:9" ht="14.5" x14ac:dyDescent="0.35">
      <c r="A186">
        <v>4</v>
      </c>
      <c r="B186" t="s">
        <v>51</v>
      </c>
      <c r="C186" t="s">
        <v>31</v>
      </c>
      <c r="D186" t="s">
        <v>32</v>
      </c>
      <c r="E186" t="s">
        <v>33</v>
      </c>
      <c r="F186" t="s">
        <v>37</v>
      </c>
      <c r="G186" t="s">
        <v>52</v>
      </c>
      <c r="H186" t="s">
        <v>36</v>
      </c>
      <c r="I186">
        <v>3575</v>
      </c>
    </row>
    <row r="187" spans="1:9" ht="14.5" x14ac:dyDescent="0.35">
      <c r="A187">
        <v>4</v>
      </c>
      <c r="B187" t="s">
        <v>51</v>
      </c>
      <c r="C187" t="s">
        <v>31</v>
      </c>
      <c r="D187" t="s">
        <v>32</v>
      </c>
      <c r="E187" t="s">
        <v>33</v>
      </c>
      <c r="F187" t="s">
        <v>37</v>
      </c>
      <c r="G187" t="s">
        <v>52</v>
      </c>
      <c r="H187" t="s">
        <v>38</v>
      </c>
      <c r="I187">
        <v>4051</v>
      </c>
    </row>
    <row r="188" spans="1:9" ht="14.5" x14ac:dyDescent="0.35">
      <c r="A188">
        <v>4</v>
      </c>
      <c r="B188" t="s">
        <v>51</v>
      </c>
      <c r="C188" t="s">
        <v>31</v>
      </c>
      <c r="D188" t="s">
        <v>32</v>
      </c>
      <c r="E188" t="s">
        <v>33</v>
      </c>
      <c r="F188" t="s">
        <v>40</v>
      </c>
      <c r="G188" t="s">
        <v>52</v>
      </c>
      <c r="H188" t="s">
        <v>36</v>
      </c>
      <c r="I188">
        <v>3100</v>
      </c>
    </row>
    <row r="189" spans="1:9" ht="14.5" x14ac:dyDescent="0.35">
      <c r="A189">
        <v>4</v>
      </c>
      <c r="B189" t="s">
        <v>51</v>
      </c>
      <c r="C189" t="s">
        <v>31</v>
      </c>
      <c r="D189" t="s">
        <v>32</v>
      </c>
      <c r="E189" t="s">
        <v>33</v>
      </c>
      <c r="F189" t="s">
        <v>40</v>
      </c>
      <c r="G189" t="s">
        <v>52</v>
      </c>
      <c r="H189" t="s">
        <v>38</v>
      </c>
      <c r="I189">
        <v>1291</v>
      </c>
    </row>
    <row r="190" spans="1:9" ht="14.5" x14ac:dyDescent="0.35">
      <c r="A190">
        <v>4</v>
      </c>
      <c r="B190" t="s">
        <v>51</v>
      </c>
      <c r="C190" t="s">
        <v>31</v>
      </c>
      <c r="D190" t="s">
        <v>32</v>
      </c>
      <c r="E190" t="s">
        <v>33</v>
      </c>
      <c r="F190" t="s">
        <v>39</v>
      </c>
      <c r="G190" t="s">
        <v>52</v>
      </c>
      <c r="H190" t="s">
        <v>36</v>
      </c>
      <c r="I190">
        <v>1002</v>
      </c>
    </row>
    <row r="191" spans="1:9" ht="14.5" x14ac:dyDescent="0.35">
      <c r="A191">
        <v>4</v>
      </c>
      <c r="B191" t="s">
        <v>51</v>
      </c>
      <c r="C191" t="s">
        <v>31</v>
      </c>
      <c r="D191" t="s">
        <v>32</v>
      </c>
      <c r="E191" t="s">
        <v>33</v>
      </c>
      <c r="F191" t="s">
        <v>39</v>
      </c>
      <c r="G191" t="s">
        <v>52</v>
      </c>
      <c r="H191" t="s">
        <v>38</v>
      </c>
      <c r="I191">
        <v>4045</v>
      </c>
    </row>
    <row r="192" spans="1:9" ht="14.5" x14ac:dyDescent="0.35">
      <c r="A192">
        <v>4</v>
      </c>
      <c r="B192" t="s">
        <v>51</v>
      </c>
      <c r="C192" t="s">
        <v>31</v>
      </c>
      <c r="D192" t="s">
        <v>32</v>
      </c>
      <c r="E192" t="s">
        <v>33</v>
      </c>
      <c r="F192" t="s">
        <v>34</v>
      </c>
      <c r="G192" t="s">
        <v>52</v>
      </c>
      <c r="H192" t="s">
        <v>36</v>
      </c>
      <c r="I192">
        <v>1509</v>
      </c>
    </row>
    <row r="193" spans="1:9" ht="14.5" x14ac:dyDescent="0.35">
      <c r="A193">
        <v>4</v>
      </c>
      <c r="B193" t="s">
        <v>51</v>
      </c>
      <c r="C193" t="s">
        <v>31</v>
      </c>
      <c r="D193" t="s">
        <v>32</v>
      </c>
      <c r="E193" t="s">
        <v>33</v>
      </c>
      <c r="F193" t="s">
        <v>34</v>
      </c>
      <c r="G193" t="s">
        <v>52</v>
      </c>
      <c r="H193" t="s">
        <v>38</v>
      </c>
      <c r="I193">
        <v>3201</v>
      </c>
    </row>
    <row r="194" spans="1:9" ht="14.5" x14ac:dyDescent="0.35">
      <c r="A194">
        <v>1</v>
      </c>
      <c r="B194" t="s">
        <v>30</v>
      </c>
      <c r="C194" t="s">
        <v>31</v>
      </c>
      <c r="D194" t="s">
        <v>53</v>
      </c>
      <c r="E194" t="s">
        <v>54</v>
      </c>
      <c r="F194" t="s">
        <v>55</v>
      </c>
      <c r="G194" t="s">
        <v>35</v>
      </c>
      <c r="H194" t="s">
        <v>36</v>
      </c>
      <c r="I194">
        <v>4404</v>
      </c>
    </row>
    <row r="195" spans="1:9" ht="14.5" x14ac:dyDescent="0.35">
      <c r="A195">
        <v>1</v>
      </c>
      <c r="B195" t="s">
        <v>30</v>
      </c>
      <c r="C195" t="s">
        <v>31</v>
      </c>
      <c r="D195" t="s">
        <v>53</v>
      </c>
      <c r="E195" t="s">
        <v>54</v>
      </c>
      <c r="F195" t="s">
        <v>55</v>
      </c>
      <c r="G195" t="s">
        <v>35</v>
      </c>
      <c r="H195" t="s">
        <v>38</v>
      </c>
      <c r="I195">
        <v>2573</v>
      </c>
    </row>
    <row r="196" spans="1:9" ht="14.5" x14ac:dyDescent="0.35">
      <c r="A196">
        <v>1</v>
      </c>
      <c r="B196" t="s">
        <v>30</v>
      </c>
      <c r="C196" t="s">
        <v>31</v>
      </c>
      <c r="D196" t="s">
        <v>53</v>
      </c>
      <c r="E196" t="s">
        <v>54</v>
      </c>
      <c r="F196" t="s">
        <v>56</v>
      </c>
      <c r="G196" t="s">
        <v>35</v>
      </c>
      <c r="H196" t="s">
        <v>36</v>
      </c>
      <c r="I196">
        <v>3843</v>
      </c>
    </row>
    <row r="197" spans="1:9" ht="14.5" x14ac:dyDescent="0.35">
      <c r="A197">
        <v>1</v>
      </c>
      <c r="B197" t="s">
        <v>30</v>
      </c>
      <c r="C197" t="s">
        <v>31</v>
      </c>
      <c r="D197" t="s">
        <v>53</v>
      </c>
      <c r="E197" t="s">
        <v>54</v>
      </c>
      <c r="F197" t="s">
        <v>56</v>
      </c>
      <c r="G197" t="s">
        <v>35</v>
      </c>
      <c r="H197" t="s">
        <v>38</v>
      </c>
      <c r="I197">
        <v>3798</v>
      </c>
    </row>
    <row r="198" spans="1:9" ht="14.5" x14ac:dyDescent="0.35">
      <c r="A198">
        <v>1</v>
      </c>
      <c r="B198" t="s">
        <v>30</v>
      </c>
      <c r="C198" t="s">
        <v>31</v>
      </c>
      <c r="D198" t="s">
        <v>53</v>
      </c>
      <c r="E198" t="s">
        <v>54</v>
      </c>
      <c r="F198" t="s">
        <v>57</v>
      </c>
      <c r="G198" t="s">
        <v>35</v>
      </c>
      <c r="H198" t="s">
        <v>36</v>
      </c>
      <c r="I198">
        <v>2980</v>
      </c>
    </row>
    <row r="199" spans="1:9" ht="14.5" x14ac:dyDescent="0.35">
      <c r="A199">
        <v>1</v>
      </c>
      <c r="B199" t="s">
        <v>30</v>
      </c>
      <c r="C199" t="s">
        <v>31</v>
      </c>
      <c r="D199" t="s">
        <v>53</v>
      </c>
      <c r="E199" t="s">
        <v>54</v>
      </c>
      <c r="F199" t="s">
        <v>57</v>
      </c>
      <c r="G199" t="s">
        <v>35</v>
      </c>
      <c r="H199" t="s">
        <v>38</v>
      </c>
      <c r="I199">
        <v>2074</v>
      </c>
    </row>
    <row r="200" spans="1:9" ht="14.5" x14ac:dyDescent="0.35">
      <c r="A200">
        <v>1</v>
      </c>
      <c r="B200" t="s">
        <v>30</v>
      </c>
      <c r="C200" t="s">
        <v>31</v>
      </c>
      <c r="D200" t="s">
        <v>53</v>
      </c>
      <c r="E200" t="s">
        <v>54</v>
      </c>
      <c r="F200" t="s">
        <v>58</v>
      </c>
      <c r="G200" t="s">
        <v>35</v>
      </c>
      <c r="H200" t="s">
        <v>36</v>
      </c>
      <c r="I200">
        <v>1723</v>
      </c>
    </row>
    <row r="201" spans="1:9" ht="14.5" x14ac:dyDescent="0.35">
      <c r="A201">
        <v>1</v>
      </c>
      <c r="B201" t="s">
        <v>30</v>
      </c>
      <c r="C201" t="s">
        <v>31</v>
      </c>
      <c r="D201" t="s">
        <v>53</v>
      </c>
      <c r="E201" t="s">
        <v>54</v>
      </c>
      <c r="F201" t="s">
        <v>58</v>
      </c>
      <c r="G201" t="s">
        <v>35</v>
      </c>
      <c r="H201" t="s">
        <v>38</v>
      </c>
      <c r="I201">
        <v>3734</v>
      </c>
    </row>
    <row r="202" spans="1:9" ht="14.5" x14ac:dyDescent="0.35">
      <c r="A202">
        <v>1</v>
      </c>
      <c r="B202" t="s">
        <v>41</v>
      </c>
      <c r="C202" t="s">
        <v>31</v>
      </c>
      <c r="D202" t="s">
        <v>53</v>
      </c>
      <c r="E202" t="s">
        <v>54</v>
      </c>
      <c r="F202" t="s">
        <v>55</v>
      </c>
      <c r="G202" t="s">
        <v>35</v>
      </c>
      <c r="H202" t="s">
        <v>36</v>
      </c>
      <c r="I202">
        <v>3116</v>
      </c>
    </row>
    <row r="203" spans="1:9" ht="14.5" x14ac:dyDescent="0.35">
      <c r="A203">
        <v>1</v>
      </c>
      <c r="B203" t="s">
        <v>41</v>
      </c>
      <c r="C203" t="s">
        <v>31</v>
      </c>
      <c r="D203" t="s">
        <v>53</v>
      </c>
      <c r="E203" t="s">
        <v>54</v>
      </c>
      <c r="F203" t="s">
        <v>55</v>
      </c>
      <c r="G203" t="s">
        <v>35</v>
      </c>
      <c r="H203" t="s">
        <v>38</v>
      </c>
      <c r="I203">
        <v>4263</v>
      </c>
    </row>
    <row r="204" spans="1:9" ht="14.5" x14ac:dyDescent="0.35">
      <c r="A204">
        <v>1</v>
      </c>
      <c r="B204" t="s">
        <v>41</v>
      </c>
      <c r="C204" t="s">
        <v>31</v>
      </c>
      <c r="D204" t="s">
        <v>53</v>
      </c>
      <c r="E204" t="s">
        <v>54</v>
      </c>
      <c r="F204" t="s">
        <v>56</v>
      </c>
      <c r="G204" t="s">
        <v>35</v>
      </c>
      <c r="H204" t="s">
        <v>36</v>
      </c>
      <c r="I204">
        <v>4077</v>
      </c>
    </row>
    <row r="205" spans="1:9" ht="14.5" x14ac:dyDescent="0.35">
      <c r="A205">
        <v>1</v>
      </c>
      <c r="B205" t="s">
        <v>41</v>
      </c>
      <c r="C205" t="s">
        <v>31</v>
      </c>
      <c r="D205" t="s">
        <v>53</v>
      </c>
      <c r="E205" t="s">
        <v>54</v>
      </c>
      <c r="F205" t="s">
        <v>56</v>
      </c>
      <c r="G205" t="s">
        <v>35</v>
      </c>
      <c r="H205" t="s">
        <v>38</v>
      </c>
      <c r="I205">
        <v>3954</v>
      </c>
    </row>
    <row r="206" spans="1:9" ht="14.5" x14ac:dyDescent="0.35">
      <c r="A206">
        <v>1</v>
      </c>
      <c r="B206" t="s">
        <v>41</v>
      </c>
      <c r="C206" t="s">
        <v>31</v>
      </c>
      <c r="D206" t="s">
        <v>53</v>
      </c>
      <c r="E206" t="s">
        <v>54</v>
      </c>
      <c r="F206" t="s">
        <v>57</v>
      </c>
      <c r="G206" t="s">
        <v>35</v>
      </c>
      <c r="H206" t="s">
        <v>36</v>
      </c>
      <c r="I206">
        <v>4964</v>
      </c>
    </row>
    <row r="207" spans="1:9" ht="14.5" x14ac:dyDescent="0.35">
      <c r="A207">
        <v>1</v>
      </c>
      <c r="B207" t="s">
        <v>41</v>
      </c>
      <c r="C207" t="s">
        <v>31</v>
      </c>
      <c r="D207" t="s">
        <v>53</v>
      </c>
      <c r="E207" t="s">
        <v>54</v>
      </c>
      <c r="F207" t="s">
        <v>57</v>
      </c>
      <c r="G207" t="s">
        <v>35</v>
      </c>
      <c r="H207" t="s">
        <v>38</v>
      </c>
      <c r="I207">
        <v>3253</v>
      </c>
    </row>
    <row r="208" spans="1:9" ht="14.5" x14ac:dyDescent="0.35">
      <c r="A208">
        <v>1</v>
      </c>
      <c r="B208" t="s">
        <v>41</v>
      </c>
      <c r="C208" t="s">
        <v>31</v>
      </c>
      <c r="D208" t="s">
        <v>53</v>
      </c>
      <c r="E208" t="s">
        <v>54</v>
      </c>
      <c r="F208" t="s">
        <v>58</v>
      </c>
      <c r="G208" t="s">
        <v>35</v>
      </c>
      <c r="H208" t="s">
        <v>36</v>
      </c>
      <c r="I208">
        <v>2813</v>
      </c>
    </row>
    <row r="209" spans="1:9" ht="14.5" x14ac:dyDescent="0.35">
      <c r="A209">
        <v>1</v>
      </c>
      <c r="B209" t="s">
        <v>41</v>
      </c>
      <c r="C209" t="s">
        <v>31</v>
      </c>
      <c r="D209" t="s">
        <v>53</v>
      </c>
      <c r="E209" t="s">
        <v>54</v>
      </c>
      <c r="F209" t="s">
        <v>58</v>
      </c>
      <c r="G209" t="s">
        <v>35</v>
      </c>
      <c r="H209" t="s">
        <v>38</v>
      </c>
      <c r="I209">
        <v>1464</v>
      </c>
    </row>
    <row r="210" spans="1:9" ht="14.5" x14ac:dyDescent="0.35">
      <c r="A210">
        <v>1</v>
      </c>
      <c r="B210" t="s">
        <v>42</v>
      </c>
      <c r="C210" t="s">
        <v>31</v>
      </c>
      <c r="D210" t="s">
        <v>53</v>
      </c>
      <c r="E210" t="s">
        <v>54</v>
      </c>
      <c r="F210" t="s">
        <v>55</v>
      </c>
      <c r="G210" t="s">
        <v>35</v>
      </c>
      <c r="H210" t="s">
        <v>36</v>
      </c>
      <c r="I210">
        <v>1290</v>
      </c>
    </row>
    <row r="211" spans="1:9" ht="14.5" x14ac:dyDescent="0.35">
      <c r="A211">
        <v>1</v>
      </c>
      <c r="B211" t="s">
        <v>42</v>
      </c>
      <c r="C211" t="s">
        <v>31</v>
      </c>
      <c r="D211" t="s">
        <v>53</v>
      </c>
      <c r="E211" t="s">
        <v>54</v>
      </c>
      <c r="F211" t="s">
        <v>55</v>
      </c>
      <c r="G211" t="s">
        <v>35</v>
      </c>
      <c r="H211" t="s">
        <v>38</v>
      </c>
      <c r="I211">
        <v>2763</v>
      </c>
    </row>
    <row r="212" spans="1:9" ht="14.5" x14ac:dyDescent="0.35">
      <c r="A212">
        <v>1</v>
      </c>
      <c r="B212" t="s">
        <v>42</v>
      </c>
      <c r="C212" t="s">
        <v>31</v>
      </c>
      <c r="D212" t="s">
        <v>53</v>
      </c>
      <c r="E212" t="s">
        <v>54</v>
      </c>
      <c r="F212" t="s">
        <v>56</v>
      </c>
      <c r="G212" t="s">
        <v>35</v>
      </c>
      <c r="H212" t="s">
        <v>36</v>
      </c>
      <c r="I212">
        <v>4998</v>
      </c>
    </row>
    <row r="213" spans="1:9" ht="14.5" x14ac:dyDescent="0.35">
      <c r="A213">
        <v>1</v>
      </c>
      <c r="B213" t="s">
        <v>42</v>
      </c>
      <c r="C213" t="s">
        <v>31</v>
      </c>
      <c r="D213" t="s">
        <v>53</v>
      </c>
      <c r="E213" t="s">
        <v>54</v>
      </c>
      <c r="F213" t="s">
        <v>56</v>
      </c>
      <c r="G213" t="s">
        <v>35</v>
      </c>
      <c r="H213" t="s">
        <v>38</v>
      </c>
      <c r="I213">
        <v>2368</v>
      </c>
    </row>
    <row r="214" spans="1:9" ht="14.5" x14ac:dyDescent="0.35">
      <c r="A214">
        <v>1</v>
      </c>
      <c r="B214" t="s">
        <v>42</v>
      </c>
      <c r="C214" t="s">
        <v>31</v>
      </c>
      <c r="D214" t="s">
        <v>53</v>
      </c>
      <c r="E214" t="s">
        <v>54</v>
      </c>
      <c r="F214" t="s">
        <v>57</v>
      </c>
      <c r="G214" t="s">
        <v>35</v>
      </c>
      <c r="H214" t="s">
        <v>36</v>
      </c>
      <c r="I214">
        <v>1418</v>
      </c>
    </row>
    <row r="215" spans="1:9" ht="14.5" x14ac:dyDescent="0.35">
      <c r="A215">
        <v>1</v>
      </c>
      <c r="B215" t="s">
        <v>42</v>
      </c>
      <c r="C215" t="s">
        <v>31</v>
      </c>
      <c r="D215" t="s">
        <v>53</v>
      </c>
      <c r="E215" t="s">
        <v>54</v>
      </c>
      <c r="F215" t="s">
        <v>57</v>
      </c>
      <c r="G215" t="s">
        <v>35</v>
      </c>
      <c r="H215" t="s">
        <v>38</v>
      </c>
      <c r="I215">
        <v>4373</v>
      </c>
    </row>
    <row r="216" spans="1:9" ht="14.5" x14ac:dyDescent="0.35">
      <c r="A216">
        <v>1</v>
      </c>
      <c r="B216" t="s">
        <v>42</v>
      </c>
      <c r="C216" t="s">
        <v>31</v>
      </c>
      <c r="D216" t="s">
        <v>53</v>
      </c>
      <c r="E216" t="s">
        <v>54</v>
      </c>
      <c r="F216" t="s">
        <v>58</v>
      </c>
      <c r="G216" t="s">
        <v>35</v>
      </c>
      <c r="H216" t="s">
        <v>36</v>
      </c>
      <c r="I216">
        <v>4393</v>
      </c>
    </row>
    <row r="217" spans="1:9" ht="14.5" x14ac:dyDescent="0.35">
      <c r="A217">
        <v>1</v>
      </c>
      <c r="B217" t="s">
        <v>42</v>
      </c>
      <c r="C217" t="s">
        <v>31</v>
      </c>
      <c r="D217" t="s">
        <v>53</v>
      </c>
      <c r="E217" t="s">
        <v>54</v>
      </c>
      <c r="F217" t="s">
        <v>58</v>
      </c>
      <c r="G217" t="s">
        <v>35</v>
      </c>
      <c r="H217" t="s">
        <v>38</v>
      </c>
      <c r="I217">
        <v>1597</v>
      </c>
    </row>
    <row r="218" spans="1:9" ht="14.5" x14ac:dyDescent="0.35">
      <c r="A218">
        <v>2</v>
      </c>
      <c r="B218" t="s">
        <v>43</v>
      </c>
      <c r="C218" t="s">
        <v>31</v>
      </c>
      <c r="D218" t="s">
        <v>53</v>
      </c>
      <c r="E218" t="s">
        <v>54</v>
      </c>
      <c r="F218" t="s">
        <v>55</v>
      </c>
      <c r="G218" t="s">
        <v>35</v>
      </c>
      <c r="H218" t="s">
        <v>36</v>
      </c>
      <c r="I218">
        <v>4502</v>
      </c>
    </row>
    <row r="219" spans="1:9" ht="14.5" x14ac:dyDescent="0.35">
      <c r="A219">
        <v>2</v>
      </c>
      <c r="B219" t="s">
        <v>43</v>
      </c>
      <c r="C219" t="s">
        <v>31</v>
      </c>
      <c r="D219" t="s">
        <v>53</v>
      </c>
      <c r="E219" t="s">
        <v>54</v>
      </c>
      <c r="F219" t="s">
        <v>55</v>
      </c>
      <c r="G219" t="s">
        <v>35</v>
      </c>
      <c r="H219" t="s">
        <v>38</v>
      </c>
      <c r="I219">
        <v>3990</v>
      </c>
    </row>
    <row r="220" spans="1:9" ht="14.5" x14ac:dyDescent="0.35">
      <c r="A220">
        <v>2</v>
      </c>
      <c r="B220" t="s">
        <v>43</v>
      </c>
      <c r="C220" t="s">
        <v>31</v>
      </c>
      <c r="D220" t="s">
        <v>53</v>
      </c>
      <c r="E220" t="s">
        <v>54</v>
      </c>
      <c r="F220" t="s">
        <v>56</v>
      </c>
      <c r="G220" t="s">
        <v>35</v>
      </c>
      <c r="H220" t="s">
        <v>36</v>
      </c>
      <c r="I220">
        <v>3715</v>
      </c>
    </row>
    <row r="221" spans="1:9" ht="14.5" x14ac:dyDescent="0.35">
      <c r="A221">
        <v>2</v>
      </c>
      <c r="B221" t="s">
        <v>43</v>
      </c>
      <c r="C221" t="s">
        <v>31</v>
      </c>
      <c r="D221" t="s">
        <v>53</v>
      </c>
      <c r="E221" t="s">
        <v>54</v>
      </c>
      <c r="F221" t="s">
        <v>56</v>
      </c>
      <c r="G221" t="s">
        <v>35</v>
      </c>
      <c r="H221" t="s">
        <v>38</v>
      </c>
      <c r="I221">
        <v>3637</v>
      </c>
    </row>
    <row r="222" spans="1:9" ht="14.5" x14ac:dyDescent="0.35">
      <c r="A222">
        <v>2</v>
      </c>
      <c r="B222" t="s">
        <v>43</v>
      </c>
      <c r="C222" t="s">
        <v>31</v>
      </c>
      <c r="D222" t="s">
        <v>53</v>
      </c>
      <c r="E222" t="s">
        <v>54</v>
      </c>
      <c r="F222" t="s">
        <v>57</v>
      </c>
      <c r="G222" t="s">
        <v>35</v>
      </c>
      <c r="H222" t="s">
        <v>36</v>
      </c>
      <c r="I222">
        <v>3411</v>
      </c>
    </row>
    <row r="223" spans="1:9" ht="14.5" x14ac:dyDescent="0.35">
      <c r="A223">
        <v>2</v>
      </c>
      <c r="B223" t="s">
        <v>43</v>
      </c>
      <c r="C223" t="s">
        <v>31</v>
      </c>
      <c r="D223" t="s">
        <v>53</v>
      </c>
      <c r="E223" t="s">
        <v>54</v>
      </c>
      <c r="F223" t="s">
        <v>57</v>
      </c>
      <c r="G223" t="s">
        <v>35</v>
      </c>
      <c r="H223" t="s">
        <v>38</v>
      </c>
      <c r="I223">
        <v>3246</v>
      </c>
    </row>
    <row r="224" spans="1:9" ht="14.5" x14ac:dyDescent="0.35">
      <c r="A224">
        <v>2</v>
      </c>
      <c r="B224" t="s">
        <v>43</v>
      </c>
      <c r="C224" t="s">
        <v>31</v>
      </c>
      <c r="D224" t="s">
        <v>53</v>
      </c>
      <c r="E224" t="s">
        <v>54</v>
      </c>
      <c r="F224" t="s">
        <v>58</v>
      </c>
      <c r="G224" t="s">
        <v>35</v>
      </c>
      <c r="H224" t="s">
        <v>36</v>
      </c>
      <c r="I224">
        <v>1915</v>
      </c>
    </row>
    <row r="225" spans="1:9" ht="14.5" x14ac:dyDescent="0.35">
      <c r="A225">
        <v>2</v>
      </c>
      <c r="B225" t="s">
        <v>43</v>
      </c>
      <c r="C225" t="s">
        <v>31</v>
      </c>
      <c r="D225" t="s">
        <v>53</v>
      </c>
      <c r="E225" t="s">
        <v>54</v>
      </c>
      <c r="F225" t="s">
        <v>58</v>
      </c>
      <c r="G225" t="s">
        <v>35</v>
      </c>
      <c r="H225" t="s">
        <v>38</v>
      </c>
      <c r="I225">
        <v>3698</v>
      </c>
    </row>
    <row r="226" spans="1:9" ht="14.5" x14ac:dyDescent="0.35">
      <c r="A226">
        <v>2</v>
      </c>
      <c r="B226" t="s">
        <v>44</v>
      </c>
      <c r="C226" t="s">
        <v>31</v>
      </c>
      <c r="D226" t="s">
        <v>53</v>
      </c>
      <c r="E226" t="s">
        <v>54</v>
      </c>
      <c r="F226" t="s">
        <v>55</v>
      </c>
      <c r="G226" t="s">
        <v>35</v>
      </c>
      <c r="H226" t="s">
        <v>36</v>
      </c>
      <c r="I226">
        <v>3579</v>
      </c>
    </row>
    <row r="227" spans="1:9" ht="14.5" x14ac:dyDescent="0.35">
      <c r="A227">
        <v>2</v>
      </c>
      <c r="B227" t="s">
        <v>44</v>
      </c>
      <c r="C227" t="s">
        <v>31</v>
      </c>
      <c r="D227" t="s">
        <v>53</v>
      </c>
      <c r="E227" t="s">
        <v>54</v>
      </c>
      <c r="F227" t="s">
        <v>55</v>
      </c>
      <c r="G227" t="s">
        <v>35</v>
      </c>
      <c r="H227" t="s">
        <v>38</v>
      </c>
      <c r="I227">
        <v>1410</v>
      </c>
    </row>
    <row r="228" spans="1:9" ht="14.5" x14ac:dyDescent="0.35">
      <c r="A228">
        <v>2</v>
      </c>
      <c r="B228" t="s">
        <v>44</v>
      </c>
      <c r="C228" t="s">
        <v>31</v>
      </c>
      <c r="D228" t="s">
        <v>53</v>
      </c>
      <c r="E228" t="s">
        <v>54</v>
      </c>
      <c r="F228" t="s">
        <v>56</v>
      </c>
      <c r="G228" t="s">
        <v>35</v>
      </c>
      <c r="H228" t="s">
        <v>36</v>
      </c>
      <c r="I228">
        <v>2232</v>
      </c>
    </row>
    <row r="229" spans="1:9" ht="14.5" x14ac:dyDescent="0.35">
      <c r="A229">
        <v>2</v>
      </c>
      <c r="B229" t="s">
        <v>44</v>
      </c>
      <c r="C229" t="s">
        <v>31</v>
      </c>
      <c r="D229" t="s">
        <v>53</v>
      </c>
      <c r="E229" t="s">
        <v>54</v>
      </c>
      <c r="F229" t="s">
        <v>56</v>
      </c>
      <c r="G229" t="s">
        <v>35</v>
      </c>
      <c r="H229" t="s">
        <v>38</v>
      </c>
      <c r="I229">
        <v>4479</v>
      </c>
    </row>
    <row r="230" spans="1:9" ht="14.5" x14ac:dyDescent="0.35">
      <c r="A230">
        <v>2</v>
      </c>
      <c r="B230" t="s">
        <v>44</v>
      </c>
      <c r="C230" t="s">
        <v>31</v>
      </c>
      <c r="D230" t="s">
        <v>53</v>
      </c>
      <c r="E230" t="s">
        <v>54</v>
      </c>
      <c r="F230" t="s">
        <v>57</v>
      </c>
      <c r="G230" t="s">
        <v>35</v>
      </c>
      <c r="H230" t="s">
        <v>36</v>
      </c>
      <c r="I230">
        <v>1821</v>
      </c>
    </row>
    <row r="231" spans="1:9" ht="14.5" x14ac:dyDescent="0.35">
      <c r="A231">
        <v>2</v>
      </c>
      <c r="B231" t="s">
        <v>44</v>
      </c>
      <c r="C231" t="s">
        <v>31</v>
      </c>
      <c r="D231" t="s">
        <v>53</v>
      </c>
      <c r="E231" t="s">
        <v>54</v>
      </c>
      <c r="F231" t="s">
        <v>57</v>
      </c>
      <c r="G231" t="s">
        <v>35</v>
      </c>
      <c r="H231" t="s">
        <v>38</v>
      </c>
      <c r="I231">
        <v>2173</v>
      </c>
    </row>
    <row r="232" spans="1:9" ht="14.5" x14ac:dyDescent="0.35">
      <c r="A232">
        <v>2</v>
      </c>
      <c r="B232" t="s">
        <v>44</v>
      </c>
      <c r="C232" t="s">
        <v>31</v>
      </c>
      <c r="D232" t="s">
        <v>53</v>
      </c>
      <c r="E232" t="s">
        <v>54</v>
      </c>
      <c r="F232" t="s">
        <v>58</v>
      </c>
      <c r="G232" t="s">
        <v>35</v>
      </c>
      <c r="H232" t="s">
        <v>36</v>
      </c>
      <c r="I232">
        <v>2996</v>
      </c>
    </row>
    <row r="233" spans="1:9" ht="14.5" x14ac:dyDescent="0.35">
      <c r="A233">
        <v>2</v>
      </c>
      <c r="B233" t="s">
        <v>44</v>
      </c>
      <c r="C233" t="s">
        <v>31</v>
      </c>
      <c r="D233" t="s">
        <v>53</v>
      </c>
      <c r="E233" t="s">
        <v>54</v>
      </c>
      <c r="F233" t="s">
        <v>58</v>
      </c>
      <c r="G233" t="s">
        <v>35</v>
      </c>
      <c r="H233" t="s">
        <v>38</v>
      </c>
      <c r="I233">
        <v>4891</v>
      </c>
    </row>
    <row r="234" spans="1:9" ht="14.5" x14ac:dyDescent="0.35">
      <c r="A234">
        <v>2</v>
      </c>
      <c r="B234" t="s">
        <v>45</v>
      </c>
      <c r="C234" t="s">
        <v>31</v>
      </c>
      <c r="D234" t="s">
        <v>53</v>
      </c>
      <c r="E234" t="s">
        <v>54</v>
      </c>
      <c r="F234" t="s">
        <v>55</v>
      </c>
      <c r="G234" t="s">
        <v>35</v>
      </c>
      <c r="H234" t="s">
        <v>36</v>
      </c>
      <c r="I234">
        <v>4024</v>
      </c>
    </row>
    <row r="235" spans="1:9" ht="14.5" x14ac:dyDescent="0.35">
      <c r="A235">
        <v>2</v>
      </c>
      <c r="B235" t="s">
        <v>45</v>
      </c>
      <c r="C235" t="s">
        <v>31</v>
      </c>
      <c r="D235" t="s">
        <v>53</v>
      </c>
      <c r="E235" t="s">
        <v>54</v>
      </c>
      <c r="F235" t="s">
        <v>55</v>
      </c>
      <c r="G235" t="s">
        <v>35</v>
      </c>
      <c r="H235" t="s">
        <v>38</v>
      </c>
      <c r="I235">
        <v>1966</v>
      </c>
    </row>
    <row r="236" spans="1:9" ht="14.5" x14ac:dyDescent="0.35">
      <c r="A236">
        <v>2</v>
      </c>
      <c r="B236" t="s">
        <v>45</v>
      </c>
      <c r="C236" t="s">
        <v>31</v>
      </c>
      <c r="D236" t="s">
        <v>53</v>
      </c>
      <c r="E236" t="s">
        <v>54</v>
      </c>
      <c r="F236" t="s">
        <v>56</v>
      </c>
      <c r="G236" t="s">
        <v>35</v>
      </c>
      <c r="H236" t="s">
        <v>36</v>
      </c>
      <c r="I236">
        <v>2751</v>
      </c>
    </row>
    <row r="237" spans="1:9" ht="14.5" x14ac:dyDescent="0.35">
      <c r="A237">
        <v>2</v>
      </c>
      <c r="B237" t="s">
        <v>45</v>
      </c>
      <c r="C237" t="s">
        <v>31</v>
      </c>
      <c r="D237" t="s">
        <v>53</v>
      </c>
      <c r="E237" t="s">
        <v>54</v>
      </c>
      <c r="F237" t="s">
        <v>56</v>
      </c>
      <c r="G237" t="s">
        <v>35</v>
      </c>
      <c r="H237" t="s">
        <v>38</v>
      </c>
      <c r="I237">
        <v>4835</v>
      </c>
    </row>
    <row r="238" spans="1:9" ht="14.5" x14ac:dyDescent="0.35">
      <c r="A238">
        <v>2</v>
      </c>
      <c r="B238" t="s">
        <v>45</v>
      </c>
      <c r="C238" t="s">
        <v>31</v>
      </c>
      <c r="D238" t="s">
        <v>53</v>
      </c>
      <c r="E238" t="s">
        <v>54</v>
      </c>
      <c r="F238" t="s">
        <v>57</v>
      </c>
      <c r="G238" t="s">
        <v>35</v>
      </c>
      <c r="H238" t="s">
        <v>36</v>
      </c>
      <c r="I238">
        <v>2018</v>
      </c>
    </row>
    <row r="239" spans="1:9" ht="14.5" x14ac:dyDescent="0.35">
      <c r="A239">
        <v>2</v>
      </c>
      <c r="B239" t="s">
        <v>45</v>
      </c>
      <c r="C239" t="s">
        <v>31</v>
      </c>
      <c r="D239" t="s">
        <v>53</v>
      </c>
      <c r="E239" t="s">
        <v>54</v>
      </c>
      <c r="F239" t="s">
        <v>57</v>
      </c>
      <c r="G239" t="s">
        <v>35</v>
      </c>
      <c r="H239" t="s">
        <v>38</v>
      </c>
      <c r="I239">
        <v>4385</v>
      </c>
    </row>
    <row r="240" spans="1:9" ht="14.5" x14ac:dyDescent="0.35">
      <c r="A240">
        <v>2</v>
      </c>
      <c r="B240" t="s">
        <v>45</v>
      </c>
      <c r="C240" t="s">
        <v>31</v>
      </c>
      <c r="D240" t="s">
        <v>53</v>
      </c>
      <c r="E240" t="s">
        <v>54</v>
      </c>
      <c r="F240" t="s">
        <v>58</v>
      </c>
      <c r="G240" t="s">
        <v>35</v>
      </c>
      <c r="H240" t="s">
        <v>36</v>
      </c>
      <c r="I240">
        <v>4604</v>
      </c>
    </row>
    <row r="241" spans="1:9" ht="14.5" x14ac:dyDescent="0.35">
      <c r="A241">
        <v>2</v>
      </c>
      <c r="B241" t="s">
        <v>45</v>
      </c>
      <c r="C241" t="s">
        <v>31</v>
      </c>
      <c r="D241" t="s">
        <v>53</v>
      </c>
      <c r="E241" t="s">
        <v>54</v>
      </c>
      <c r="F241" t="s">
        <v>58</v>
      </c>
      <c r="G241" t="s">
        <v>35</v>
      </c>
      <c r="H241" t="s">
        <v>38</v>
      </c>
      <c r="I241">
        <v>1118</v>
      </c>
    </row>
    <row r="242" spans="1:9" ht="14.5" x14ac:dyDescent="0.35">
      <c r="A242">
        <v>3</v>
      </c>
      <c r="B242" t="s">
        <v>46</v>
      </c>
      <c r="C242" t="s">
        <v>31</v>
      </c>
      <c r="D242" t="s">
        <v>53</v>
      </c>
      <c r="E242" t="s">
        <v>54</v>
      </c>
      <c r="F242" t="s">
        <v>55</v>
      </c>
      <c r="G242" t="s">
        <v>35</v>
      </c>
      <c r="H242" t="s">
        <v>36</v>
      </c>
      <c r="I242">
        <v>1135</v>
      </c>
    </row>
    <row r="243" spans="1:9" ht="14.5" x14ac:dyDescent="0.35">
      <c r="A243">
        <v>3</v>
      </c>
      <c r="B243" t="s">
        <v>46</v>
      </c>
      <c r="C243" t="s">
        <v>31</v>
      </c>
      <c r="D243" t="s">
        <v>53</v>
      </c>
      <c r="E243" t="s">
        <v>54</v>
      </c>
      <c r="F243" t="s">
        <v>55</v>
      </c>
      <c r="G243" t="s">
        <v>35</v>
      </c>
      <c r="H243" t="s">
        <v>38</v>
      </c>
      <c r="I243">
        <v>1873</v>
      </c>
    </row>
    <row r="244" spans="1:9" ht="14.5" x14ac:dyDescent="0.35">
      <c r="A244">
        <v>3</v>
      </c>
      <c r="B244" t="s">
        <v>46</v>
      </c>
      <c r="C244" t="s">
        <v>31</v>
      </c>
      <c r="D244" t="s">
        <v>53</v>
      </c>
      <c r="E244" t="s">
        <v>54</v>
      </c>
      <c r="F244" t="s">
        <v>56</v>
      </c>
      <c r="G244" t="s">
        <v>35</v>
      </c>
      <c r="H244" t="s">
        <v>36</v>
      </c>
      <c r="I244">
        <v>1459</v>
      </c>
    </row>
    <row r="245" spans="1:9" ht="14.5" x14ac:dyDescent="0.35">
      <c r="A245">
        <v>3</v>
      </c>
      <c r="B245" t="s">
        <v>46</v>
      </c>
      <c r="C245" t="s">
        <v>31</v>
      </c>
      <c r="D245" t="s">
        <v>53</v>
      </c>
      <c r="E245" t="s">
        <v>54</v>
      </c>
      <c r="F245" t="s">
        <v>56</v>
      </c>
      <c r="G245" t="s">
        <v>35</v>
      </c>
      <c r="H245" t="s">
        <v>38</v>
      </c>
      <c r="I245">
        <v>4807</v>
      </c>
    </row>
    <row r="246" spans="1:9" ht="14.5" x14ac:dyDescent="0.35">
      <c r="A246">
        <v>3</v>
      </c>
      <c r="B246" t="s">
        <v>46</v>
      </c>
      <c r="C246" t="s">
        <v>31</v>
      </c>
      <c r="D246" t="s">
        <v>53</v>
      </c>
      <c r="E246" t="s">
        <v>54</v>
      </c>
      <c r="F246" t="s">
        <v>57</v>
      </c>
      <c r="G246" t="s">
        <v>35</v>
      </c>
      <c r="H246" t="s">
        <v>36</v>
      </c>
      <c r="I246">
        <v>2240</v>
      </c>
    </row>
    <row r="247" spans="1:9" ht="14.5" x14ac:dyDescent="0.35">
      <c r="A247">
        <v>3</v>
      </c>
      <c r="B247" t="s">
        <v>46</v>
      </c>
      <c r="C247" t="s">
        <v>31</v>
      </c>
      <c r="D247" t="s">
        <v>53</v>
      </c>
      <c r="E247" t="s">
        <v>54</v>
      </c>
      <c r="F247" t="s">
        <v>57</v>
      </c>
      <c r="G247" t="s">
        <v>35</v>
      </c>
      <c r="H247" t="s">
        <v>38</v>
      </c>
      <c r="I247">
        <v>1984</v>
      </c>
    </row>
    <row r="248" spans="1:9" ht="14.5" x14ac:dyDescent="0.35">
      <c r="A248">
        <v>3</v>
      </c>
      <c r="B248" t="s">
        <v>46</v>
      </c>
      <c r="C248" t="s">
        <v>31</v>
      </c>
      <c r="D248" t="s">
        <v>53</v>
      </c>
      <c r="E248" t="s">
        <v>54</v>
      </c>
      <c r="F248" t="s">
        <v>58</v>
      </c>
      <c r="G248" t="s">
        <v>35</v>
      </c>
      <c r="H248" t="s">
        <v>36</v>
      </c>
      <c r="I248">
        <v>4404</v>
      </c>
    </row>
    <row r="249" spans="1:9" ht="14.5" x14ac:dyDescent="0.35">
      <c r="A249">
        <v>3</v>
      </c>
      <c r="B249" t="s">
        <v>46</v>
      </c>
      <c r="C249" t="s">
        <v>31</v>
      </c>
      <c r="D249" t="s">
        <v>53</v>
      </c>
      <c r="E249" t="s">
        <v>54</v>
      </c>
      <c r="F249" t="s">
        <v>58</v>
      </c>
      <c r="G249" t="s">
        <v>35</v>
      </c>
      <c r="H249" t="s">
        <v>38</v>
      </c>
      <c r="I249">
        <v>3066</v>
      </c>
    </row>
    <row r="250" spans="1:9" ht="14.5" x14ac:dyDescent="0.35">
      <c r="A250">
        <v>3</v>
      </c>
      <c r="B250" t="s">
        <v>47</v>
      </c>
      <c r="C250" t="s">
        <v>31</v>
      </c>
      <c r="D250" t="s">
        <v>53</v>
      </c>
      <c r="E250" t="s">
        <v>54</v>
      </c>
      <c r="F250" t="s">
        <v>55</v>
      </c>
      <c r="G250" t="s">
        <v>35</v>
      </c>
      <c r="H250" t="s">
        <v>36</v>
      </c>
      <c r="I250">
        <v>2088</v>
      </c>
    </row>
    <row r="251" spans="1:9" ht="14.5" x14ac:dyDescent="0.35">
      <c r="A251">
        <v>3</v>
      </c>
      <c r="B251" t="s">
        <v>47</v>
      </c>
      <c r="C251" t="s">
        <v>31</v>
      </c>
      <c r="D251" t="s">
        <v>53</v>
      </c>
      <c r="E251" t="s">
        <v>54</v>
      </c>
      <c r="F251" t="s">
        <v>55</v>
      </c>
      <c r="G251" t="s">
        <v>35</v>
      </c>
      <c r="H251" t="s">
        <v>38</v>
      </c>
      <c r="I251">
        <v>2729</v>
      </c>
    </row>
    <row r="252" spans="1:9" ht="14.5" x14ac:dyDescent="0.35">
      <c r="A252">
        <v>3</v>
      </c>
      <c r="B252" t="s">
        <v>47</v>
      </c>
      <c r="C252" t="s">
        <v>31</v>
      </c>
      <c r="D252" t="s">
        <v>53</v>
      </c>
      <c r="E252" t="s">
        <v>54</v>
      </c>
      <c r="F252" t="s">
        <v>56</v>
      </c>
      <c r="G252" t="s">
        <v>35</v>
      </c>
      <c r="H252" t="s">
        <v>36</v>
      </c>
      <c r="I252">
        <v>3787</v>
      </c>
    </row>
    <row r="253" spans="1:9" ht="14.5" x14ac:dyDescent="0.35">
      <c r="A253">
        <v>3</v>
      </c>
      <c r="B253" t="s">
        <v>47</v>
      </c>
      <c r="C253" t="s">
        <v>31</v>
      </c>
      <c r="D253" t="s">
        <v>53</v>
      </c>
      <c r="E253" t="s">
        <v>54</v>
      </c>
      <c r="F253" t="s">
        <v>56</v>
      </c>
      <c r="G253" t="s">
        <v>35</v>
      </c>
      <c r="H253" t="s">
        <v>38</v>
      </c>
      <c r="I253">
        <v>1234</v>
      </c>
    </row>
    <row r="254" spans="1:9" ht="14.5" x14ac:dyDescent="0.35">
      <c r="A254">
        <v>3</v>
      </c>
      <c r="B254" t="s">
        <v>47</v>
      </c>
      <c r="C254" t="s">
        <v>31</v>
      </c>
      <c r="D254" t="s">
        <v>53</v>
      </c>
      <c r="E254" t="s">
        <v>54</v>
      </c>
      <c r="F254" t="s">
        <v>57</v>
      </c>
      <c r="G254" t="s">
        <v>35</v>
      </c>
      <c r="H254" t="s">
        <v>36</v>
      </c>
      <c r="I254">
        <v>2678</v>
      </c>
    </row>
    <row r="255" spans="1:9" ht="14.5" x14ac:dyDescent="0.35">
      <c r="A255">
        <v>3</v>
      </c>
      <c r="B255" t="s">
        <v>47</v>
      </c>
      <c r="C255" t="s">
        <v>31</v>
      </c>
      <c r="D255" t="s">
        <v>53</v>
      </c>
      <c r="E255" t="s">
        <v>54</v>
      </c>
      <c r="F255" t="s">
        <v>57</v>
      </c>
      <c r="G255" t="s">
        <v>35</v>
      </c>
      <c r="H255" t="s">
        <v>38</v>
      </c>
      <c r="I255">
        <v>1847</v>
      </c>
    </row>
    <row r="256" spans="1:9" ht="14.5" x14ac:dyDescent="0.35">
      <c r="A256">
        <v>3</v>
      </c>
      <c r="B256" t="s">
        <v>47</v>
      </c>
      <c r="C256" t="s">
        <v>31</v>
      </c>
      <c r="D256" t="s">
        <v>53</v>
      </c>
      <c r="E256" t="s">
        <v>54</v>
      </c>
      <c r="F256" t="s">
        <v>58</v>
      </c>
      <c r="G256" t="s">
        <v>35</v>
      </c>
      <c r="H256" t="s">
        <v>36</v>
      </c>
      <c r="I256">
        <v>2951</v>
      </c>
    </row>
    <row r="257" spans="1:9" ht="14.5" x14ac:dyDescent="0.35">
      <c r="A257">
        <v>3</v>
      </c>
      <c r="B257" t="s">
        <v>47</v>
      </c>
      <c r="C257" t="s">
        <v>31</v>
      </c>
      <c r="D257" t="s">
        <v>53</v>
      </c>
      <c r="E257" t="s">
        <v>54</v>
      </c>
      <c r="F257" t="s">
        <v>58</v>
      </c>
      <c r="G257" t="s">
        <v>35</v>
      </c>
      <c r="H257" t="s">
        <v>38</v>
      </c>
      <c r="I257">
        <v>2527</v>
      </c>
    </row>
    <row r="258" spans="1:9" ht="14.5" x14ac:dyDescent="0.35">
      <c r="A258">
        <v>3</v>
      </c>
      <c r="B258" t="s">
        <v>48</v>
      </c>
      <c r="C258" t="s">
        <v>31</v>
      </c>
      <c r="D258" t="s">
        <v>53</v>
      </c>
      <c r="E258" t="s">
        <v>54</v>
      </c>
      <c r="F258" t="s">
        <v>55</v>
      </c>
      <c r="G258" t="s">
        <v>35</v>
      </c>
      <c r="H258" t="s">
        <v>36</v>
      </c>
      <c r="I258">
        <v>3121</v>
      </c>
    </row>
    <row r="259" spans="1:9" ht="14.5" x14ac:dyDescent="0.35">
      <c r="A259">
        <v>3</v>
      </c>
      <c r="B259" t="s">
        <v>48</v>
      </c>
      <c r="C259" t="s">
        <v>31</v>
      </c>
      <c r="D259" t="s">
        <v>53</v>
      </c>
      <c r="E259" t="s">
        <v>54</v>
      </c>
      <c r="F259" t="s">
        <v>55</v>
      </c>
      <c r="G259" t="s">
        <v>35</v>
      </c>
      <c r="H259" t="s">
        <v>38</v>
      </c>
      <c r="I259">
        <v>4238</v>
      </c>
    </row>
    <row r="260" spans="1:9" ht="14.5" x14ac:dyDescent="0.35">
      <c r="A260">
        <v>3</v>
      </c>
      <c r="B260" t="s">
        <v>48</v>
      </c>
      <c r="C260" t="s">
        <v>31</v>
      </c>
      <c r="D260" t="s">
        <v>53</v>
      </c>
      <c r="E260" t="s">
        <v>54</v>
      </c>
      <c r="F260" t="s">
        <v>56</v>
      </c>
      <c r="G260" t="s">
        <v>35</v>
      </c>
      <c r="H260" t="s">
        <v>36</v>
      </c>
      <c r="I260">
        <v>4449</v>
      </c>
    </row>
    <row r="261" spans="1:9" ht="14.5" x14ac:dyDescent="0.35">
      <c r="A261">
        <v>3</v>
      </c>
      <c r="B261" t="s">
        <v>48</v>
      </c>
      <c r="C261" t="s">
        <v>31</v>
      </c>
      <c r="D261" t="s">
        <v>53</v>
      </c>
      <c r="E261" t="s">
        <v>54</v>
      </c>
      <c r="F261" t="s">
        <v>56</v>
      </c>
      <c r="G261" t="s">
        <v>35</v>
      </c>
      <c r="H261" t="s">
        <v>38</v>
      </c>
      <c r="I261">
        <v>3783</v>
      </c>
    </row>
    <row r="262" spans="1:9" ht="14.5" x14ac:dyDescent="0.35">
      <c r="A262">
        <v>3</v>
      </c>
      <c r="B262" t="s">
        <v>48</v>
      </c>
      <c r="C262" t="s">
        <v>31</v>
      </c>
      <c r="D262" t="s">
        <v>53</v>
      </c>
      <c r="E262" t="s">
        <v>54</v>
      </c>
      <c r="F262" t="s">
        <v>57</v>
      </c>
      <c r="G262" t="s">
        <v>35</v>
      </c>
      <c r="H262" t="s">
        <v>36</v>
      </c>
      <c r="I262">
        <v>2478</v>
      </c>
    </row>
    <row r="263" spans="1:9" ht="14.5" x14ac:dyDescent="0.35">
      <c r="A263">
        <v>3</v>
      </c>
      <c r="B263" t="s">
        <v>48</v>
      </c>
      <c r="C263" t="s">
        <v>31</v>
      </c>
      <c r="D263" t="s">
        <v>53</v>
      </c>
      <c r="E263" t="s">
        <v>54</v>
      </c>
      <c r="F263" t="s">
        <v>57</v>
      </c>
      <c r="G263" t="s">
        <v>35</v>
      </c>
      <c r="H263" t="s">
        <v>38</v>
      </c>
      <c r="I263">
        <v>3715</v>
      </c>
    </row>
    <row r="264" spans="1:9" ht="14.5" x14ac:dyDescent="0.35">
      <c r="A264">
        <v>3</v>
      </c>
      <c r="B264" t="s">
        <v>48</v>
      </c>
      <c r="C264" t="s">
        <v>31</v>
      </c>
      <c r="D264" t="s">
        <v>53</v>
      </c>
      <c r="E264" t="s">
        <v>54</v>
      </c>
      <c r="F264" t="s">
        <v>58</v>
      </c>
      <c r="G264" t="s">
        <v>35</v>
      </c>
      <c r="H264" t="s">
        <v>36</v>
      </c>
      <c r="I264">
        <v>1604</v>
      </c>
    </row>
    <row r="265" spans="1:9" ht="14.5" x14ac:dyDescent="0.35">
      <c r="A265">
        <v>3</v>
      </c>
      <c r="B265" t="s">
        <v>48</v>
      </c>
      <c r="C265" t="s">
        <v>31</v>
      </c>
      <c r="D265" t="s">
        <v>53</v>
      </c>
      <c r="E265" t="s">
        <v>54</v>
      </c>
      <c r="F265" t="s">
        <v>58</v>
      </c>
      <c r="G265" t="s">
        <v>35</v>
      </c>
      <c r="H265" t="s">
        <v>38</v>
      </c>
      <c r="I265">
        <v>4980</v>
      </c>
    </row>
    <row r="266" spans="1:9" ht="14.5" x14ac:dyDescent="0.35">
      <c r="A266">
        <v>4</v>
      </c>
      <c r="B266" t="s">
        <v>49</v>
      </c>
      <c r="C266" t="s">
        <v>31</v>
      </c>
      <c r="D266" t="s">
        <v>53</v>
      </c>
      <c r="E266" t="s">
        <v>54</v>
      </c>
      <c r="F266" t="s">
        <v>55</v>
      </c>
      <c r="G266" t="s">
        <v>35</v>
      </c>
      <c r="H266" t="s">
        <v>36</v>
      </c>
      <c r="I266">
        <v>2471</v>
      </c>
    </row>
    <row r="267" spans="1:9" ht="14.5" x14ac:dyDescent="0.35">
      <c r="A267">
        <v>4</v>
      </c>
      <c r="B267" t="s">
        <v>49</v>
      </c>
      <c r="C267" t="s">
        <v>31</v>
      </c>
      <c r="D267" t="s">
        <v>53</v>
      </c>
      <c r="E267" t="s">
        <v>54</v>
      </c>
      <c r="F267" t="s">
        <v>55</v>
      </c>
      <c r="G267" t="s">
        <v>35</v>
      </c>
      <c r="H267" t="s">
        <v>38</v>
      </c>
      <c r="I267">
        <v>3144</v>
      </c>
    </row>
    <row r="268" spans="1:9" ht="14.5" x14ac:dyDescent="0.35">
      <c r="A268">
        <v>4</v>
      </c>
      <c r="B268" t="s">
        <v>49</v>
      </c>
      <c r="C268" t="s">
        <v>31</v>
      </c>
      <c r="D268" t="s">
        <v>53</v>
      </c>
      <c r="E268" t="s">
        <v>54</v>
      </c>
      <c r="F268" t="s">
        <v>56</v>
      </c>
      <c r="G268" t="s">
        <v>35</v>
      </c>
      <c r="H268" t="s">
        <v>36</v>
      </c>
      <c r="I268">
        <v>3788</v>
      </c>
    </row>
    <row r="269" spans="1:9" ht="14.5" x14ac:dyDescent="0.35">
      <c r="A269">
        <v>4</v>
      </c>
      <c r="B269" t="s">
        <v>49</v>
      </c>
      <c r="C269" t="s">
        <v>31</v>
      </c>
      <c r="D269" t="s">
        <v>53</v>
      </c>
      <c r="E269" t="s">
        <v>54</v>
      </c>
      <c r="F269" t="s">
        <v>56</v>
      </c>
      <c r="G269" t="s">
        <v>35</v>
      </c>
      <c r="H269" t="s">
        <v>38</v>
      </c>
      <c r="I269">
        <v>2250</v>
      </c>
    </row>
    <row r="270" spans="1:9" ht="14.5" x14ac:dyDescent="0.35">
      <c r="A270">
        <v>4</v>
      </c>
      <c r="B270" t="s">
        <v>49</v>
      </c>
      <c r="C270" t="s">
        <v>31</v>
      </c>
      <c r="D270" t="s">
        <v>53</v>
      </c>
      <c r="E270" t="s">
        <v>54</v>
      </c>
      <c r="F270" t="s">
        <v>57</v>
      </c>
      <c r="G270" t="s">
        <v>35</v>
      </c>
      <c r="H270" t="s">
        <v>36</v>
      </c>
      <c r="I270">
        <v>2003</v>
      </c>
    </row>
    <row r="271" spans="1:9" ht="14.5" x14ac:dyDescent="0.35">
      <c r="A271">
        <v>4</v>
      </c>
      <c r="B271" t="s">
        <v>49</v>
      </c>
      <c r="C271" t="s">
        <v>31</v>
      </c>
      <c r="D271" t="s">
        <v>53</v>
      </c>
      <c r="E271" t="s">
        <v>54</v>
      </c>
      <c r="F271" t="s">
        <v>57</v>
      </c>
      <c r="G271" t="s">
        <v>35</v>
      </c>
      <c r="H271" t="s">
        <v>38</v>
      </c>
      <c r="I271">
        <v>1752</v>
      </c>
    </row>
    <row r="272" spans="1:9" ht="14.5" x14ac:dyDescent="0.35">
      <c r="A272">
        <v>4</v>
      </c>
      <c r="B272" t="s">
        <v>49</v>
      </c>
      <c r="C272" t="s">
        <v>31</v>
      </c>
      <c r="D272" t="s">
        <v>53</v>
      </c>
      <c r="E272" t="s">
        <v>54</v>
      </c>
      <c r="F272" t="s">
        <v>58</v>
      </c>
      <c r="G272" t="s">
        <v>35</v>
      </c>
      <c r="H272" t="s">
        <v>36</v>
      </c>
      <c r="I272">
        <v>2316</v>
      </c>
    </row>
    <row r="273" spans="1:9" ht="14.5" x14ac:dyDescent="0.35">
      <c r="A273">
        <v>4</v>
      </c>
      <c r="B273" t="s">
        <v>49</v>
      </c>
      <c r="C273" t="s">
        <v>31</v>
      </c>
      <c r="D273" t="s">
        <v>53</v>
      </c>
      <c r="E273" t="s">
        <v>54</v>
      </c>
      <c r="F273" t="s">
        <v>58</v>
      </c>
      <c r="G273" t="s">
        <v>35</v>
      </c>
      <c r="H273" t="s">
        <v>38</v>
      </c>
      <c r="I273">
        <v>3595</v>
      </c>
    </row>
    <row r="274" spans="1:9" ht="14.5" x14ac:dyDescent="0.35">
      <c r="A274">
        <v>4</v>
      </c>
      <c r="B274" t="s">
        <v>50</v>
      </c>
      <c r="C274" t="s">
        <v>31</v>
      </c>
      <c r="D274" t="s">
        <v>53</v>
      </c>
      <c r="E274" t="s">
        <v>54</v>
      </c>
      <c r="F274" t="s">
        <v>55</v>
      </c>
      <c r="G274" t="s">
        <v>35</v>
      </c>
      <c r="H274" t="s">
        <v>36</v>
      </c>
      <c r="I274">
        <v>4640</v>
      </c>
    </row>
    <row r="275" spans="1:9" ht="14.5" x14ac:dyDescent="0.35">
      <c r="A275">
        <v>4</v>
      </c>
      <c r="B275" t="s">
        <v>50</v>
      </c>
      <c r="C275" t="s">
        <v>31</v>
      </c>
      <c r="D275" t="s">
        <v>53</v>
      </c>
      <c r="E275" t="s">
        <v>54</v>
      </c>
      <c r="F275" t="s">
        <v>55</v>
      </c>
      <c r="G275" t="s">
        <v>35</v>
      </c>
      <c r="H275" t="s">
        <v>38</v>
      </c>
      <c r="I275">
        <v>4898</v>
      </c>
    </row>
    <row r="276" spans="1:9" ht="14.5" x14ac:dyDescent="0.35">
      <c r="A276">
        <v>4</v>
      </c>
      <c r="B276" t="s">
        <v>50</v>
      </c>
      <c r="C276" t="s">
        <v>31</v>
      </c>
      <c r="D276" t="s">
        <v>53</v>
      </c>
      <c r="E276" t="s">
        <v>54</v>
      </c>
      <c r="F276" t="s">
        <v>56</v>
      </c>
      <c r="G276" t="s">
        <v>35</v>
      </c>
      <c r="H276" t="s">
        <v>36</v>
      </c>
      <c r="I276">
        <v>3282</v>
      </c>
    </row>
    <row r="277" spans="1:9" ht="14.5" x14ac:dyDescent="0.35">
      <c r="A277">
        <v>4</v>
      </c>
      <c r="B277" t="s">
        <v>50</v>
      </c>
      <c r="C277" t="s">
        <v>31</v>
      </c>
      <c r="D277" t="s">
        <v>53</v>
      </c>
      <c r="E277" t="s">
        <v>54</v>
      </c>
      <c r="F277" t="s">
        <v>56</v>
      </c>
      <c r="G277" t="s">
        <v>35</v>
      </c>
      <c r="H277" t="s">
        <v>38</v>
      </c>
      <c r="I277">
        <v>2985</v>
      </c>
    </row>
    <row r="278" spans="1:9" ht="14.5" x14ac:dyDescent="0.35">
      <c r="A278">
        <v>4</v>
      </c>
      <c r="B278" t="s">
        <v>50</v>
      </c>
      <c r="C278" t="s">
        <v>31</v>
      </c>
      <c r="D278" t="s">
        <v>53</v>
      </c>
      <c r="E278" t="s">
        <v>54</v>
      </c>
      <c r="F278" t="s">
        <v>57</v>
      </c>
      <c r="G278" t="s">
        <v>35</v>
      </c>
      <c r="H278" t="s">
        <v>36</v>
      </c>
      <c r="I278">
        <v>4149</v>
      </c>
    </row>
    <row r="279" spans="1:9" ht="14.5" x14ac:dyDescent="0.35">
      <c r="A279">
        <v>4</v>
      </c>
      <c r="B279" t="s">
        <v>50</v>
      </c>
      <c r="C279" t="s">
        <v>31</v>
      </c>
      <c r="D279" t="s">
        <v>53</v>
      </c>
      <c r="E279" t="s">
        <v>54</v>
      </c>
      <c r="F279" t="s">
        <v>57</v>
      </c>
      <c r="G279" t="s">
        <v>35</v>
      </c>
      <c r="H279" t="s">
        <v>38</v>
      </c>
      <c r="I279">
        <v>4598</v>
      </c>
    </row>
    <row r="280" spans="1:9" ht="14.5" x14ac:dyDescent="0.35">
      <c r="A280">
        <v>4</v>
      </c>
      <c r="B280" t="s">
        <v>50</v>
      </c>
      <c r="C280" t="s">
        <v>31</v>
      </c>
      <c r="D280" t="s">
        <v>53</v>
      </c>
      <c r="E280" t="s">
        <v>54</v>
      </c>
      <c r="F280" t="s">
        <v>58</v>
      </c>
      <c r="G280" t="s">
        <v>35</v>
      </c>
      <c r="H280" t="s">
        <v>36</v>
      </c>
      <c r="I280">
        <v>3662</v>
      </c>
    </row>
    <row r="281" spans="1:9" ht="14.5" x14ac:dyDescent="0.35">
      <c r="A281">
        <v>4</v>
      </c>
      <c r="B281" t="s">
        <v>50</v>
      </c>
      <c r="C281" t="s">
        <v>31</v>
      </c>
      <c r="D281" t="s">
        <v>53</v>
      </c>
      <c r="E281" t="s">
        <v>54</v>
      </c>
      <c r="F281" t="s">
        <v>58</v>
      </c>
      <c r="G281" t="s">
        <v>35</v>
      </c>
      <c r="H281" t="s">
        <v>38</v>
      </c>
      <c r="I281">
        <v>4704</v>
      </c>
    </row>
    <row r="282" spans="1:9" ht="14.5" x14ac:dyDescent="0.35">
      <c r="A282">
        <v>4</v>
      </c>
      <c r="B282" t="s">
        <v>51</v>
      </c>
      <c r="C282" t="s">
        <v>31</v>
      </c>
      <c r="D282" t="s">
        <v>53</v>
      </c>
      <c r="E282" t="s">
        <v>54</v>
      </c>
      <c r="F282" t="s">
        <v>55</v>
      </c>
      <c r="G282" t="s">
        <v>35</v>
      </c>
      <c r="H282" t="s">
        <v>36</v>
      </c>
      <c r="I282">
        <v>2387</v>
      </c>
    </row>
    <row r="283" spans="1:9" ht="14.5" x14ac:dyDescent="0.35">
      <c r="A283">
        <v>4</v>
      </c>
      <c r="B283" t="s">
        <v>51</v>
      </c>
      <c r="C283" t="s">
        <v>31</v>
      </c>
      <c r="D283" t="s">
        <v>53</v>
      </c>
      <c r="E283" t="s">
        <v>54</v>
      </c>
      <c r="F283" t="s">
        <v>55</v>
      </c>
      <c r="G283" t="s">
        <v>35</v>
      </c>
      <c r="H283" t="s">
        <v>38</v>
      </c>
      <c r="I283">
        <v>4263</v>
      </c>
    </row>
    <row r="284" spans="1:9" ht="14.5" x14ac:dyDescent="0.35">
      <c r="A284">
        <v>4</v>
      </c>
      <c r="B284" t="s">
        <v>51</v>
      </c>
      <c r="C284" t="s">
        <v>31</v>
      </c>
      <c r="D284" t="s">
        <v>53</v>
      </c>
      <c r="E284" t="s">
        <v>54</v>
      </c>
      <c r="F284" t="s">
        <v>56</v>
      </c>
      <c r="G284" t="s">
        <v>35</v>
      </c>
      <c r="H284" t="s">
        <v>36</v>
      </c>
      <c r="I284">
        <v>4804</v>
      </c>
    </row>
    <row r="285" spans="1:9" ht="14.5" x14ac:dyDescent="0.35">
      <c r="A285">
        <v>4</v>
      </c>
      <c r="B285" t="s">
        <v>51</v>
      </c>
      <c r="C285" t="s">
        <v>31</v>
      </c>
      <c r="D285" t="s">
        <v>53</v>
      </c>
      <c r="E285" t="s">
        <v>54</v>
      </c>
      <c r="F285" t="s">
        <v>56</v>
      </c>
      <c r="G285" t="s">
        <v>35</v>
      </c>
      <c r="H285" t="s">
        <v>38</v>
      </c>
      <c r="I285">
        <v>1762</v>
      </c>
    </row>
    <row r="286" spans="1:9" ht="14.5" x14ac:dyDescent="0.35">
      <c r="A286">
        <v>4</v>
      </c>
      <c r="B286" t="s">
        <v>51</v>
      </c>
      <c r="C286" t="s">
        <v>31</v>
      </c>
      <c r="D286" t="s">
        <v>53</v>
      </c>
      <c r="E286" t="s">
        <v>54</v>
      </c>
      <c r="F286" t="s">
        <v>57</v>
      </c>
      <c r="G286" t="s">
        <v>35</v>
      </c>
      <c r="H286" t="s">
        <v>36</v>
      </c>
      <c r="I286">
        <v>3167</v>
      </c>
    </row>
    <row r="287" spans="1:9" ht="14.5" x14ac:dyDescent="0.35">
      <c r="A287">
        <v>4</v>
      </c>
      <c r="B287" t="s">
        <v>51</v>
      </c>
      <c r="C287" t="s">
        <v>31</v>
      </c>
      <c r="D287" t="s">
        <v>53</v>
      </c>
      <c r="E287" t="s">
        <v>54</v>
      </c>
      <c r="F287" t="s">
        <v>57</v>
      </c>
      <c r="G287" t="s">
        <v>35</v>
      </c>
      <c r="H287" t="s">
        <v>38</v>
      </c>
      <c r="I287">
        <v>1134</v>
      </c>
    </row>
    <row r="288" spans="1:9" ht="14.5" x14ac:dyDescent="0.35">
      <c r="A288">
        <v>4</v>
      </c>
      <c r="B288" t="s">
        <v>51</v>
      </c>
      <c r="C288" t="s">
        <v>31</v>
      </c>
      <c r="D288" t="s">
        <v>53</v>
      </c>
      <c r="E288" t="s">
        <v>54</v>
      </c>
      <c r="F288" t="s">
        <v>58</v>
      </c>
      <c r="G288" t="s">
        <v>35</v>
      </c>
      <c r="H288" t="s">
        <v>36</v>
      </c>
      <c r="I288">
        <v>4749</v>
      </c>
    </row>
    <row r="289" spans="1:9" ht="14.5" x14ac:dyDescent="0.35">
      <c r="A289">
        <v>4</v>
      </c>
      <c r="B289" t="s">
        <v>51</v>
      </c>
      <c r="C289" t="s">
        <v>31</v>
      </c>
      <c r="D289" t="s">
        <v>53</v>
      </c>
      <c r="E289" t="s">
        <v>54</v>
      </c>
      <c r="F289" t="s">
        <v>58</v>
      </c>
      <c r="G289" t="s">
        <v>35</v>
      </c>
      <c r="H289" t="s">
        <v>38</v>
      </c>
      <c r="I289">
        <v>3864</v>
      </c>
    </row>
    <row r="290" spans="1:9" ht="14.5" x14ac:dyDescent="0.35">
      <c r="A290">
        <v>1</v>
      </c>
      <c r="B290" t="s">
        <v>30</v>
      </c>
      <c r="C290" t="s">
        <v>31</v>
      </c>
      <c r="D290" t="s">
        <v>53</v>
      </c>
      <c r="E290" t="s">
        <v>54</v>
      </c>
      <c r="F290" t="s">
        <v>56</v>
      </c>
      <c r="G290" t="s">
        <v>52</v>
      </c>
      <c r="H290" t="s">
        <v>36</v>
      </c>
      <c r="I290">
        <v>4886</v>
      </c>
    </row>
    <row r="291" spans="1:9" ht="14.5" x14ac:dyDescent="0.35">
      <c r="A291">
        <v>1</v>
      </c>
      <c r="B291" t="s">
        <v>30</v>
      </c>
      <c r="C291" t="s">
        <v>31</v>
      </c>
      <c r="D291" t="s">
        <v>53</v>
      </c>
      <c r="E291" t="s">
        <v>54</v>
      </c>
      <c r="F291" t="s">
        <v>58</v>
      </c>
      <c r="G291" t="s">
        <v>52</v>
      </c>
      <c r="H291" t="s">
        <v>38</v>
      </c>
      <c r="I291">
        <v>3491</v>
      </c>
    </row>
    <row r="292" spans="1:9" ht="14.5" x14ac:dyDescent="0.35">
      <c r="A292">
        <v>1</v>
      </c>
      <c r="B292" t="s">
        <v>30</v>
      </c>
      <c r="C292" t="s">
        <v>31</v>
      </c>
      <c r="D292" t="s">
        <v>53</v>
      </c>
      <c r="E292" t="s">
        <v>54</v>
      </c>
      <c r="F292" t="s">
        <v>57</v>
      </c>
      <c r="G292" t="s">
        <v>52</v>
      </c>
      <c r="H292" t="s">
        <v>38</v>
      </c>
      <c r="I292">
        <v>4975</v>
      </c>
    </row>
    <row r="293" spans="1:9" ht="14.5" x14ac:dyDescent="0.35">
      <c r="A293">
        <v>1</v>
      </c>
      <c r="B293" t="s">
        <v>30</v>
      </c>
      <c r="C293" t="s">
        <v>31</v>
      </c>
      <c r="D293" t="s">
        <v>53</v>
      </c>
      <c r="E293" t="s">
        <v>54</v>
      </c>
      <c r="F293" t="s">
        <v>55</v>
      </c>
      <c r="G293" t="s">
        <v>52</v>
      </c>
      <c r="H293" t="s">
        <v>36</v>
      </c>
      <c r="I293">
        <v>3477</v>
      </c>
    </row>
    <row r="294" spans="1:9" ht="14.5" x14ac:dyDescent="0.35">
      <c r="A294">
        <v>1</v>
      </c>
      <c r="B294" t="s">
        <v>30</v>
      </c>
      <c r="C294" t="s">
        <v>31</v>
      </c>
      <c r="D294" t="s">
        <v>53</v>
      </c>
      <c r="E294" t="s">
        <v>54</v>
      </c>
      <c r="F294" t="s">
        <v>55</v>
      </c>
      <c r="G294" t="s">
        <v>52</v>
      </c>
      <c r="H294" t="s">
        <v>38</v>
      </c>
      <c r="I294">
        <v>4040</v>
      </c>
    </row>
    <row r="295" spans="1:9" ht="14.5" x14ac:dyDescent="0.35">
      <c r="A295">
        <v>1</v>
      </c>
      <c r="B295" t="s">
        <v>30</v>
      </c>
      <c r="C295" t="s">
        <v>31</v>
      </c>
      <c r="D295" t="s">
        <v>53</v>
      </c>
      <c r="E295" t="s">
        <v>54</v>
      </c>
      <c r="F295" t="s">
        <v>56</v>
      </c>
      <c r="G295" t="s">
        <v>52</v>
      </c>
      <c r="H295" t="s">
        <v>38</v>
      </c>
      <c r="I295">
        <v>1754</v>
      </c>
    </row>
    <row r="296" spans="1:9" ht="14.5" x14ac:dyDescent="0.35">
      <c r="A296">
        <v>1</v>
      </c>
      <c r="B296" t="s">
        <v>30</v>
      </c>
      <c r="C296" t="s">
        <v>31</v>
      </c>
      <c r="D296" t="s">
        <v>53</v>
      </c>
      <c r="E296" t="s">
        <v>54</v>
      </c>
      <c r="F296" t="s">
        <v>57</v>
      </c>
      <c r="G296" t="s">
        <v>52</v>
      </c>
      <c r="H296" t="s">
        <v>36</v>
      </c>
      <c r="I296">
        <v>3360</v>
      </c>
    </row>
    <row r="297" spans="1:9" ht="14.5" x14ac:dyDescent="0.35">
      <c r="A297">
        <v>1</v>
      </c>
      <c r="B297" t="s">
        <v>30</v>
      </c>
      <c r="C297" t="s">
        <v>31</v>
      </c>
      <c r="D297" t="s">
        <v>53</v>
      </c>
      <c r="E297" t="s">
        <v>54</v>
      </c>
      <c r="F297" t="s">
        <v>58</v>
      </c>
      <c r="G297" t="s">
        <v>52</v>
      </c>
      <c r="H297" t="s">
        <v>36</v>
      </c>
      <c r="I297">
        <v>2673</v>
      </c>
    </row>
    <row r="298" spans="1:9" ht="14.5" x14ac:dyDescent="0.35">
      <c r="A298">
        <v>1</v>
      </c>
      <c r="B298" t="s">
        <v>41</v>
      </c>
      <c r="C298" t="s">
        <v>31</v>
      </c>
      <c r="D298" t="s">
        <v>53</v>
      </c>
      <c r="E298" t="s">
        <v>54</v>
      </c>
      <c r="F298" t="s">
        <v>55</v>
      </c>
      <c r="G298" t="s">
        <v>52</v>
      </c>
      <c r="H298" t="s">
        <v>36</v>
      </c>
      <c r="I298">
        <v>3561</v>
      </c>
    </row>
    <row r="299" spans="1:9" ht="14.5" x14ac:dyDescent="0.35">
      <c r="A299">
        <v>1</v>
      </c>
      <c r="B299" t="s">
        <v>41</v>
      </c>
      <c r="C299" t="s">
        <v>31</v>
      </c>
      <c r="D299" t="s">
        <v>53</v>
      </c>
      <c r="E299" t="s">
        <v>54</v>
      </c>
      <c r="F299" t="s">
        <v>55</v>
      </c>
      <c r="G299" t="s">
        <v>52</v>
      </c>
      <c r="H299" t="s">
        <v>38</v>
      </c>
      <c r="I299">
        <v>4051</v>
      </c>
    </row>
    <row r="300" spans="1:9" ht="14.5" x14ac:dyDescent="0.35">
      <c r="A300">
        <v>1</v>
      </c>
      <c r="B300" t="s">
        <v>41</v>
      </c>
      <c r="C300" t="s">
        <v>31</v>
      </c>
      <c r="D300" t="s">
        <v>53</v>
      </c>
      <c r="E300" t="s">
        <v>54</v>
      </c>
      <c r="F300" t="s">
        <v>56</v>
      </c>
      <c r="G300" t="s">
        <v>52</v>
      </c>
      <c r="H300" t="s">
        <v>36</v>
      </c>
      <c r="I300">
        <v>4329</v>
      </c>
    </row>
    <row r="301" spans="1:9" ht="14.5" x14ac:dyDescent="0.35">
      <c r="A301">
        <v>1</v>
      </c>
      <c r="B301" t="s">
        <v>41</v>
      </c>
      <c r="C301" t="s">
        <v>31</v>
      </c>
      <c r="D301" t="s">
        <v>53</v>
      </c>
      <c r="E301" t="s">
        <v>54</v>
      </c>
      <c r="F301" t="s">
        <v>56</v>
      </c>
      <c r="G301" t="s">
        <v>52</v>
      </c>
      <c r="H301" t="s">
        <v>38</v>
      </c>
      <c r="I301">
        <v>3655</v>
      </c>
    </row>
    <row r="302" spans="1:9" ht="14.5" x14ac:dyDescent="0.35">
      <c r="A302">
        <v>1</v>
      </c>
      <c r="B302" t="s">
        <v>41</v>
      </c>
      <c r="C302" t="s">
        <v>31</v>
      </c>
      <c r="D302" t="s">
        <v>53</v>
      </c>
      <c r="E302" t="s">
        <v>54</v>
      </c>
      <c r="F302" t="s">
        <v>57</v>
      </c>
      <c r="G302" t="s">
        <v>52</v>
      </c>
      <c r="H302" t="s">
        <v>36</v>
      </c>
      <c r="I302">
        <v>4834</v>
      </c>
    </row>
    <row r="303" spans="1:9" ht="14.5" x14ac:dyDescent="0.35">
      <c r="A303">
        <v>1</v>
      </c>
      <c r="B303" t="s">
        <v>41</v>
      </c>
      <c r="C303" t="s">
        <v>31</v>
      </c>
      <c r="D303" t="s">
        <v>53</v>
      </c>
      <c r="E303" t="s">
        <v>54</v>
      </c>
      <c r="F303" t="s">
        <v>57</v>
      </c>
      <c r="G303" t="s">
        <v>52</v>
      </c>
      <c r="H303" t="s">
        <v>38</v>
      </c>
      <c r="I303">
        <v>1433</v>
      </c>
    </row>
    <row r="304" spans="1:9" ht="14.5" x14ac:dyDescent="0.35">
      <c r="A304">
        <v>1</v>
      </c>
      <c r="B304" t="s">
        <v>41</v>
      </c>
      <c r="C304" t="s">
        <v>31</v>
      </c>
      <c r="D304" t="s">
        <v>53</v>
      </c>
      <c r="E304" t="s">
        <v>54</v>
      </c>
      <c r="F304" t="s">
        <v>58</v>
      </c>
      <c r="G304" t="s">
        <v>52</v>
      </c>
      <c r="H304" t="s">
        <v>36</v>
      </c>
      <c r="I304">
        <v>1832</v>
      </c>
    </row>
    <row r="305" spans="1:9" ht="14.5" x14ac:dyDescent="0.35">
      <c r="A305">
        <v>1</v>
      </c>
      <c r="B305" t="s">
        <v>41</v>
      </c>
      <c r="C305" t="s">
        <v>31</v>
      </c>
      <c r="D305" t="s">
        <v>53</v>
      </c>
      <c r="E305" t="s">
        <v>54</v>
      </c>
      <c r="F305" t="s">
        <v>58</v>
      </c>
      <c r="G305" t="s">
        <v>52</v>
      </c>
      <c r="H305" t="s">
        <v>38</v>
      </c>
      <c r="I305">
        <v>1709</v>
      </c>
    </row>
    <row r="306" spans="1:9" ht="14.5" x14ac:dyDescent="0.35">
      <c r="A306">
        <v>1</v>
      </c>
      <c r="B306" t="s">
        <v>42</v>
      </c>
      <c r="C306" t="s">
        <v>31</v>
      </c>
      <c r="D306" t="s">
        <v>53</v>
      </c>
      <c r="E306" t="s">
        <v>54</v>
      </c>
      <c r="F306" t="s">
        <v>55</v>
      </c>
      <c r="G306" t="s">
        <v>52</v>
      </c>
      <c r="H306" t="s">
        <v>36</v>
      </c>
      <c r="I306">
        <v>3135</v>
      </c>
    </row>
    <row r="307" spans="1:9" ht="14.5" x14ac:dyDescent="0.35">
      <c r="A307">
        <v>1</v>
      </c>
      <c r="B307" t="s">
        <v>42</v>
      </c>
      <c r="C307" t="s">
        <v>31</v>
      </c>
      <c r="D307" t="s">
        <v>53</v>
      </c>
      <c r="E307" t="s">
        <v>54</v>
      </c>
      <c r="F307" t="s">
        <v>55</v>
      </c>
      <c r="G307" t="s">
        <v>52</v>
      </c>
      <c r="H307" t="s">
        <v>38</v>
      </c>
      <c r="I307">
        <v>4091</v>
      </c>
    </row>
    <row r="308" spans="1:9" ht="14.5" x14ac:dyDescent="0.35">
      <c r="A308">
        <v>1</v>
      </c>
      <c r="B308" t="s">
        <v>42</v>
      </c>
      <c r="C308" t="s">
        <v>31</v>
      </c>
      <c r="D308" t="s">
        <v>53</v>
      </c>
      <c r="E308" t="s">
        <v>54</v>
      </c>
      <c r="F308" t="s">
        <v>56</v>
      </c>
      <c r="G308" t="s">
        <v>52</v>
      </c>
      <c r="H308" t="s">
        <v>36</v>
      </c>
      <c r="I308">
        <v>2771</v>
      </c>
    </row>
    <row r="309" spans="1:9" ht="14.5" x14ac:dyDescent="0.35">
      <c r="A309">
        <v>1</v>
      </c>
      <c r="B309" t="s">
        <v>42</v>
      </c>
      <c r="C309" t="s">
        <v>31</v>
      </c>
      <c r="D309" t="s">
        <v>53</v>
      </c>
      <c r="E309" t="s">
        <v>54</v>
      </c>
      <c r="F309" t="s">
        <v>56</v>
      </c>
      <c r="G309" t="s">
        <v>52</v>
      </c>
      <c r="H309" t="s">
        <v>38</v>
      </c>
      <c r="I309">
        <v>2369</v>
      </c>
    </row>
    <row r="310" spans="1:9" ht="14.5" x14ac:dyDescent="0.35">
      <c r="A310">
        <v>1</v>
      </c>
      <c r="B310" t="s">
        <v>42</v>
      </c>
      <c r="C310" t="s">
        <v>31</v>
      </c>
      <c r="D310" t="s">
        <v>53</v>
      </c>
      <c r="E310" t="s">
        <v>54</v>
      </c>
      <c r="F310" t="s">
        <v>57</v>
      </c>
      <c r="G310" t="s">
        <v>52</v>
      </c>
      <c r="H310" t="s">
        <v>36</v>
      </c>
      <c r="I310">
        <v>2914</v>
      </c>
    </row>
    <row r="311" spans="1:9" ht="14.5" x14ac:dyDescent="0.35">
      <c r="A311">
        <v>1</v>
      </c>
      <c r="B311" t="s">
        <v>42</v>
      </c>
      <c r="C311" t="s">
        <v>31</v>
      </c>
      <c r="D311" t="s">
        <v>53</v>
      </c>
      <c r="E311" t="s">
        <v>54</v>
      </c>
      <c r="F311" t="s">
        <v>57</v>
      </c>
      <c r="G311" t="s">
        <v>52</v>
      </c>
      <c r="H311" t="s">
        <v>38</v>
      </c>
      <c r="I311">
        <v>1615</v>
      </c>
    </row>
    <row r="312" spans="1:9" ht="14.5" x14ac:dyDescent="0.35">
      <c r="A312">
        <v>1</v>
      </c>
      <c r="B312" t="s">
        <v>42</v>
      </c>
      <c r="C312" t="s">
        <v>31</v>
      </c>
      <c r="D312" t="s">
        <v>53</v>
      </c>
      <c r="E312" t="s">
        <v>54</v>
      </c>
      <c r="F312" t="s">
        <v>58</v>
      </c>
      <c r="G312" t="s">
        <v>52</v>
      </c>
      <c r="H312" t="s">
        <v>36</v>
      </c>
      <c r="I312">
        <v>3010</v>
      </c>
    </row>
    <row r="313" spans="1:9" ht="14.5" x14ac:dyDescent="0.35">
      <c r="A313">
        <v>1</v>
      </c>
      <c r="B313" t="s">
        <v>42</v>
      </c>
      <c r="C313" t="s">
        <v>31</v>
      </c>
      <c r="D313" t="s">
        <v>53</v>
      </c>
      <c r="E313" t="s">
        <v>54</v>
      </c>
      <c r="F313" t="s">
        <v>58</v>
      </c>
      <c r="G313" t="s">
        <v>52</v>
      </c>
      <c r="H313" t="s">
        <v>38</v>
      </c>
      <c r="I313">
        <v>1849</v>
      </c>
    </row>
    <row r="314" spans="1:9" ht="14.5" x14ac:dyDescent="0.35">
      <c r="A314">
        <v>2</v>
      </c>
      <c r="B314" t="s">
        <v>43</v>
      </c>
      <c r="C314" t="s">
        <v>31</v>
      </c>
      <c r="D314" t="s">
        <v>53</v>
      </c>
      <c r="E314" t="s">
        <v>54</v>
      </c>
      <c r="F314" t="s">
        <v>55</v>
      </c>
      <c r="G314" t="s">
        <v>52</v>
      </c>
      <c r="H314" t="s">
        <v>36</v>
      </c>
      <c r="I314">
        <v>1149</v>
      </c>
    </row>
    <row r="315" spans="1:9" ht="14.5" x14ac:dyDescent="0.35">
      <c r="A315">
        <v>2</v>
      </c>
      <c r="B315" t="s">
        <v>43</v>
      </c>
      <c r="C315" t="s">
        <v>31</v>
      </c>
      <c r="D315" t="s">
        <v>53</v>
      </c>
      <c r="E315" t="s">
        <v>54</v>
      </c>
      <c r="F315" t="s">
        <v>55</v>
      </c>
      <c r="G315" t="s">
        <v>52</v>
      </c>
      <c r="H315" t="s">
        <v>38</v>
      </c>
      <c r="I315">
        <v>4156</v>
      </c>
    </row>
    <row r="316" spans="1:9" ht="14.5" x14ac:dyDescent="0.35">
      <c r="A316">
        <v>2</v>
      </c>
      <c r="B316" t="s">
        <v>43</v>
      </c>
      <c r="C316" t="s">
        <v>31</v>
      </c>
      <c r="D316" t="s">
        <v>53</v>
      </c>
      <c r="E316" t="s">
        <v>54</v>
      </c>
      <c r="F316" t="s">
        <v>56</v>
      </c>
      <c r="G316" t="s">
        <v>52</v>
      </c>
      <c r="H316" t="s">
        <v>36</v>
      </c>
      <c r="I316">
        <v>4286</v>
      </c>
    </row>
    <row r="317" spans="1:9" ht="14.5" x14ac:dyDescent="0.35">
      <c r="A317">
        <v>2</v>
      </c>
      <c r="B317" t="s">
        <v>43</v>
      </c>
      <c r="C317" t="s">
        <v>31</v>
      </c>
      <c r="D317" t="s">
        <v>53</v>
      </c>
      <c r="E317" t="s">
        <v>54</v>
      </c>
      <c r="F317" t="s">
        <v>56</v>
      </c>
      <c r="G317" t="s">
        <v>52</v>
      </c>
      <c r="H317" t="s">
        <v>38</v>
      </c>
      <c r="I317">
        <v>1090</v>
      </c>
    </row>
    <row r="318" spans="1:9" ht="14.5" x14ac:dyDescent="0.35">
      <c r="A318">
        <v>2</v>
      </c>
      <c r="B318" t="s">
        <v>43</v>
      </c>
      <c r="C318" t="s">
        <v>31</v>
      </c>
      <c r="D318" t="s">
        <v>53</v>
      </c>
      <c r="E318" t="s">
        <v>54</v>
      </c>
      <c r="F318" t="s">
        <v>57</v>
      </c>
      <c r="G318" t="s">
        <v>52</v>
      </c>
      <c r="H318" t="s">
        <v>36</v>
      </c>
      <c r="I318">
        <v>1931</v>
      </c>
    </row>
    <row r="319" spans="1:9" ht="14.5" x14ac:dyDescent="0.35">
      <c r="A319">
        <v>2</v>
      </c>
      <c r="B319" t="s">
        <v>43</v>
      </c>
      <c r="C319" t="s">
        <v>31</v>
      </c>
      <c r="D319" t="s">
        <v>53</v>
      </c>
      <c r="E319" t="s">
        <v>54</v>
      </c>
      <c r="F319" t="s">
        <v>57</v>
      </c>
      <c r="G319" t="s">
        <v>52</v>
      </c>
      <c r="H319" t="s">
        <v>38</v>
      </c>
      <c r="I319">
        <v>1862</v>
      </c>
    </row>
    <row r="320" spans="1:9" ht="14.5" x14ac:dyDescent="0.35">
      <c r="A320">
        <v>2</v>
      </c>
      <c r="B320" t="s">
        <v>43</v>
      </c>
      <c r="C320" t="s">
        <v>31</v>
      </c>
      <c r="D320" t="s">
        <v>53</v>
      </c>
      <c r="E320" t="s">
        <v>54</v>
      </c>
      <c r="F320" t="s">
        <v>58</v>
      </c>
      <c r="G320" t="s">
        <v>52</v>
      </c>
      <c r="H320" t="s">
        <v>36</v>
      </c>
      <c r="I320">
        <v>1616</v>
      </c>
    </row>
    <row r="321" spans="1:9" ht="14.5" x14ac:dyDescent="0.35">
      <c r="A321">
        <v>2</v>
      </c>
      <c r="B321" t="s">
        <v>43</v>
      </c>
      <c r="C321" t="s">
        <v>31</v>
      </c>
      <c r="D321" t="s">
        <v>53</v>
      </c>
      <c r="E321" t="s">
        <v>54</v>
      </c>
      <c r="F321" t="s">
        <v>58</v>
      </c>
      <c r="G321" t="s">
        <v>52</v>
      </c>
      <c r="H321" t="s">
        <v>38</v>
      </c>
      <c r="I321">
        <v>4738</v>
      </c>
    </row>
    <row r="322" spans="1:9" ht="14.5" x14ac:dyDescent="0.35">
      <c r="A322">
        <v>2</v>
      </c>
      <c r="B322" t="s">
        <v>44</v>
      </c>
      <c r="C322" t="s">
        <v>31</v>
      </c>
      <c r="D322" t="s">
        <v>53</v>
      </c>
      <c r="E322" t="s">
        <v>54</v>
      </c>
      <c r="F322" t="s">
        <v>55</v>
      </c>
      <c r="G322" t="s">
        <v>52</v>
      </c>
      <c r="H322" t="s">
        <v>36</v>
      </c>
      <c r="I322">
        <v>3790</v>
      </c>
    </row>
    <row r="323" spans="1:9" ht="14.5" x14ac:dyDescent="0.35">
      <c r="A323">
        <v>2</v>
      </c>
      <c r="B323" t="s">
        <v>44</v>
      </c>
      <c r="C323" t="s">
        <v>31</v>
      </c>
      <c r="D323" t="s">
        <v>53</v>
      </c>
      <c r="E323" t="s">
        <v>54</v>
      </c>
      <c r="F323" t="s">
        <v>55</v>
      </c>
      <c r="G323" t="s">
        <v>52</v>
      </c>
      <c r="H323" t="s">
        <v>38</v>
      </c>
      <c r="I323">
        <v>3974</v>
      </c>
    </row>
    <row r="324" spans="1:9" ht="14.5" x14ac:dyDescent="0.35">
      <c r="A324">
        <v>2</v>
      </c>
      <c r="B324" t="s">
        <v>44</v>
      </c>
      <c r="C324" t="s">
        <v>31</v>
      </c>
      <c r="D324" t="s">
        <v>53</v>
      </c>
      <c r="E324" t="s">
        <v>54</v>
      </c>
      <c r="F324" t="s">
        <v>56</v>
      </c>
      <c r="G324" t="s">
        <v>52</v>
      </c>
      <c r="H324" t="s">
        <v>36</v>
      </c>
      <c r="I324">
        <v>3187</v>
      </c>
    </row>
    <row r="325" spans="1:9" ht="14.5" x14ac:dyDescent="0.35">
      <c r="A325">
        <v>2</v>
      </c>
      <c r="B325" t="s">
        <v>44</v>
      </c>
      <c r="C325" t="s">
        <v>31</v>
      </c>
      <c r="D325" t="s">
        <v>53</v>
      </c>
      <c r="E325" t="s">
        <v>54</v>
      </c>
      <c r="F325" t="s">
        <v>56</v>
      </c>
      <c r="G325" t="s">
        <v>52</v>
      </c>
      <c r="H325" t="s">
        <v>38</v>
      </c>
      <c r="I325">
        <v>4934</v>
      </c>
    </row>
    <row r="326" spans="1:9" ht="14.5" x14ac:dyDescent="0.35">
      <c r="A326">
        <v>2</v>
      </c>
      <c r="B326" t="s">
        <v>44</v>
      </c>
      <c r="C326" t="s">
        <v>31</v>
      </c>
      <c r="D326" t="s">
        <v>53</v>
      </c>
      <c r="E326" t="s">
        <v>54</v>
      </c>
      <c r="F326" t="s">
        <v>57</v>
      </c>
      <c r="G326" t="s">
        <v>52</v>
      </c>
      <c r="H326" t="s">
        <v>36</v>
      </c>
      <c r="I326">
        <v>3588</v>
      </c>
    </row>
    <row r="327" spans="1:9" ht="14.5" x14ac:dyDescent="0.35">
      <c r="A327">
        <v>2</v>
      </c>
      <c r="B327" t="s">
        <v>44</v>
      </c>
      <c r="C327" t="s">
        <v>31</v>
      </c>
      <c r="D327" t="s">
        <v>53</v>
      </c>
      <c r="E327" t="s">
        <v>54</v>
      </c>
      <c r="F327" t="s">
        <v>57</v>
      </c>
      <c r="G327" t="s">
        <v>52</v>
      </c>
      <c r="H327" t="s">
        <v>38</v>
      </c>
      <c r="I327">
        <v>4931</v>
      </c>
    </row>
    <row r="328" spans="1:9" ht="14.5" x14ac:dyDescent="0.35">
      <c r="A328">
        <v>2</v>
      </c>
      <c r="B328" t="s">
        <v>44</v>
      </c>
      <c r="C328" t="s">
        <v>31</v>
      </c>
      <c r="D328" t="s">
        <v>53</v>
      </c>
      <c r="E328" t="s">
        <v>54</v>
      </c>
      <c r="F328" t="s">
        <v>58</v>
      </c>
      <c r="G328" t="s">
        <v>52</v>
      </c>
      <c r="H328" t="s">
        <v>36</v>
      </c>
      <c r="I328">
        <v>2580</v>
      </c>
    </row>
    <row r="329" spans="1:9" ht="14.5" x14ac:dyDescent="0.35">
      <c r="A329">
        <v>2</v>
      </c>
      <c r="B329" t="s">
        <v>44</v>
      </c>
      <c r="C329" t="s">
        <v>31</v>
      </c>
      <c r="D329" t="s">
        <v>53</v>
      </c>
      <c r="E329" t="s">
        <v>54</v>
      </c>
      <c r="F329" t="s">
        <v>58</v>
      </c>
      <c r="G329" t="s">
        <v>52</v>
      </c>
      <c r="H329" t="s">
        <v>38</v>
      </c>
      <c r="I329">
        <v>3842</v>
      </c>
    </row>
    <row r="330" spans="1:9" ht="14.5" x14ac:dyDescent="0.35">
      <c r="A330">
        <v>2</v>
      </c>
      <c r="B330" t="s">
        <v>45</v>
      </c>
      <c r="C330" t="s">
        <v>31</v>
      </c>
      <c r="D330" t="s">
        <v>53</v>
      </c>
      <c r="E330" t="s">
        <v>54</v>
      </c>
      <c r="F330" t="s">
        <v>55</v>
      </c>
      <c r="G330" t="s">
        <v>52</v>
      </c>
      <c r="H330" t="s">
        <v>36</v>
      </c>
      <c r="I330">
        <v>2457</v>
      </c>
    </row>
    <row r="331" spans="1:9" ht="14.5" x14ac:dyDescent="0.35">
      <c r="A331">
        <v>2</v>
      </c>
      <c r="B331" t="s">
        <v>45</v>
      </c>
      <c r="C331" t="s">
        <v>31</v>
      </c>
      <c r="D331" t="s">
        <v>53</v>
      </c>
      <c r="E331" t="s">
        <v>54</v>
      </c>
      <c r="F331" t="s">
        <v>55</v>
      </c>
      <c r="G331" t="s">
        <v>52</v>
      </c>
      <c r="H331" t="s">
        <v>38</v>
      </c>
      <c r="I331">
        <v>3957</v>
      </c>
    </row>
    <row r="332" spans="1:9" ht="14.5" x14ac:dyDescent="0.35">
      <c r="A332">
        <v>2</v>
      </c>
      <c r="B332" t="s">
        <v>45</v>
      </c>
      <c r="C332" t="s">
        <v>31</v>
      </c>
      <c r="D332" t="s">
        <v>53</v>
      </c>
      <c r="E332" t="s">
        <v>54</v>
      </c>
      <c r="F332" t="s">
        <v>56</v>
      </c>
      <c r="G332" t="s">
        <v>52</v>
      </c>
      <c r="H332" t="s">
        <v>36</v>
      </c>
      <c r="I332">
        <v>1611</v>
      </c>
    </row>
    <row r="333" spans="1:9" ht="14.5" x14ac:dyDescent="0.35">
      <c r="A333">
        <v>2</v>
      </c>
      <c r="B333" t="s">
        <v>45</v>
      </c>
      <c r="C333" t="s">
        <v>31</v>
      </c>
      <c r="D333" t="s">
        <v>53</v>
      </c>
      <c r="E333" t="s">
        <v>54</v>
      </c>
      <c r="F333" t="s">
        <v>56</v>
      </c>
      <c r="G333" t="s">
        <v>52</v>
      </c>
      <c r="H333" t="s">
        <v>38</v>
      </c>
      <c r="I333">
        <v>4659</v>
      </c>
    </row>
    <row r="334" spans="1:9" ht="14.5" x14ac:dyDescent="0.35">
      <c r="A334">
        <v>2</v>
      </c>
      <c r="B334" t="s">
        <v>45</v>
      </c>
      <c r="C334" t="s">
        <v>31</v>
      </c>
      <c r="D334" t="s">
        <v>53</v>
      </c>
      <c r="E334" t="s">
        <v>54</v>
      </c>
      <c r="F334" t="s">
        <v>57</v>
      </c>
      <c r="G334" t="s">
        <v>52</v>
      </c>
      <c r="H334" t="s">
        <v>36</v>
      </c>
      <c r="I334">
        <v>1972</v>
      </c>
    </row>
    <row r="335" spans="1:9" ht="14.5" x14ac:dyDescent="0.35">
      <c r="A335">
        <v>2</v>
      </c>
      <c r="B335" t="s">
        <v>45</v>
      </c>
      <c r="C335" t="s">
        <v>31</v>
      </c>
      <c r="D335" t="s">
        <v>53</v>
      </c>
      <c r="E335" t="s">
        <v>54</v>
      </c>
      <c r="F335" t="s">
        <v>57</v>
      </c>
      <c r="G335" t="s">
        <v>52</v>
      </c>
      <c r="H335" t="s">
        <v>38</v>
      </c>
      <c r="I335">
        <v>2388</v>
      </c>
    </row>
    <row r="336" spans="1:9" ht="14.5" x14ac:dyDescent="0.35">
      <c r="A336">
        <v>2</v>
      </c>
      <c r="B336" t="s">
        <v>45</v>
      </c>
      <c r="C336" t="s">
        <v>31</v>
      </c>
      <c r="D336" t="s">
        <v>53</v>
      </c>
      <c r="E336" t="s">
        <v>54</v>
      </c>
      <c r="F336" t="s">
        <v>58</v>
      </c>
      <c r="G336" t="s">
        <v>52</v>
      </c>
      <c r="H336" t="s">
        <v>36</v>
      </c>
      <c r="I336">
        <v>1706</v>
      </c>
    </row>
    <row r="337" spans="1:9" ht="14.5" x14ac:dyDescent="0.35">
      <c r="A337">
        <v>2</v>
      </c>
      <c r="B337" t="s">
        <v>45</v>
      </c>
      <c r="C337" t="s">
        <v>31</v>
      </c>
      <c r="D337" t="s">
        <v>53</v>
      </c>
      <c r="E337" t="s">
        <v>54</v>
      </c>
      <c r="F337" t="s">
        <v>58</v>
      </c>
      <c r="G337" t="s">
        <v>52</v>
      </c>
      <c r="H337" t="s">
        <v>38</v>
      </c>
      <c r="I337">
        <v>4765</v>
      </c>
    </row>
    <row r="338" spans="1:9" ht="14.5" x14ac:dyDescent="0.35">
      <c r="A338">
        <v>3</v>
      </c>
      <c r="B338" t="s">
        <v>46</v>
      </c>
      <c r="C338" t="s">
        <v>31</v>
      </c>
      <c r="D338" t="s">
        <v>53</v>
      </c>
      <c r="E338" t="s">
        <v>54</v>
      </c>
      <c r="F338" t="s">
        <v>55</v>
      </c>
      <c r="G338" t="s">
        <v>52</v>
      </c>
      <c r="H338" t="s">
        <v>36</v>
      </c>
      <c r="I338">
        <v>2015</v>
      </c>
    </row>
    <row r="339" spans="1:9" ht="14.5" x14ac:dyDescent="0.35">
      <c r="A339">
        <v>3</v>
      </c>
      <c r="B339" t="s">
        <v>46</v>
      </c>
      <c r="C339" t="s">
        <v>31</v>
      </c>
      <c r="D339" t="s">
        <v>53</v>
      </c>
      <c r="E339" t="s">
        <v>54</v>
      </c>
      <c r="F339" t="s">
        <v>55</v>
      </c>
      <c r="G339" t="s">
        <v>52</v>
      </c>
      <c r="H339" t="s">
        <v>38</v>
      </c>
      <c r="I339">
        <v>2308</v>
      </c>
    </row>
    <row r="340" spans="1:9" ht="14.5" x14ac:dyDescent="0.35">
      <c r="A340">
        <v>3</v>
      </c>
      <c r="B340" t="s">
        <v>46</v>
      </c>
      <c r="C340" t="s">
        <v>31</v>
      </c>
      <c r="D340" t="s">
        <v>53</v>
      </c>
      <c r="E340" t="s">
        <v>54</v>
      </c>
      <c r="F340" t="s">
        <v>56</v>
      </c>
      <c r="G340" t="s">
        <v>52</v>
      </c>
      <c r="H340" t="s">
        <v>36</v>
      </c>
      <c r="I340">
        <v>4224</v>
      </c>
    </row>
    <row r="341" spans="1:9" ht="14.5" x14ac:dyDescent="0.35">
      <c r="A341">
        <v>3</v>
      </c>
      <c r="B341" t="s">
        <v>46</v>
      </c>
      <c r="C341" t="s">
        <v>31</v>
      </c>
      <c r="D341" t="s">
        <v>53</v>
      </c>
      <c r="E341" t="s">
        <v>54</v>
      </c>
      <c r="F341" t="s">
        <v>56</v>
      </c>
      <c r="G341" t="s">
        <v>52</v>
      </c>
      <c r="H341" t="s">
        <v>38</v>
      </c>
      <c r="I341">
        <v>2289</v>
      </c>
    </row>
    <row r="342" spans="1:9" ht="14.5" x14ac:dyDescent="0.35">
      <c r="A342">
        <v>3</v>
      </c>
      <c r="B342" t="s">
        <v>46</v>
      </c>
      <c r="C342" t="s">
        <v>31</v>
      </c>
      <c r="D342" t="s">
        <v>53</v>
      </c>
      <c r="E342" t="s">
        <v>54</v>
      </c>
      <c r="F342" t="s">
        <v>57</v>
      </c>
      <c r="G342" t="s">
        <v>52</v>
      </c>
      <c r="H342" t="s">
        <v>36</v>
      </c>
      <c r="I342">
        <v>4007</v>
      </c>
    </row>
    <row r="343" spans="1:9" ht="14.5" x14ac:dyDescent="0.35">
      <c r="A343">
        <v>3</v>
      </c>
      <c r="B343" t="s">
        <v>46</v>
      </c>
      <c r="C343" t="s">
        <v>31</v>
      </c>
      <c r="D343" t="s">
        <v>53</v>
      </c>
      <c r="E343" t="s">
        <v>54</v>
      </c>
      <c r="F343" t="s">
        <v>57</v>
      </c>
      <c r="G343" t="s">
        <v>52</v>
      </c>
      <c r="H343" t="s">
        <v>38</v>
      </c>
      <c r="I343">
        <v>1846</v>
      </c>
    </row>
    <row r="344" spans="1:9" ht="14.5" x14ac:dyDescent="0.35">
      <c r="A344">
        <v>3</v>
      </c>
      <c r="B344" t="s">
        <v>46</v>
      </c>
      <c r="C344" t="s">
        <v>31</v>
      </c>
      <c r="D344" t="s">
        <v>53</v>
      </c>
      <c r="E344" t="s">
        <v>54</v>
      </c>
      <c r="F344" t="s">
        <v>58</v>
      </c>
      <c r="G344" t="s">
        <v>52</v>
      </c>
      <c r="H344" t="s">
        <v>36</v>
      </c>
      <c r="I344">
        <v>1473</v>
      </c>
    </row>
    <row r="345" spans="1:9" ht="14.5" x14ac:dyDescent="0.35">
      <c r="A345">
        <v>3</v>
      </c>
      <c r="B345" t="s">
        <v>46</v>
      </c>
      <c r="C345" t="s">
        <v>31</v>
      </c>
      <c r="D345" t="s">
        <v>53</v>
      </c>
      <c r="E345" t="s">
        <v>54</v>
      </c>
      <c r="F345" t="s">
        <v>58</v>
      </c>
      <c r="G345" t="s">
        <v>52</v>
      </c>
      <c r="H345" t="s">
        <v>38</v>
      </c>
      <c r="I345">
        <v>4937</v>
      </c>
    </row>
    <row r="346" spans="1:9" ht="14.5" x14ac:dyDescent="0.35">
      <c r="A346">
        <v>3</v>
      </c>
      <c r="B346" t="s">
        <v>47</v>
      </c>
      <c r="C346" t="s">
        <v>31</v>
      </c>
      <c r="D346" t="s">
        <v>53</v>
      </c>
      <c r="E346" t="s">
        <v>54</v>
      </c>
      <c r="F346" t="s">
        <v>55</v>
      </c>
      <c r="G346" t="s">
        <v>52</v>
      </c>
      <c r="H346" t="s">
        <v>36</v>
      </c>
      <c r="I346">
        <v>3177</v>
      </c>
    </row>
    <row r="347" spans="1:9" ht="14.5" x14ac:dyDescent="0.35">
      <c r="A347">
        <v>3</v>
      </c>
      <c r="B347" t="s">
        <v>47</v>
      </c>
      <c r="C347" t="s">
        <v>31</v>
      </c>
      <c r="D347" t="s">
        <v>53</v>
      </c>
      <c r="E347" t="s">
        <v>54</v>
      </c>
      <c r="F347" t="s">
        <v>55</v>
      </c>
      <c r="G347" t="s">
        <v>52</v>
      </c>
      <c r="H347" t="s">
        <v>38</v>
      </c>
      <c r="I347">
        <v>1645</v>
      </c>
    </row>
    <row r="348" spans="1:9" ht="14.5" x14ac:dyDescent="0.35">
      <c r="A348">
        <v>3</v>
      </c>
      <c r="B348" t="s">
        <v>47</v>
      </c>
      <c r="C348" t="s">
        <v>31</v>
      </c>
      <c r="D348" t="s">
        <v>53</v>
      </c>
      <c r="E348" t="s">
        <v>54</v>
      </c>
      <c r="F348" t="s">
        <v>56</v>
      </c>
      <c r="G348" t="s">
        <v>52</v>
      </c>
      <c r="H348" t="s">
        <v>36</v>
      </c>
      <c r="I348">
        <v>3343</v>
      </c>
    </row>
    <row r="349" spans="1:9" ht="14.5" x14ac:dyDescent="0.35">
      <c r="A349">
        <v>3</v>
      </c>
      <c r="B349" t="s">
        <v>47</v>
      </c>
      <c r="C349" t="s">
        <v>31</v>
      </c>
      <c r="D349" t="s">
        <v>53</v>
      </c>
      <c r="E349" t="s">
        <v>54</v>
      </c>
      <c r="F349" t="s">
        <v>56</v>
      </c>
      <c r="G349" t="s">
        <v>52</v>
      </c>
      <c r="H349" t="s">
        <v>38</v>
      </c>
      <c r="I349">
        <v>3517</v>
      </c>
    </row>
    <row r="350" spans="1:9" ht="14.5" x14ac:dyDescent="0.35">
      <c r="A350">
        <v>3</v>
      </c>
      <c r="B350" t="s">
        <v>47</v>
      </c>
      <c r="C350" t="s">
        <v>31</v>
      </c>
      <c r="D350" t="s">
        <v>53</v>
      </c>
      <c r="E350" t="s">
        <v>54</v>
      </c>
      <c r="F350" t="s">
        <v>57</v>
      </c>
      <c r="G350" t="s">
        <v>52</v>
      </c>
      <c r="H350" t="s">
        <v>36</v>
      </c>
      <c r="I350">
        <v>2695</v>
      </c>
    </row>
    <row r="351" spans="1:9" ht="14.5" x14ac:dyDescent="0.35">
      <c r="A351">
        <v>3</v>
      </c>
      <c r="B351" t="s">
        <v>47</v>
      </c>
      <c r="C351" t="s">
        <v>31</v>
      </c>
      <c r="D351" t="s">
        <v>53</v>
      </c>
      <c r="E351" t="s">
        <v>54</v>
      </c>
      <c r="F351" t="s">
        <v>57</v>
      </c>
      <c r="G351" t="s">
        <v>52</v>
      </c>
      <c r="H351" t="s">
        <v>38</v>
      </c>
      <c r="I351">
        <v>2157</v>
      </c>
    </row>
    <row r="352" spans="1:9" ht="14.5" x14ac:dyDescent="0.35">
      <c r="A352">
        <v>3</v>
      </c>
      <c r="B352" t="s">
        <v>47</v>
      </c>
      <c r="C352" t="s">
        <v>31</v>
      </c>
      <c r="D352" t="s">
        <v>53</v>
      </c>
      <c r="E352" t="s">
        <v>54</v>
      </c>
      <c r="F352" t="s">
        <v>58</v>
      </c>
      <c r="G352" t="s">
        <v>52</v>
      </c>
      <c r="H352" t="s">
        <v>36</v>
      </c>
      <c r="I352">
        <v>2012</v>
      </c>
    </row>
    <row r="353" spans="1:9" ht="14.5" x14ac:dyDescent="0.35">
      <c r="A353">
        <v>3</v>
      </c>
      <c r="B353" t="s">
        <v>47</v>
      </c>
      <c r="C353" t="s">
        <v>31</v>
      </c>
      <c r="D353" t="s">
        <v>53</v>
      </c>
      <c r="E353" t="s">
        <v>54</v>
      </c>
      <c r="F353" t="s">
        <v>58</v>
      </c>
      <c r="G353" t="s">
        <v>52</v>
      </c>
      <c r="H353" t="s">
        <v>38</v>
      </c>
      <c r="I353">
        <v>3674</v>
      </c>
    </row>
    <row r="354" spans="1:9" ht="14.5" x14ac:dyDescent="0.35">
      <c r="A354">
        <v>3</v>
      </c>
      <c r="B354" t="s">
        <v>48</v>
      </c>
      <c r="C354" t="s">
        <v>31</v>
      </c>
      <c r="D354" t="s">
        <v>53</v>
      </c>
      <c r="E354" t="s">
        <v>54</v>
      </c>
      <c r="F354" t="s">
        <v>55</v>
      </c>
      <c r="G354" t="s">
        <v>52</v>
      </c>
      <c r="H354" t="s">
        <v>36</v>
      </c>
      <c r="I354">
        <v>1811</v>
      </c>
    </row>
    <row r="355" spans="1:9" ht="14.5" x14ac:dyDescent="0.35">
      <c r="A355">
        <v>3</v>
      </c>
      <c r="B355" t="s">
        <v>48</v>
      </c>
      <c r="C355" t="s">
        <v>31</v>
      </c>
      <c r="D355" t="s">
        <v>53</v>
      </c>
      <c r="E355" t="s">
        <v>54</v>
      </c>
      <c r="F355" t="s">
        <v>55</v>
      </c>
      <c r="G355" t="s">
        <v>52</v>
      </c>
      <c r="H355" t="s">
        <v>38</v>
      </c>
      <c r="I355">
        <v>4631</v>
      </c>
    </row>
    <row r="356" spans="1:9" ht="14.5" x14ac:dyDescent="0.35">
      <c r="A356">
        <v>3</v>
      </c>
      <c r="B356" t="s">
        <v>48</v>
      </c>
      <c r="C356" t="s">
        <v>31</v>
      </c>
      <c r="D356" t="s">
        <v>53</v>
      </c>
      <c r="E356" t="s">
        <v>54</v>
      </c>
      <c r="F356" t="s">
        <v>56</v>
      </c>
      <c r="G356" t="s">
        <v>52</v>
      </c>
      <c r="H356" t="s">
        <v>36</v>
      </c>
      <c r="I356">
        <v>4485</v>
      </c>
    </row>
    <row r="357" spans="1:9" ht="14.5" x14ac:dyDescent="0.35">
      <c r="A357">
        <v>3</v>
      </c>
      <c r="B357" t="s">
        <v>48</v>
      </c>
      <c r="C357" t="s">
        <v>31</v>
      </c>
      <c r="D357" t="s">
        <v>53</v>
      </c>
      <c r="E357" t="s">
        <v>54</v>
      </c>
      <c r="F357" t="s">
        <v>56</v>
      </c>
      <c r="G357" t="s">
        <v>52</v>
      </c>
      <c r="H357" t="s">
        <v>38</v>
      </c>
      <c r="I357">
        <v>1957</v>
      </c>
    </row>
    <row r="358" spans="1:9" ht="14.5" x14ac:dyDescent="0.35">
      <c r="A358">
        <v>3</v>
      </c>
      <c r="B358" t="s">
        <v>48</v>
      </c>
      <c r="C358" t="s">
        <v>31</v>
      </c>
      <c r="D358" t="s">
        <v>53</v>
      </c>
      <c r="E358" t="s">
        <v>54</v>
      </c>
      <c r="F358" t="s">
        <v>57</v>
      </c>
      <c r="G358" t="s">
        <v>52</v>
      </c>
      <c r="H358" t="s">
        <v>36</v>
      </c>
      <c r="I358">
        <v>4569</v>
      </c>
    </row>
    <row r="359" spans="1:9" ht="14.5" x14ac:dyDescent="0.35">
      <c r="A359">
        <v>3</v>
      </c>
      <c r="B359" t="s">
        <v>48</v>
      </c>
      <c r="C359" t="s">
        <v>31</v>
      </c>
      <c r="D359" t="s">
        <v>53</v>
      </c>
      <c r="E359" t="s">
        <v>54</v>
      </c>
      <c r="F359" t="s">
        <v>57</v>
      </c>
      <c r="G359" t="s">
        <v>52</v>
      </c>
      <c r="H359" t="s">
        <v>38</v>
      </c>
      <c r="I359">
        <v>3834</v>
      </c>
    </row>
    <row r="360" spans="1:9" ht="14.5" x14ac:dyDescent="0.35">
      <c r="A360">
        <v>3</v>
      </c>
      <c r="B360" t="s">
        <v>48</v>
      </c>
      <c r="C360" t="s">
        <v>31</v>
      </c>
      <c r="D360" t="s">
        <v>53</v>
      </c>
      <c r="E360" t="s">
        <v>54</v>
      </c>
      <c r="F360" t="s">
        <v>58</v>
      </c>
      <c r="G360" t="s">
        <v>52</v>
      </c>
      <c r="H360" t="s">
        <v>36</v>
      </c>
      <c r="I360">
        <v>3335</v>
      </c>
    </row>
    <row r="361" spans="1:9" ht="14.5" x14ac:dyDescent="0.35">
      <c r="A361">
        <v>3</v>
      </c>
      <c r="B361" t="s">
        <v>48</v>
      </c>
      <c r="C361" t="s">
        <v>31</v>
      </c>
      <c r="D361" t="s">
        <v>53</v>
      </c>
      <c r="E361" t="s">
        <v>54</v>
      </c>
      <c r="F361" t="s">
        <v>58</v>
      </c>
      <c r="G361" t="s">
        <v>52</v>
      </c>
      <c r="H361" t="s">
        <v>38</v>
      </c>
      <c r="I361">
        <v>4291</v>
      </c>
    </row>
    <row r="362" spans="1:9" ht="14.5" x14ac:dyDescent="0.35">
      <c r="A362">
        <v>4</v>
      </c>
      <c r="B362" t="s">
        <v>49</v>
      </c>
      <c r="C362" t="s">
        <v>31</v>
      </c>
      <c r="D362" t="s">
        <v>53</v>
      </c>
      <c r="E362" t="s">
        <v>54</v>
      </c>
      <c r="F362" t="s">
        <v>55</v>
      </c>
      <c r="G362" t="s">
        <v>52</v>
      </c>
      <c r="H362" t="s">
        <v>36</v>
      </c>
      <c r="I362">
        <v>3093</v>
      </c>
    </row>
    <row r="363" spans="1:9" ht="14.5" x14ac:dyDescent="0.35">
      <c r="A363">
        <v>4</v>
      </c>
      <c r="B363" t="s">
        <v>49</v>
      </c>
      <c r="C363" t="s">
        <v>31</v>
      </c>
      <c r="D363" t="s">
        <v>53</v>
      </c>
      <c r="E363" t="s">
        <v>54</v>
      </c>
      <c r="F363" t="s">
        <v>55</v>
      </c>
      <c r="G363" t="s">
        <v>52</v>
      </c>
      <c r="H363" t="s">
        <v>38</v>
      </c>
      <c r="I363">
        <v>1896</v>
      </c>
    </row>
    <row r="364" spans="1:9" ht="14.5" x14ac:dyDescent="0.35">
      <c r="A364">
        <v>4</v>
      </c>
      <c r="B364" t="s">
        <v>49</v>
      </c>
      <c r="C364" t="s">
        <v>31</v>
      </c>
      <c r="D364" t="s">
        <v>53</v>
      </c>
      <c r="E364" t="s">
        <v>54</v>
      </c>
      <c r="F364" t="s">
        <v>56</v>
      </c>
      <c r="G364" t="s">
        <v>52</v>
      </c>
      <c r="H364" t="s">
        <v>36</v>
      </c>
      <c r="I364">
        <v>1172</v>
      </c>
    </row>
    <row r="365" spans="1:9" ht="14.5" x14ac:dyDescent="0.35">
      <c r="A365">
        <v>4</v>
      </c>
      <c r="B365" t="s">
        <v>49</v>
      </c>
      <c r="C365" t="s">
        <v>31</v>
      </c>
      <c r="D365" t="s">
        <v>53</v>
      </c>
      <c r="E365" t="s">
        <v>54</v>
      </c>
      <c r="F365" t="s">
        <v>56</v>
      </c>
      <c r="G365" t="s">
        <v>52</v>
      </c>
      <c r="H365" t="s">
        <v>38</v>
      </c>
      <c r="I365">
        <v>3102</v>
      </c>
    </row>
    <row r="366" spans="1:9" ht="14.5" x14ac:dyDescent="0.35">
      <c r="A366">
        <v>4</v>
      </c>
      <c r="B366" t="s">
        <v>49</v>
      </c>
      <c r="C366" t="s">
        <v>31</v>
      </c>
      <c r="D366" t="s">
        <v>53</v>
      </c>
      <c r="E366" t="s">
        <v>54</v>
      </c>
      <c r="F366" t="s">
        <v>57</v>
      </c>
      <c r="G366" t="s">
        <v>52</v>
      </c>
      <c r="H366" t="s">
        <v>36</v>
      </c>
      <c r="I366">
        <v>3643</v>
      </c>
    </row>
    <row r="367" spans="1:9" ht="14.5" x14ac:dyDescent="0.35">
      <c r="A367">
        <v>4</v>
      </c>
      <c r="B367" t="s">
        <v>49</v>
      </c>
      <c r="C367" t="s">
        <v>31</v>
      </c>
      <c r="D367" t="s">
        <v>53</v>
      </c>
      <c r="E367" t="s">
        <v>54</v>
      </c>
      <c r="F367" t="s">
        <v>57</v>
      </c>
      <c r="G367" t="s">
        <v>52</v>
      </c>
      <c r="H367" t="s">
        <v>38</v>
      </c>
      <c r="I367">
        <v>3064</v>
      </c>
    </row>
    <row r="368" spans="1:9" ht="14.5" x14ac:dyDescent="0.35">
      <c r="A368">
        <v>4</v>
      </c>
      <c r="B368" t="s">
        <v>49</v>
      </c>
      <c r="C368" t="s">
        <v>31</v>
      </c>
      <c r="D368" t="s">
        <v>53</v>
      </c>
      <c r="E368" t="s">
        <v>54</v>
      </c>
      <c r="F368" t="s">
        <v>58</v>
      </c>
      <c r="G368" t="s">
        <v>52</v>
      </c>
      <c r="H368" t="s">
        <v>36</v>
      </c>
      <c r="I368">
        <v>2110</v>
      </c>
    </row>
    <row r="369" spans="1:9" ht="14.5" x14ac:dyDescent="0.35">
      <c r="A369">
        <v>4</v>
      </c>
      <c r="B369" t="s">
        <v>49</v>
      </c>
      <c r="C369" t="s">
        <v>31</v>
      </c>
      <c r="D369" t="s">
        <v>53</v>
      </c>
      <c r="E369" t="s">
        <v>54</v>
      </c>
      <c r="F369" t="s">
        <v>58</v>
      </c>
      <c r="G369" t="s">
        <v>52</v>
      </c>
      <c r="H369" t="s">
        <v>38</v>
      </c>
      <c r="I369">
        <v>1272</v>
      </c>
    </row>
    <row r="370" spans="1:9" ht="14.5" x14ac:dyDescent="0.35">
      <c r="A370">
        <v>4</v>
      </c>
      <c r="B370" t="s">
        <v>50</v>
      </c>
      <c r="C370" t="s">
        <v>31</v>
      </c>
      <c r="D370" t="s">
        <v>53</v>
      </c>
      <c r="E370" t="s">
        <v>54</v>
      </c>
      <c r="F370" t="s">
        <v>55</v>
      </c>
      <c r="G370" t="s">
        <v>52</v>
      </c>
      <c r="H370" t="s">
        <v>36</v>
      </c>
      <c r="I370">
        <v>1879</v>
      </c>
    </row>
    <row r="371" spans="1:9" ht="14.5" x14ac:dyDescent="0.35">
      <c r="A371">
        <v>4</v>
      </c>
      <c r="B371" t="s">
        <v>50</v>
      </c>
      <c r="C371" t="s">
        <v>31</v>
      </c>
      <c r="D371" t="s">
        <v>53</v>
      </c>
      <c r="E371" t="s">
        <v>54</v>
      </c>
      <c r="F371" t="s">
        <v>55</v>
      </c>
      <c r="G371" t="s">
        <v>52</v>
      </c>
      <c r="H371" t="s">
        <v>38</v>
      </c>
      <c r="I371">
        <v>1487</v>
      </c>
    </row>
    <row r="372" spans="1:9" ht="14.5" x14ac:dyDescent="0.35">
      <c r="A372">
        <v>4</v>
      </c>
      <c r="B372" t="s">
        <v>50</v>
      </c>
      <c r="C372" t="s">
        <v>31</v>
      </c>
      <c r="D372" t="s">
        <v>53</v>
      </c>
      <c r="E372" t="s">
        <v>54</v>
      </c>
      <c r="F372" t="s">
        <v>56</v>
      </c>
      <c r="G372" t="s">
        <v>52</v>
      </c>
      <c r="H372" t="s">
        <v>36</v>
      </c>
      <c r="I372">
        <v>4905</v>
      </c>
    </row>
    <row r="373" spans="1:9" ht="14.5" x14ac:dyDescent="0.35">
      <c r="A373">
        <v>4</v>
      </c>
      <c r="B373" t="s">
        <v>50</v>
      </c>
      <c r="C373" t="s">
        <v>31</v>
      </c>
      <c r="D373" t="s">
        <v>53</v>
      </c>
      <c r="E373" t="s">
        <v>54</v>
      </c>
      <c r="F373" t="s">
        <v>56</v>
      </c>
      <c r="G373" t="s">
        <v>52</v>
      </c>
      <c r="H373" t="s">
        <v>38</v>
      </c>
      <c r="I373">
        <v>2409</v>
      </c>
    </row>
    <row r="374" spans="1:9" ht="14.5" x14ac:dyDescent="0.35">
      <c r="A374">
        <v>4</v>
      </c>
      <c r="B374" t="s">
        <v>50</v>
      </c>
      <c r="C374" t="s">
        <v>31</v>
      </c>
      <c r="D374" t="s">
        <v>53</v>
      </c>
      <c r="E374" t="s">
        <v>54</v>
      </c>
      <c r="F374" t="s">
        <v>57</v>
      </c>
      <c r="G374" t="s">
        <v>52</v>
      </c>
      <c r="H374" t="s">
        <v>36</v>
      </c>
      <c r="I374">
        <v>4684</v>
      </c>
    </row>
    <row r="375" spans="1:9" ht="14.5" x14ac:dyDescent="0.35">
      <c r="A375">
        <v>4</v>
      </c>
      <c r="B375" t="s">
        <v>50</v>
      </c>
      <c r="C375" t="s">
        <v>31</v>
      </c>
      <c r="D375" t="s">
        <v>53</v>
      </c>
      <c r="E375" t="s">
        <v>54</v>
      </c>
      <c r="F375" t="s">
        <v>57</v>
      </c>
      <c r="G375" t="s">
        <v>52</v>
      </c>
      <c r="H375" t="s">
        <v>38</v>
      </c>
      <c r="I375">
        <v>3394</v>
      </c>
    </row>
    <row r="376" spans="1:9" ht="14.5" x14ac:dyDescent="0.35">
      <c r="A376">
        <v>4</v>
      </c>
      <c r="B376" t="s">
        <v>50</v>
      </c>
      <c r="C376" t="s">
        <v>31</v>
      </c>
      <c r="D376" t="s">
        <v>53</v>
      </c>
      <c r="E376" t="s">
        <v>54</v>
      </c>
      <c r="F376" t="s">
        <v>58</v>
      </c>
      <c r="G376" t="s">
        <v>52</v>
      </c>
      <c r="H376" t="s">
        <v>36</v>
      </c>
      <c r="I376">
        <v>2041</v>
      </c>
    </row>
    <row r="377" spans="1:9" ht="14.5" x14ac:dyDescent="0.35">
      <c r="A377">
        <v>4</v>
      </c>
      <c r="B377" t="s">
        <v>50</v>
      </c>
      <c r="C377" t="s">
        <v>31</v>
      </c>
      <c r="D377" t="s">
        <v>53</v>
      </c>
      <c r="E377" t="s">
        <v>54</v>
      </c>
      <c r="F377" t="s">
        <v>58</v>
      </c>
      <c r="G377" t="s">
        <v>52</v>
      </c>
      <c r="H377" t="s">
        <v>38</v>
      </c>
      <c r="I377">
        <v>2741</v>
      </c>
    </row>
    <row r="378" spans="1:9" ht="14.5" x14ac:dyDescent="0.35">
      <c r="A378">
        <v>4</v>
      </c>
      <c r="B378" t="s">
        <v>51</v>
      </c>
      <c r="C378" t="s">
        <v>31</v>
      </c>
      <c r="D378" t="s">
        <v>53</v>
      </c>
      <c r="E378" t="s">
        <v>54</v>
      </c>
      <c r="F378" t="s">
        <v>55</v>
      </c>
      <c r="G378" t="s">
        <v>52</v>
      </c>
      <c r="H378" t="s">
        <v>36</v>
      </c>
      <c r="I378">
        <v>4887</v>
      </c>
    </row>
    <row r="379" spans="1:9" ht="14.5" x14ac:dyDescent="0.35">
      <c r="A379">
        <v>4</v>
      </c>
      <c r="B379" t="s">
        <v>51</v>
      </c>
      <c r="C379" t="s">
        <v>31</v>
      </c>
      <c r="D379" t="s">
        <v>53</v>
      </c>
      <c r="E379" t="s">
        <v>54</v>
      </c>
      <c r="F379" t="s">
        <v>55</v>
      </c>
      <c r="G379" t="s">
        <v>52</v>
      </c>
      <c r="H379" t="s">
        <v>38</v>
      </c>
      <c r="I379">
        <v>3647</v>
      </c>
    </row>
    <row r="380" spans="1:9" ht="14.5" x14ac:dyDescent="0.35">
      <c r="A380">
        <v>4</v>
      </c>
      <c r="B380" t="s">
        <v>51</v>
      </c>
      <c r="C380" t="s">
        <v>31</v>
      </c>
      <c r="D380" t="s">
        <v>53</v>
      </c>
      <c r="E380" t="s">
        <v>54</v>
      </c>
      <c r="F380" t="s">
        <v>56</v>
      </c>
      <c r="G380" t="s">
        <v>52</v>
      </c>
      <c r="H380" t="s">
        <v>36</v>
      </c>
      <c r="I380">
        <v>2359</v>
      </c>
    </row>
    <row r="381" spans="1:9" ht="14.5" x14ac:dyDescent="0.35">
      <c r="A381">
        <v>4</v>
      </c>
      <c r="B381" t="s">
        <v>51</v>
      </c>
      <c r="C381" t="s">
        <v>31</v>
      </c>
      <c r="D381" t="s">
        <v>53</v>
      </c>
      <c r="E381" t="s">
        <v>54</v>
      </c>
      <c r="F381" t="s">
        <v>56</v>
      </c>
      <c r="G381" t="s">
        <v>52</v>
      </c>
      <c r="H381" t="s">
        <v>38</v>
      </c>
      <c r="I381">
        <v>1095</v>
      </c>
    </row>
    <row r="382" spans="1:9" ht="14.5" x14ac:dyDescent="0.35">
      <c r="A382">
        <v>4</v>
      </c>
      <c r="B382" t="s">
        <v>51</v>
      </c>
      <c r="C382" t="s">
        <v>31</v>
      </c>
      <c r="D382" t="s">
        <v>53</v>
      </c>
      <c r="E382" t="s">
        <v>54</v>
      </c>
      <c r="F382" t="s">
        <v>57</v>
      </c>
      <c r="G382" t="s">
        <v>52</v>
      </c>
      <c r="H382" t="s">
        <v>36</v>
      </c>
      <c r="I382">
        <v>3035</v>
      </c>
    </row>
    <row r="383" spans="1:9" ht="14.5" x14ac:dyDescent="0.35">
      <c r="A383">
        <v>4</v>
      </c>
      <c r="B383" t="s">
        <v>51</v>
      </c>
      <c r="C383" t="s">
        <v>31</v>
      </c>
      <c r="D383" t="s">
        <v>53</v>
      </c>
      <c r="E383" t="s">
        <v>54</v>
      </c>
      <c r="F383" t="s">
        <v>57</v>
      </c>
      <c r="G383" t="s">
        <v>52</v>
      </c>
      <c r="H383" t="s">
        <v>38</v>
      </c>
      <c r="I383">
        <v>2195</v>
      </c>
    </row>
    <row r="384" spans="1:9" ht="14.5" x14ac:dyDescent="0.35">
      <c r="A384">
        <v>4</v>
      </c>
      <c r="B384" t="s">
        <v>51</v>
      </c>
      <c r="C384" t="s">
        <v>31</v>
      </c>
      <c r="D384" t="s">
        <v>53</v>
      </c>
      <c r="E384" t="s">
        <v>54</v>
      </c>
      <c r="F384" t="s">
        <v>58</v>
      </c>
      <c r="G384" t="s">
        <v>52</v>
      </c>
      <c r="H384" t="s">
        <v>36</v>
      </c>
      <c r="I384">
        <v>3085</v>
      </c>
    </row>
    <row r="385" spans="1:9" ht="14.5" x14ac:dyDescent="0.35">
      <c r="A385">
        <v>4</v>
      </c>
      <c r="B385" t="s">
        <v>51</v>
      </c>
      <c r="C385" t="s">
        <v>31</v>
      </c>
      <c r="D385" t="s">
        <v>53</v>
      </c>
      <c r="E385" t="s">
        <v>54</v>
      </c>
      <c r="F385" t="s">
        <v>58</v>
      </c>
      <c r="G385" t="s">
        <v>52</v>
      </c>
      <c r="H385" t="s">
        <v>38</v>
      </c>
      <c r="I385">
        <v>4996</v>
      </c>
    </row>
    <row r="386" spans="1:9" ht="14.5" x14ac:dyDescent="0.35">
      <c r="A386">
        <v>1</v>
      </c>
      <c r="B386" t="s">
        <v>30</v>
      </c>
      <c r="C386" t="s">
        <v>59</v>
      </c>
      <c r="D386" t="s">
        <v>60</v>
      </c>
      <c r="E386" t="s">
        <v>61</v>
      </c>
      <c r="F386" t="s">
        <v>62</v>
      </c>
      <c r="G386" t="s">
        <v>35</v>
      </c>
      <c r="H386" t="s">
        <v>36</v>
      </c>
      <c r="I386">
        <v>1041</v>
      </c>
    </row>
    <row r="387" spans="1:9" ht="14.5" x14ac:dyDescent="0.35">
      <c r="A387">
        <v>1</v>
      </c>
      <c r="B387" t="s">
        <v>30</v>
      </c>
      <c r="C387" t="s">
        <v>59</v>
      </c>
      <c r="D387" t="s">
        <v>60</v>
      </c>
      <c r="E387" t="s">
        <v>61</v>
      </c>
      <c r="F387" t="s">
        <v>63</v>
      </c>
      <c r="G387" t="s">
        <v>35</v>
      </c>
      <c r="H387" t="s">
        <v>36</v>
      </c>
      <c r="I387">
        <v>3740</v>
      </c>
    </row>
    <row r="388" spans="1:9" ht="14.5" x14ac:dyDescent="0.35">
      <c r="A388">
        <v>1</v>
      </c>
      <c r="B388" t="s">
        <v>30</v>
      </c>
      <c r="C388" t="s">
        <v>59</v>
      </c>
      <c r="D388" t="s">
        <v>60</v>
      </c>
      <c r="E388" t="s">
        <v>61</v>
      </c>
      <c r="F388" t="s">
        <v>63</v>
      </c>
      <c r="G388" t="s">
        <v>35</v>
      </c>
      <c r="H388" t="s">
        <v>38</v>
      </c>
      <c r="I388">
        <v>2196</v>
      </c>
    </row>
    <row r="389" spans="1:9" ht="14.5" x14ac:dyDescent="0.35">
      <c r="A389">
        <v>1</v>
      </c>
      <c r="B389" t="s">
        <v>30</v>
      </c>
      <c r="C389" t="s">
        <v>59</v>
      </c>
      <c r="D389" t="s">
        <v>60</v>
      </c>
      <c r="E389" t="s">
        <v>61</v>
      </c>
      <c r="F389" t="s">
        <v>64</v>
      </c>
      <c r="G389" t="s">
        <v>35</v>
      </c>
      <c r="H389" t="s">
        <v>36</v>
      </c>
      <c r="I389">
        <v>4241</v>
      </c>
    </row>
    <row r="390" spans="1:9" ht="14.5" x14ac:dyDescent="0.35">
      <c r="A390">
        <v>1</v>
      </c>
      <c r="B390" t="s">
        <v>30</v>
      </c>
      <c r="C390" t="s">
        <v>59</v>
      </c>
      <c r="D390" t="s">
        <v>60</v>
      </c>
      <c r="E390" t="s">
        <v>61</v>
      </c>
      <c r="F390" t="s">
        <v>64</v>
      </c>
      <c r="G390" t="s">
        <v>35</v>
      </c>
      <c r="H390" t="s">
        <v>38</v>
      </c>
      <c r="I390">
        <v>4823</v>
      </c>
    </row>
    <row r="391" spans="1:9" ht="14.5" x14ac:dyDescent="0.35">
      <c r="A391">
        <v>1</v>
      </c>
      <c r="B391" t="s">
        <v>30</v>
      </c>
      <c r="C391" t="s">
        <v>59</v>
      </c>
      <c r="D391" t="s">
        <v>60</v>
      </c>
      <c r="E391" t="s">
        <v>61</v>
      </c>
      <c r="F391" t="s">
        <v>62</v>
      </c>
      <c r="G391" t="s">
        <v>35</v>
      </c>
      <c r="H391" t="s">
        <v>38</v>
      </c>
      <c r="I391">
        <v>1352</v>
      </c>
    </row>
    <row r="392" spans="1:9" ht="14.5" x14ac:dyDescent="0.35">
      <c r="A392">
        <v>1</v>
      </c>
      <c r="B392" t="s">
        <v>30</v>
      </c>
      <c r="C392" t="s">
        <v>59</v>
      </c>
      <c r="D392" t="s">
        <v>60</v>
      </c>
      <c r="E392" t="s">
        <v>61</v>
      </c>
      <c r="F392" t="s">
        <v>65</v>
      </c>
      <c r="G392" t="s">
        <v>35</v>
      </c>
      <c r="H392" t="s">
        <v>36</v>
      </c>
      <c r="I392">
        <v>4950</v>
      </c>
    </row>
    <row r="393" spans="1:9" ht="14.5" x14ac:dyDescent="0.35">
      <c r="A393">
        <v>1</v>
      </c>
      <c r="B393" t="s">
        <v>30</v>
      </c>
      <c r="C393" t="s">
        <v>59</v>
      </c>
      <c r="D393" t="s">
        <v>60</v>
      </c>
      <c r="E393" t="s">
        <v>61</v>
      </c>
      <c r="F393" t="s">
        <v>65</v>
      </c>
      <c r="G393" t="s">
        <v>35</v>
      </c>
      <c r="H393" t="s">
        <v>38</v>
      </c>
      <c r="I393">
        <v>2094</v>
      </c>
    </row>
    <row r="394" spans="1:9" ht="14.5" x14ac:dyDescent="0.35">
      <c r="A394">
        <v>1</v>
      </c>
      <c r="B394" t="s">
        <v>41</v>
      </c>
      <c r="C394" t="s">
        <v>59</v>
      </c>
      <c r="D394" t="s">
        <v>60</v>
      </c>
      <c r="E394" t="s">
        <v>61</v>
      </c>
      <c r="F394" t="s">
        <v>63</v>
      </c>
      <c r="G394" t="s">
        <v>35</v>
      </c>
      <c r="H394" t="s">
        <v>36</v>
      </c>
      <c r="I394">
        <v>3521</v>
      </c>
    </row>
    <row r="395" spans="1:9" ht="14.5" x14ac:dyDescent="0.35">
      <c r="A395">
        <v>1</v>
      </c>
      <c r="B395" t="s">
        <v>41</v>
      </c>
      <c r="C395" t="s">
        <v>59</v>
      </c>
      <c r="D395" t="s">
        <v>60</v>
      </c>
      <c r="E395" t="s">
        <v>61</v>
      </c>
      <c r="F395" t="s">
        <v>63</v>
      </c>
      <c r="G395" t="s">
        <v>35</v>
      </c>
      <c r="H395" t="s">
        <v>38</v>
      </c>
      <c r="I395">
        <v>4108</v>
      </c>
    </row>
    <row r="396" spans="1:9" ht="14.5" x14ac:dyDescent="0.35">
      <c r="A396">
        <v>1</v>
      </c>
      <c r="B396" t="s">
        <v>41</v>
      </c>
      <c r="C396" t="s">
        <v>59</v>
      </c>
      <c r="D396" t="s">
        <v>60</v>
      </c>
      <c r="E396" t="s">
        <v>61</v>
      </c>
      <c r="F396" t="s">
        <v>64</v>
      </c>
      <c r="G396" t="s">
        <v>35</v>
      </c>
      <c r="H396" t="s">
        <v>36</v>
      </c>
      <c r="I396">
        <v>1370</v>
      </c>
    </row>
    <row r="397" spans="1:9" ht="14.5" x14ac:dyDescent="0.35">
      <c r="A397">
        <v>1</v>
      </c>
      <c r="B397" t="s">
        <v>41</v>
      </c>
      <c r="C397" t="s">
        <v>59</v>
      </c>
      <c r="D397" t="s">
        <v>60</v>
      </c>
      <c r="E397" t="s">
        <v>61</v>
      </c>
      <c r="F397" t="s">
        <v>64</v>
      </c>
      <c r="G397" t="s">
        <v>35</v>
      </c>
      <c r="H397" t="s">
        <v>38</v>
      </c>
      <c r="I397">
        <v>2547</v>
      </c>
    </row>
    <row r="398" spans="1:9" ht="14.5" x14ac:dyDescent="0.35">
      <c r="A398">
        <v>1</v>
      </c>
      <c r="B398" t="s">
        <v>41</v>
      </c>
      <c r="C398" t="s">
        <v>59</v>
      </c>
      <c r="D398" t="s">
        <v>60</v>
      </c>
      <c r="E398" t="s">
        <v>61</v>
      </c>
      <c r="F398" t="s">
        <v>62</v>
      </c>
      <c r="G398" t="s">
        <v>35</v>
      </c>
      <c r="H398" t="s">
        <v>36</v>
      </c>
      <c r="I398">
        <v>2873</v>
      </c>
    </row>
    <row r="399" spans="1:9" ht="14.5" x14ac:dyDescent="0.35">
      <c r="A399">
        <v>1</v>
      </c>
      <c r="B399" t="s">
        <v>41</v>
      </c>
      <c r="C399" t="s">
        <v>59</v>
      </c>
      <c r="D399" t="s">
        <v>60</v>
      </c>
      <c r="E399" t="s">
        <v>61</v>
      </c>
      <c r="F399" t="s">
        <v>62</v>
      </c>
      <c r="G399" t="s">
        <v>35</v>
      </c>
      <c r="H399" t="s">
        <v>38</v>
      </c>
      <c r="I399">
        <v>2195</v>
      </c>
    </row>
    <row r="400" spans="1:9" ht="14.5" x14ac:dyDescent="0.35">
      <c r="A400">
        <v>1</v>
      </c>
      <c r="B400" t="s">
        <v>41</v>
      </c>
      <c r="C400" t="s">
        <v>59</v>
      </c>
      <c r="D400" t="s">
        <v>60</v>
      </c>
      <c r="E400" t="s">
        <v>61</v>
      </c>
      <c r="F400" t="s">
        <v>65</v>
      </c>
      <c r="G400" t="s">
        <v>35</v>
      </c>
      <c r="H400" t="s">
        <v>36</v>
      </c>
      <c r="I400">
        <v>4917</v>
      </c>
    </row>
    <row r="401" spans="1:9" ht="14.5" x14ac:dyDescent="0.35">
      <c r="A401">
        <v>1</v>
      </c>
      <c r="B401" t="s">
        <v>41</v>
      </c>
      <c r="C401" t="s">
        <v>59</v>
      </c>
      <c r="D401" t="s">
        <v>60</v>
      </c>
      <c r="E401" t="s">
        <v>61</v>
      </c>
      <c r="F401" t="s">
        <v>65</v>
      </c>
      <c r="G401" t="s">
        <v>35</v>
      </c>
      <c r="H401" t="s">
        <v>38</v>
      </c>
      <c r="I401">
        <v>2163</v>
      </c>
    </row>
    <row r="402" spans="1:9" ht="14.5" x14ac:dyDescent="0.35">
      <c r="A402">
        <v>1</v>
      </c>
      <c r="B402" t="s">
        <v>42</v>
      </c>
      <c r="C402" t="s">
        <v>59</v>
      </c>
      <c r="D402" t="s">
        <v>60</v>
      </c>
      <c r="E402" t="s">
        <v>61</v>
      </c>
      <c r="F402" t="s">
        <v>63</v>
      </c>
      <c r="G402" t="s">
        <v>35</v>
      </c>
      <c r="H402" t="s">
        <v>36</v>
      </c>
      <c r="I402">
        <v>2901</v>
      </c>
    </row>
    <row r="403" spans="1:9" ht="14.5" x14ac:dyDescent="0.35">
      <c r="A403">
        <v>1</v>
      </c>
      <c r="B403" t="s">
        <v>42</v>
      </c>
      <c r="C403" t="s">
        <v>59</v>
      </c>
      <c r="D403" t="s">
        <v>60</v>
      </c>
      <c r="E403" t="s">
        <v>61</v>
      </c>
      <c r="F403" t="s">
        <v>63</v>
      </c>
      <c r="G403" t="s">
        <v>35</v>
      </c>
      <c r="H403" t="s">
        <v>38</v>
      </c>
      <c r="I403">
        <v>3774</v>
      </c>
    </row>
    <row r="404" spans="1:9" ht="14.5" x14ac:dyDescent="0.35">
      <c r="A404">
        <v>1</v>
      </c>
      <c r="B404" t="s">
        <v>42</v>
      </c>
      <c r="C404" t="s">
        <v>59</v>
      </c>
      <c r="D404" t="s">
        <v>60</v>
      </c>
      <c r="E404" t="s">
        <v>61</v>
      </c>
      <c r="F404" t="s">
        <v>64</v>
      </c>
      <c r="G404" t="s">
        <v>35</v>
      </c>
      <c r="H404" t="s">
        <v>36</v>
      </c>
      <c r="I404">
        <v>3667</v>
      </c>
    </row>
    <row r="405" spans="1:9" ht="14.5" x14ac:dyDescent="0.35">
      <c r="A405">
        <v>1</v>
      </c>
      <c r="B405" t="s">
        <v>42</v>
      </c>
      <c r="C405" t="s">
        <v>59</v>
      </c>
      <c r="D405" t="s">
        <v>60</v>
      </c>
      <c r="E405" t="s">
        <v>61</v>
      </c>
      <c r="F405" t="s">
        <v>64</v>
      </c>
      <c r="G405" t="s">
        <v>35</v>
      </c>
      <c r="H405" t="s">
        <v>38</v>
      </c>
      <c r="I405">
        <v>2829</v>
      </c>
    </row>
    <row r="406" spans="1:9" ht="14.5" x14ac:dyDescent="0.35">
      <c r="A406">
        <v>1</v>
      </c>
      <c r="B406" t="s">
        <v>42</v>
      </c>
      <c r="C406" t="s">
        <v>59</v>
      </c>
      <c r="D406" t="s">
        <v>60</v>
      </c>
      <c r="E406" t="s">
        <v>61</v>
      </c>
      <c r="F406" t="s">
        <v>62</v>
      </c>
      <c r="G406" t="s">
        <v>35</v>
      </c>
      <c r="H406" t="s">
        <v>36</v>
      </c>
      <c r="I406">
        <v>1392</v>
      </c>
    </row>
    <row r="407" spans="1:9" ht="14.5" x14ac:dyDescent="0.35">
      <c r="A407">
        <v>1</v>
      </c>
      <c r="B407" t="s">
        <v>42</v>
      </c>
      <c r="C407" t="s">
        <v>59</v>
      </c>
      <c r="D407" t="s">
        <v>60</v>
      </c>
      <c r="E407" t="s">
        <v>61</v>
      </c>
      <c r="F407" t="s">
        <v>62</v>
      </c>
      <c r="G407" t="s">
        <v>35</v>
      </c>
      <c r="H407" t="s">
        <v>38</v>
      </c>
      <c r="I407">
        <v>2307</v>
      </c>
    </row>
    <row r="408" spans="1:9" ht="14.5" x14ac:dyDescent="0.35">
      <c r="A408">
        <v>1</v>
      </c>
      <c r="B408" t="s">
        <v>42</v>
      </c>
      <c r="C408" t="s">
        <v>59</v>
      </c>
      <c r="D408" t="s">
        <v>60</v>
      </c>
      <c r="E408" t="s">
        <v>61</v>
      </c>
      <c r="F408" t="s">
        <v>65</v>
      </c>
      <c r="G408" t="s">
        <v>35</v>
      </c>
      <c r="H408" t="s">
        <v>36</v>
      </c>
      <c r="I408">
        <v>2673</v>
      </c>
    </row>
    <row r="409" spans="1:9" ht="14.5" x14ac:dyDescent="0.35">
      <c r="A409">
        <v>1</v>
      </c>
      <c r="B409" t="s">
        <v>42</v>
      </c>
      <c r="C409" t="s">
        <v>59</v>
      </c>
      <c r="D409" t="s">
        <v>60</v>
      </c>
      <c r="E409" t="s">
        <v>61</v>
      </c>
      <c r="F409" t="s">
        <v>65</v>
      </c>
      <c r="G409" t="s">
        <v>35</v>
      </c>
      <c r="H409" t="s">
        <v>38</v>
      </c>
      <c r="I409">
        <v>4934</v>
      </c>
    </row>
    <row r="410" spans="1:9" ht="14.5" x14ac:dyDescent="0.35">
      <c r="A410">
        <v>2</v>
      </c>
      <c r="B410" t="s">
        <v>43</v>
      </c>
      <c r="C410" t="s">
        <v>59</v>
      </c>
      <c r="D410" t="s">
        <v>60</v>
      </c>
      <c r="E410" t="s">
        <v>61</v>
      </c>
      <c r="F410" t="s">
        <v>63</v>
      </c>
      <c r="G410" t="s">
        <v>35</v>
      </c>
      <c r="H410" t="s">
        <v>36</v>
      </c>
      <c r="I410">
        <v>3599</v>
      </c>
    </row>
    <row r="411" spans="1:9" ht="14.5" x14ac:dyDescent="0.35">
      <c r="A411">
        <v>2</v>
      </c>
      <c r="B411" t="s">
        <v>43</v>
      </c>
      <c r="C411" t="s">
        <v>59</v>
      </c>
      <c r="D411" t="s">
        <v>60</v>
      </c>
      <c r="E411" t="s">
        <v>61</v>
      </c>
      <c r="F411" t="s">
        <v>63</v>
      </c>
      <c r="G411" t="s">
        <v>35</v>
      </c>
      <c r="H411" t="s">
        <v>38</v>
      </c>
      <c r="I411">
        <v>1368</v>
      </c>
    </row>
    <row r="412" spans="1:9" ht="14.5" x14ac:dyDescent="0.35">
      <c r="A412">
        <v>2</v>
      </c>
      <c r="B412" t="s">
        <v>43</v>
      </c>
      <c r="C412" t="s">
        <v>59</v>
      </c>
      <c r="D412" t="s">
        <v>60</v>
      </c>
      <c r="E412" t="s">
        <v>61</v>
      </c>
      <c r="F412" t="s">
        <v>64</v>
      </c>
      <c r="G412" t="s">
        <v>35</v>
      </c>
      <c r="H412" t="s">
        <v>36</v>
      </c>
      <c r="I412">
        <v>2430</v>
      </c>
    </row>
    <row r="413" spans="1:9" ht="14.5" x14ac:dyDescent="0.35">
      <c r="A413">
        <v>2</v>
      </c>
      <c r="B413" t="s">
        <v>43</v>
      </c>
      <c r="C413" t="s">
        <v>59</v>
      </c>
      <c r="D413" t="s">
        <v>60</v>
      </c>
      <c r="E413" t="s">
        <v>61</v>
      </c>
      <c r="F413" t="s">
        <v>64</v>
      </c>
      <c r="G413" t="s">
        <v>35</v>
      </c>
      <c r="H413" t="s">
        <v>38</v>
      </c>
      <c r="I413">
        <v>1970</v>
      </c>
    </row>
    <row r="414" spans="1:9" ht="14.5" x14ac:dyDescent="0.35">
      <c r="A414">
        <v>2</v>
      </c>
      <c r="B414" t="s">
        <v>43</v>
      </c>
      <c r="C414" t="s">
        <v>59</v>
      </c>
      <c r="D414" t="s">
        <v>60</v>
      </c>
      <c r="E414" t="s">
        <v>61</v>
      </c>
      <c r="F414" t="s">
        <v>62</v>
      </c>
      <c r="G414" t="s">
        <v>35</v>
      </c>
      <c r="H414" t="s">
        <v>36</v>
      </c>
      <c r="I414">
        <v>4782</v>
      </c>
    </row>
    <row r="415" spans="1:9" ht="14.5" x14ac:dyDescent="0.35">
      <c r="A415">
        <v>2</v>
      </c>
      <c r="B415" t="s">
        <v>43</v>
      </c>
      <c r="C415" t="s">
        <v>59</v>
      </c>
      <c r="D415" t="s">
        <v>60</v>
      </c>
      <c r="E415" t="s">
        <v>61</v>
      </c>
      <c r="F415" t="s">
        <v>62</v>
      </c>
      <c r="G415" t="s">
        <v>35</v>
      </c>
      <c r="H415" t="s">
        <v>38</v>
      </c>
      <c r="I415">
        <v>3799</v>
      </c>
    </row>
    <row r="416" spans="1:9" ht="14.5" x14ac:dyDescent="0.35">
      <c r="A416">
        <v>2</v>
      </c>
      <c r="B416" t="s">
        <v>43</v>
      </c>
      <c r="C416" t="s">
        <v>59</v>
      </c>
      <c r="D416" t="s">
        <v>60</v>
      </c>
      <c r="E416" t="s">
        <v>61</v>
      </c>
      <c r="F416" t="s">
        <v>65</v>
      </c>
      <c r="G416" t="s">
        <v>35</v>
      </c>
      <c r="H416" t="s">
        <v>36</v>
      </c>
      <c r="I416">
        <v>2349</v>
      </c>
    </row>
    <row r="417" spans="1:9" ht="14.5" x14ac:dyDescent="0.35">
      <c r="A417">
        <v>2</v>
      </c>
      <c r="B417" t="s">
        <v>43</v>
      </c>
      <c r="C417" t="s">
        <v>59</v>
      </c>
      <c r="D417" t="s">
        <v>60</v>
      </c>
      <c r="E417" t="s">
        <v>61</v>
      </c>
      <c r="F417" t="s">
        <v>65</v>
      </c>
      <c r="G417" t="s">
        <v>35</v>
      </c>
      <c r="H417" t="s">
        <v>38</v>
      </c>
      <c r="I417">
        <v>3738</v>
      </c>
    </row>
    <row r="418" spans="1:9" ht="14.5" x14ac:dyDescent="0.35">
      <c r="A418">
        <v>2</v>
      </c>
      <c r="B418" t="s">
        <v>44</v>
      </c>
      <c r="C418" t="s">
        <v>59</v>
      </c>
      <c r="D418" t="s">
        <v>60</v>
      </c>
      <c r="E418" t="s">
        <v>61</v>
      </c>
      <c r="F418" t="s">
        <v>63</v>
      </c>
      <c r="G418" t="s">
        <v>35</v>
      </c>
      <c r="H418" t="s">
        <v>36</v>
      </c>
      <c r="I418">
        <v>4733</v>
      </c>
    </row>
    <row r="419" spans="1:9" ht="14.5" x14ac:dyDescent="0.35">
      <c r="A419">
        <v>2</v>
      </c>
      <c r="B419" t="s">
        <v>44</v>
      </c>
      <c r="C419" t="s">
        <v>59</v>
      </c>
      <c r="D419" t="s">
        <v>60</v>
      </c>
      <c r="E419" t="s">
        <v>61</v>
      </c>
      <c r="F419" t="s">
        <v>63</v>
      </c>
      <c r="G419" t="s">
        <v>35</v>
      </c>
      <c r="H419" t="s">
        <v>38</v>
      </c>
      <c r="I419">
        <v>2500</v>
      </c>
    </row>
    <row r="420" spans="1:9" ht="14.5" x14ac:dyDescent="0.35">
      <c r="A420">
        <v>2</v>
      </c>
      <c r="B420" t="s">
        <v>44</v>
      </c>
      <c r="C420" t="s">
        <v>59</v>
      </c>
      <c r="D420" t="s">
        <v>60</v>
      </c>
      <c r="E420" t="s">
        <v>61</v>
      </c>
      <c r="F420" t="s">
        <v>64</v>
      </c>
      <c r="G420" t="s">
        <v>35</v>
      </c>
      <c r="H420" t="s">
        <v>36</v>
      </c>
      <c r="I420">
        <v>1062</v>
      </c>
    </row>
    <row r="421" spans="1:9" ht="14.5" x14ac:dyDescent="0.35">
      <c r="A421">
        <v>2</v>
      </c>
      <c r="B421" t="s">
        <v>44</v>
      </c>
      <c r="C421" t="s">
        <v>59</v>
      </c>
      <c r="D421" t="s">
        <v>60</v>
      </c>
      <c r="E421" t="s">
        <v>61</v>
      </c>
      <c r="F421" t="s">
        <v>64</v>
      </c>
      <c r="G421" t="s">
        <v>35</v>
      </c>
      <c r="H421" t="s">
        <v>38</v>
      </c>
      <c r="I421">
        <v>4658</v>
      </c>
    </row>
    <row r="422" spans="1:9" ht="14.5" x14ac:dyDescent="0.35">
      <c r="A422">
        <v>2</v>
      </c>
      <c r="B422" t="s">
        <v>44</v>
      </c>
      <c r="C422" t="s">
        <v>59</v>
      </c>
      <c r="D422" t="s">
        <v>60</v>
      </c>
      <c r="E422" t="s">
        <v>61</v>
      </c>
      <c r="F422" t="s">
        <v>62</v>
      </c>
      <c r="G422" t="s">
        <v>35</v>
      </c>
      <c r="H422" t="s">
        <v>36</v>
      </c>
      <c r="I422">
        <v>1240</v>
      </c>
    </row>
    <row r="423" spans="1:9" ht="14.5" x14ac:dyDescent="0.35">
      <c r="A423">
        <v>2</v>
      </c>
      <c r="B423" t="s">
        <v>44</v>
      </c>
      <c r="C423" t="s">
        <v>59</v>
      </c>
      <c r="D423" t="s">
        <v>60</v>
      </c>
      <c r="E423" t="s">
        <v>61</v>
      </c>
      <c r="F423" t="s">
        <v>62</v>
      </c>
      <c r="G423" t="s">
        <v>35</v>
      </c>
      <c r="H423" t="s">
        <v>38</v>
      </c>
      <c r="I423">
        <v>3215</v>
      </c>
    </row>
    <row r="424" spans="1:9" ht="14.5" x14ac:dyDescent="0.35">
      <c r="A424">
        <v>2</v>
      </c>
      <c r="B424" t="s">
        <v>44</v>
      </c>
      <c r="C424" t="s">
        <v>59</v>
      </c>
      <c r="D424" t="s">
        <v>60</v>
      </c>
      <c r="E424" t="s">
        <v>61</v>
      </c>
      <c r="F424" t="s">
        <v>65</v>
      </c>
      <c r="G424" t="s">
        <v>35</v>
      </c>
      <c r="H424" t="s">
        <v>36</v>
      </c>
      <c r="I424">
        <v>2280</v>
      </c>
    </row>
    <row r="425" spans="1:9" ht="14.5" x14ac:dyDescent="0.35">
      <c r="A425">
        <v>2</v>
      </c>
      <c r="B425" t="s">
        <v>44</v>
      </c>
      <c r="C425" t="s">
        <v>59</v>
      </c>
      <c r="D425" t="s">
        <v>60</v>
      </c>
      <c r="E425" t="s">
        <v>61</v>
      </c>
      <c r="F425" t="s">
        <v>65</v>
      </c>
      <c r="G425" t="s">
        <v>35</v>
      </c>
      <c r="H425" t="s">
        <v>38</v>
      </c>
      <c r="I425">
        <v>4612</v>
      </c>
    </row>
    <row r="426" spans="1:9" ht="14.5" x14ac:dyDescent="0.35">
      <c r="A426">
        <v>2</v>
      </c>
      <c r="B426" t="s">
        <v>45</v>
      </c>
      <c r="C426" t="s">
        <v>59</v>
      </c>
      <c r="D426" t="s">
        <v>60</v>
      </c>
      <c r="E426" t="s">
        <v>61</v>
      </c>
      <c r="F426" t="s">
        <v>63</v>
      </c>
      <c r="G426" t="s">
        <v>35</v>
      </c>
      <c r="H426" t="s">
        <v>36</v>
      </c>
      <c r="I426">
        <v>1043</v>
      </c>
    </row>
    <row r="427" spans="1:9" ht="14.5" x14ac:dyDescent="0.35">
      <c r="A427">
        <v>2</v>
      </c>
      <c r="B427" t="s">
        <v>45</v>
      </c>
      <c r="C427" t="s">
        <v>59</v>
      </c>
      <c r="D427" t="s">
        <v>60</v>
      </c>
      <c r="E427" t="s">
        <v>61</v>
      </c>
      <c r="F427" t="s">
        <v>63</v>
      </c>
      <c r="G427" t="s">
        <v>35</v>
      </c>
      <c r="H427" t="s">
        <v>38</v>
      </c>
      <c r="I427">
        <v>4072</v>
      </c>
    </row>
    <row r="428" spans="1:9" ht="14.5" x14ac:dyDescent="0.35">
      <c r="A428">
        <v>2</v>
      </c>
      <c r="B428" t="s">
        <v>45</v>
      </c>
      <c r="C428" t="s">
        <v>59</v>
      </c>
      <c r="D428" t="s">
        <v>60</v>
      </c>
      <c r="E428" t="s">
        <v>61</v>
      </c>
      <c r="F428" t="s">
        <v>64</v>
      </c>
      <c r="G428" t="s">
        <v>35</v>
      </c>
      <c r="H428" t="s">
        <v>36</v>
      </c>
      <c r="I428">
        <v>3118</v>
      </c>
    </row>
    <row r="429" spans="1:9" ht="14.5" x14ac:dyDescent="0.35">
      <c r="A429">
        <v>2</v>
      </c>
      <c r="B429" t="s">
        <v>45</v>
      </c>
      <c r="C429" t="s">
        <v>59</v>
      </c>
      <c r="D429" t="s">
        <v>60</v>
      </c>
      <c r="E429" t="s">
        <v>61</v>
      </c>
      <c r="F429" t="s">
        <v>64</v>
      </c>
      <c r="G429" t="s">
        <v>35</v>
      </c>
      <c r="H429" t="s">
        <v>38</v>
      </c>
      <c r="I429">
        <v>4493</v>
      </c>
    </row>
    <row r="430" spans="1:9" ht="14.5" x14ac:dyDescent="0.35">
      <c r="A430">
        <v>2</v>
      </c>
      <c r="B430" t="s">
        <v>45</v>
      </c>
      <c r="C430" t="s">
        <v>59</v>
      </c>
      <c r="D430" t="s">
        <v>60</v>
      </c>
      <c r="E430" t="s">
        <v>61</v>
      </c>
      <c r="F430" t="s">
        <v>62</v>
      </c>
      <c r="G430" t="s">
        <v>35</v>
      </c>
      <c r="H430" t="s">
        <v>36</v>
      </c>
      <c r="I430">
        <v>2337</v>
      </c>
    </row>
    <row r="431" spans="1:9" ht="14.5" x14ac:dyDescent="0.35">
      <c r="A431">
        <v>2</v>
      </c>
      <c r="B431" t="s">
        <v>45</v>
      </c>
      <c r="C431" t="s">
        <v>59</v>
      </c>
      <c r="D431" t="s">
        <v>60</v>
      </c>
      <c r="E431" t="s">
        <v>61</v>
      </c>
      <c r="F431" t="s">
        <v>62</v>
      </c>
      <c r="G431" t="s">
        <v>35</v>
      </c>
      <c r="H431" t="s">
        <v>38</v>
      </c>
      <c r="I431">
        <v>1538</v>
      </c>
    </row>
    <row r="432" spans="1:9" ht="14.5" x14ac:dyDescent="0.35">
      <c r="A432">
        <v>2</v>
      </c>
      <c r="B432" t="s">
        <v>45</v>
      </c>
      <c r="C432" t="s">
        <v>59</v>
      </c>
      <c r="D432" t="s">
        <v>60</v>
      </c>
      <c r="E432" t="s">
        <v>61</v>
      </c>
      <c r="F432" t="s">
        <v>65</v>
      </c>
      <c r="G432" t="s">
        <v>35</v>
      </c>
      <c r="H432" t="s">
        <v>36</v>
      </c>
      <c r="I432">
        <v>2672</v>
      </c>
    </row>
    <row r="433" spans="1:9" ht="14.5" x14ac:dyDescent="0.35">
      <c r="A433">
        <v>2</v>
      </c>
      <c r="B433" t="s">
        <v>45</v>
      </c>
      <c r="C433" t="s">
        <v>59</v>
      </c>
      <c r="D433" t="s">
        <v>60</v>
      </c>
      <c r="E433" t="s">
        <v>61</v>
      </c>
      <c r="F433" t="s">
        <v>65</v>
      </c>
      <c r="G433" t="s">
        <v>35</v>
      </c>
      <c r="H433" t="s">
        <v>38</v>
      </c>
      <c r="I433">
        <v>3904</v>
      </c>
    </row>
    <row r="434" spans="1:9" ht="14.5" x14ac:dyDescent="0.35">
      <c r="A434">
        <v>3</v>
      </c>
      <c r="B434" t="s">
        <v>46</v>
      </c>
      <c r="C434" t="s">
        <v>59</v>
      </c>
      <c r="D434" t="s">
        <v>60</v>
      </c>
      <c r="E434" t="s">
        <v>61</v>
      </c>
      <c r="F434" t="s">
        <v>63</v>
      </c>
      <c r="G434" t="s">
        <v>35</v>
      </c>
      <c r="H434" t="s">
        <v>36</v>
      </c>
      <c r="I434">
        <v>3700</v>
      </c>
    </row>
    <row r="435" spans="1:9" ht="14.5" x14ac:dyDescent="0.35">
      <c r="A435">
        <v>3</v>
      </c>
      <c r="B435" t="s">
        <v>46</v>
      </c>
      <c r="C435" t="s">
        <v>59</v>
      </c>
      <c r="D435" t="s">
        <v>60</v>
      </c>
      <c r="E435" t="s">
        <v>61</v>
      </c>
      <c r="F435" t="s">
        <v>63</v>
      </c>
      <c r="G435" t="s">
        <v>35</v>
      </c>
      <c r="H435" t="s">
        <v>38</v>
      </c>
      <c r="I435">
        <v>2914</v>
      </c>
    </row>
    <row r="436" spans="1:9" ht="14.5" x14ac:dyDescent="0.35">
      <c r="A436">
        <v>3</v>
      </c>
      <c r="B436" t="s">
        <v>46</v>
      </c>
      <c r="C436" t="s">
        <v>59</v>
      </c>
      <c r="D436" t="s">
        <v>60</v>
      </c>
      <c r="E436" t="s">
        <v>61</v>
      </c>
      <c r="F436" t="s">
        <v>64</v>
      </c>
      <c r="G436" t="s">
        <v>35</v>
      </c>
      <c r="H436" t="s">
        <v>36</v>
      </c>
      <c r="I436">
        <v>3818</v>
      </c>
    </row>
    <row r="437" spans="1:9" ht="14.5" x14ac:dyDescent="0.35">
      <c r="A437">
        <v>3</v>
      </c>
      <c r="B437" t="s">
        <v>46</v>
      </c>
      <c r="C437" t="s">
        <v>59</v>
      </c>
      <c r="D437" t="s">
        <v>60</v>
      </c>
      <c r="E437" t="s">
        <v>61</v>
      </c>
      <c r="F437" t="s">
        <v>64</v>
      </c>
      <c r="G437" t="s">
        <v>35</v>
      </c>
      <c r="H437" t="s">
        <v>38</v>
      </c>
      <c r="I437">
        <v>3855</v>
      </c>
    </row>
    <row r="438" spans="1:9" ht="14.5" x14ac:dyDescent="0.35">
      <c r="A438">
        <v>3</v>
      </c>
      <c r="B438" t="s">
        <v>46</v>
      </c>
      <c r="C438" t="s">
        <v>59</v>
      </c>
      <c r="D438" t="s">
        <v>60</v>
      </c>
      <c r="E438" t="s">
        <v>61</v>
      </c>
      <c r="F438" t="s">
        <v>62</v>
      </c>
      <c r="G438" t="s">
        <v>35</v>
      </c>
      <c r="H438" t="s">
        <v>36</v>
      </c>
      <c r="I438">
        <v>4378</v>
      </c>
    </row>
    <row r="439" spans="1:9" ht="14.5" x14ac:dyDescent="0.35">
      <c r="A439">
        <v>3</v>
      </c>
      <c r="B439" t="s">
        <v>46</v>
      </c>
      <c r="C439" t="s">
        <v>59</v>
      </c>
      <c r="D439" t="s">
        <v>60</v>
      </c>
      <c r="E439" t="s">
        <v>61</v>
      </c>
      <c r="F439" t="s">
        <v>62</v>
      </c>
      <c r="G439" t="s">
        <v>35</v>
      </c>
      <c r="H439" t="s">
        <v>38</v>
      </c>
      <c r="I439">
        <v>3423</v>
      </c>
    </row>
    <row r="440" spans="1:9" ht="14.5" x14ac:dyDescent="0.35">
      <c r="A440">
        <v>3</v>
      </c>
      <c r="B440" t="s">
        <v>46</v>
      </c>
      <c r="C440" t="s">
        <v>59</v>
      </c>
      <c r="D440" t="s">
        <v>60</v>
      </c>
      <c r="E440" t="s">
        <v>61</v>
      </c>
      <c r="F440" t="s">
        <v>65</v>
      </c>
      <c r="G440" t="s">
        <v>35</v>
      </c>
      <c r="H440" t="s">
        <v>36</v>
      </c>
      <c r="I440">
        <v>1111</v>
      </c>
    </row>
    <row r="441" spans="1:9" ht="14.5" x14ac:dyDescent="0.35">
      <c r="A441">
        <v>3</v>
      </c>
      <c r="B441" t="s">
        <v>46</v>
      </c>
      <c r="C441" t="s">
        <v>59</v>
      </c>
      <c r="D441" t="s">
        <v>60</v>
      </c>
      <c r="E441" t="s">
        <v>61</v>
      </c>
      <c r="F441" t="s">
        <v>65</v>
      </c>
      <c r="G441" t="s">
        <v>35</v>
      </c>
      <c r="H441" t="s">
        <v>38</v>
      </c>
      <c r="I441">
        <v>2647</v>
      </c>
    </row>
    <row r="442" spans="1:9" ht="14.5" x14ac:dyDescent="0.35">
      <c r="A442">
        <v>3</v>
      </c>
      <c r="B442" t="s">
        <v>47</v>
      </c>
      <c r="C442" t="s">
        <v>59</v>
      </c>
      <c r="D442" t="s">
        <v>60</v>
      </c>
      <c r="E442" t="s">
        <v>61</v>
      </c>
      <c r="F442" t="s">
        <v>63</v>
      </c>
      <c r="G442" t="s">
        <v>35</v>
      </c>
      <c r="H442" t="s">
        <v>36</v>
      </c>
      <c r="I442">
        <v>1295</v>
      </c>
    </row>
    <row r="443" spans="1:9" ht="14.5" x14ac:dyDescent="0.35">
      <c r="A443">
        <v>3</v>
      </c>
      <c r="B443" t="s">
        <v>47</v>
      </c>
      <c r="C443" t="s">
        <v>59</v>
      </c>
      <c r="D443" t="s">
        <v>60</v>
      </c>
      <c r="E443" t="s">
        <v>61</v>
      </c>
      <c r="F443" t="s">
        <v>63</v>
      </c>
      <c r="G443" t="s">
        <v>35</v>
      </c>
      <c r="H443" t="s">
        <v>38</v>
      </c>
      <c r="I443">
        <v>3484</v>
      </c>
    </row>
    <row r="444" spans="1:9" ht="14.5" x14ac:dyDescent="0.35">
      <c r="A444">
        <v>3</v>
      </c>
      <c r="B444" t="s">
        <v>47</v>
      </c>
      <c r="C444" t="s">
        <v>59</v>
      </c>
      <c r="D444" t="s">
        <v>60</v>
      </c>
      <c r="E444" t="s">
        <v>61</v>
      </c>
      <c r="F444" t="s">
        <v>64</v>
      </c>
      <c r="G444" t="s">
        <v>35</v>
      </c>
      <c r="H444" t="s">
        <v>36</v>
      </c>
      <c r="I444">
        <v>2001</v>
      </c>
    </row>
    <row r="445" spans="1:9" ht="14.5" x14ac:dyDescent="0.35">
      <c r="A445">
        <v>3</v>
      </c>
      <c r="B445" t="s">
        <v>47</v>
      </c>
      <c r="C445" t="s">
        <v>59</v>
      </c>
      <c r="D445" t="s">
        <v>60</v>
      </c>
      <c r="E445" t="s">
        <v>61</v>
      </c>
      <c r="F445" t="s">
        <v>64</v>
      </c>
      <c r="G445" t="s">
        <v>35</v>
      </c>
      <c r="H445" t="s">
        <v>38</v>
      </c>
      <c r="I445">
        <v>1115</v>
      </c>
    </row>
    <row r="446" spans="1:9" ht="14.5" x14ac:dyDescent="0.35">
      <c r="A446">
        <v>3</v>
      </c>
      <c r="B446" t="s">
        <v>47</v>
      </c>
      <c r="C446" t="s">
        <v>59</v>
      </c>
      <c r="D446" t="s">
        <v>60</v>
      </c>
      <c r="E446" t="s">
        <v>61</v>
      </c>
      <c r="F446" t="s">
        <v>62</v>
      </c>
      <c r="G446" t="s">
        <v>35</v>
      </c>
      <c r="H446" t="s">
        <v>36</v>
      </c>
      <c r="I446">
        <v>4960</v>
      </c>
    </row>
    <row r="447" spans="1:9" ht="14.5" x14ac:dyDescent="0.35">
      <c r="A447">
        <v>3</v>
      </c>
      <c r="B447" t="s">
        <v>47</v>
      </c>
      <c r="C447" t="s">
        <v>59</v>
      </c>
      <c r="D447" t="s">
        <v>60</v>
      </c>
      <c r="E447" t="s">
        <v>61</v>
      </c>
      <c r="F447" t="s">
        <v>62</v>
      </c>
      <c r="G447" t="s">
        <v>35</v>
      </c>
      <c r="H447" t="s">
        <v>38</v>
      </c>
      <c r="I447">
        <v>1494</v>
      </c>
    </row>
    <row r="448" spans="1:9" ht="14.5" x14ac:dyDescent="0.35">
      <c r="A448">
        <v>3</v>
      </c>
      <c r="B448" t="s">
        <v>47</v>
      </c>
      <c r="C448" t="s">
        <v>59</v>
      </c>
      <c r="D448" t="s">
        <v>60</v>
      </c>
      <c r="E448" t="s">
        <v>61</v>
      </c>
      <c r="F448" t="s">
        <v>65</v>
      </c>
      <c r="G448" t="s">
        <v>35</v>
      </c>
      <c r="H448" t="s">
        <v>36</v>
      </c>
      <c r="I448">
        <v>4677</v>
      </c>
    </row>
    <row r="449" spans="1:9" ht="14.5" x14ac:dyDescent="0.35">
      <c r="A449">
        <v>3</v>
      </c>
      <c r="B449" t="s">
        <v>47</v>
      </c>
      <c r="C449" t="s">
        <v>59</v>
      </c>
      <c r="D449" t="s">
        <v>60</v>
      </c>
      <c r="E449" t="s">
        <v>61</v>
      </c>
      <c r="F449" t="s">
        <v>65</v>
      </c>
      <c r="G449" t="s">
        <v>35</v>
      </c>
      <c r="H449" t="s">
        <v>38</v>
      </c>
      <c r="I449">
        <v>4871</v>
      </c>
    </row>
    <row r="450" spans="1:9" ht="14.5" x14ac:dyDescent="0.35">
      <c r="A450">
        <v>3</v>
      </c>
      <c r="B450" t="s">
        <v>48</v>
      </c>
      <c r="C450" t="s">
        <v>59</v>
      </c>
      <c r="D450" t="s">
        <v>60</v>
      </c>
      <c r="E450" t="s">
        <v>61</v>
      </c>
      <c r="F450" t="s">
        <v>63</v>
      </c>
      <c r="G450" t="s">
        <v>35</v>
      </c>
      <c r="H450" t="s">
        <v>36</v>
      </c>
      <c r="I450">
        <v>1362</v>
      </c>
    </row>
    <row r="451" spans="1:9" ht="14.5" x14ac:dyDescent="0.35">
      <c r="A451">
        <v>3</v>
      </c>
      <c r="B451" t="s">
        <v>48</v>
      </c>
      <c r="C451" t="s">
        <v>59</v>
      </c>
      <c r="D451" t="s">
        <v>60</v>
      </c>
      <c r="E451" t="s">
        <v>61</v>
      </c>
      <c r="F451" t="s">
        <v>63</v>
      </c>
      <c r="G451" t="s">
        <v>35</v>
      </c>
      <c r="H451" t="s">
        <v>38</v>
      </c>
      <c r="I451">
        <v>4263</v>
      </c>
    </row>
    <row r="452" spans="1:9" ht="14.5" x14ac:dyDescent="0.35">
      <c r="A452">
        <v>3</v>
      </c>
      <c r="B452" t="s">
        <v>48</v>
      </c>
      <c r="C452" t="s">
        <v>59</v>
      </c>
      <c r="D452" t="s">
        <v>60</v>
      </c>
      <c r="E452" t="s">
        <v>61</v>
      </c>
      <c r="F452" t="s">
        <v>64</v>
      </c>
      <c r="G452" t="s">
        <v>35</v>
      </c>
      <c r="H452" t="s">
        <v>36</v>
      </c>
      <c r="I452">
        <v>4603</v>
      </c>
    </row>
    <row r="453" spans="1:9" ht="14.5" x14ac:dyDescent="0.35">
      <c r="A453">
        <v>3</v>
      </c>
      <c r="B453" t="s">
        <v>48</v>
      </c>
      <c r="C453" t="s">
        <v>59</v>
      </c>
      <c r="D453" t="s">
        <v>60</v>
      </c>
      <c r="E453" t="s">
        <v>61</v>
      </c>
      <c r="F453" t="s">
        <v>64</v>
      </c>
      <c r="G453" t="s">
        <v>35</v>
      </c>
      <c r="H453" t="s">
        <v>38</v>
      </c>
      <c r="I453">
        <v>3139</v>
      </c>
    </row>
    <row r="454" spans="1:9" ht="14.5" x14ac:dyDescent="0.35">
      <c r="A454">
        <v>3</v>
      </c>
      <c r="B454" t="s">
        <v>48</v>
      </c>
      <c r="C454" t="s">
        <v>59</v>
      </c>
      <c r="D454" t="s">
        <v>60</v>
      </c>
      <c r="E454" t="s">
        <v>61</v>
      </c>
      <c r="F454" t="s">
        <v>62</v>
      </c>
      <c r="G454" t="s">
        <v>35</v>
      </c>
      <c r="H454" t="s">
        <v>36</v>
      </c>
      <c r="I454">
        <v>3128</v>
      </c>
    </row>
    <row r="455" spans="1:9" ht="14.5" x14ac:dyDescent="0.35">
      <c r="A455">
        <v>3</v>
      </c>
      <c r="B455" t="s">
        <v>48</v>
      </c>
      <c r="C455" t="s">
        <v>59</v>
      </c>
      <c r="D455" t="s">
        <v>60</v>
      </c>
      <c r="E455" t="s">
        <v>61</v>
      </c>
      <c r="F455" t="s">
        <v>62</v>
      </c>
      <c r="G455" t="s">
        <v>35</v>
      </c>
      <c r="H455" t="s">
        <v>38</v>
      </c>
      <c r="I455">
        <v>3120</v>
      </c>
    </row>
    <row r="456" spans="1:9" ht="14.5" x14ac:dyDescent="0.35">
      <c r="A456">
        <v>3</v>
      </c>
      <c r="B456" t="s">
        <v>48</v>
      </c>
      <c r="C456" t="s">
        <v>59</v>
      </c>
      <c r="D456" t="s">
        <v>60</v>
      </c>
      <c r="E456" t="s">
        <v>61</v>
      </c>
      <c r="F456" t="s">
        <v>65</v>
      </c>
      <c r="G456" t="s">
        <v>35</v>
      </c>
      <c r="H456" t="s">
        <v>36</v>
      </c>
      <c r="I456">
        <v>4726</v>
      </c>
    </row>
    <row r="457" spans="1:9" ht="14.5" x14ac:dyDescent="0.35">
      <c r="A457">
        <v>3</v>
      </c>
      <c r="B457" t="s">
        <v>48</v>
      </c>
      <c r="C457" t="s">
        <v>59</v>
      </c>
      <c r="D457" t="s">
        <v>60</v>
      </c>
      <c r="E457" t="s">
        <v>61</v>
      </c>
      <c r="F457" t="s">
        <v>65</v>
      </c>
      <c r="G457" t="s">
        <v>35</v>
      </c>
      <c r="H457" t="s">
        <v>38</v>
      </c>
      <c r="I457">
        <v>1383</v>
      </c>
    </row>
    <row r="458" spans="1:9" ht="14.5" x14ac:dyDescent="0.35">
      <c r="A458">
        <v>4</v>
      </c>
      <c r="B458" t="s">
        <v>49</v>
      </c>
      <c r="C458" t="s">
        <v>59</v>
      </c>
      <c r="D458" t="s">
        <v>60</v>
      </c>
      <c r="E458" t="s">
        <v>61</v>
      </c>
      <c r="F458" t="s">
        <v>63</v>
      </c>
      <c r="G458" t="s">
        <v>35</v>
      </c>
      <c r="H458" t="s">
        <v>36</v>
      </c>
      <c r="I458">
        <v>4515</v>
      </c>
    </row>
    <row r="459" spans="1:9" ht="14.5" x14ac:dyDescent="0.35">
      <c r="A459">
        <v>4</v>
      </c>
      <c r="B459" t="s">
        <v>49</v>
      </c>
      <c r="C459" t="s">
        <v>59</v>
      </c>
      <c r="D459" t="s">
        <v>60</v>
      </c>
      <c r="E459" t="s">
        <v>61</v>
      </c>
      <c r="F459" t="s">
        <v>63</v>
      </c>
      <c r="G459" t="s">
        <v>35</v>
      </c>
      <c r="H459" t="s">
        <v>38</v>
      </c>
      <c r="I459">
        <v>2666</v>
      </c>
    </row>
    <row r="460" spans="1:9" ht="14.5" x14ac:dyDescent="0.35">
      <c r="A460">
        <v>4</v>
      </c>
      <c r="B460" t="s">
        <v>49</v>
      </c>
      <c r="C460" t="s">
        <v>59</v>
      </c>
      <c r="D460" t="s">
        <v>60</v>
      </c>
      <c r="E460" t="s">
        <v>61</v>
      </c>
      <c r="F460" t="s">
        <v>64</v>
      </c>
      <c r="G460" t="s">
        <v>35</v>
      </c>
      <c r="H460" t="s">
        <v>36</v>
      </c>
      <c r="I460">
        <v>1343</v>
      </c>
    </row>
    <row r="461" spans="1:9" ht="14.5" x14ac:dyDescent="0.35">
      <c r="A461">
        <v>4</v>
      </c>
      <c r="B461" t="s">
        <v>49</v>
      </c>
      <c r="C461" t="s">
        <v>59</v>
      </c>
      <c r="D461" t="s">
        <v>60</v>
      </c>
      <c r="E461" t="s">
        <v>61</v>
      </c>
      <c r="F461" t="s">
        <v>64</v>
      </c>
      <c r="G461" t="s">
        <v>35</v>
      </c>
      <c r="H461" t="s">
        <v>38</v>
      </c>
      <c r="I461">
        <v>1522</v>
      </c>
    </row>
    <row r="462" spans="1:9" ht="14.5" x14ac:dyDescent="0.35">
      <c r="A462">
        <v>4</v>
      </c>
      <c r="B462" t="s">
        <v>49</v>
      </c>
      <c r="C462" t="s">
        <v>59</v>
      </c>
      <c r="D462" t="s">
        <v>60</v>
      </c>
      <c r="E462" t="s">
        <v>61</v>
      </c>
      <c r="F462" t="s">
        <v>62</v>
      </c>
      <c r="G462" t="s">
        <v>35</v>
      </c>
      <c r="H462" t="s">
        <v>36</v>
      </c>
      <c r="I462">
        <v>2919</v>
      </c>
    </row>
    <row r="463" spans="1:9" ht="14.5" x14ac:dyDescent="0.35">
      <c r="A463">
        <v>4</v>
      </c>
      <c r="B463" t="s">
        <v>49</v>
      </c>
      <c r="C463" t="s">
        <v>59</v>
      </c>
      <c r="D463" t="s">
        <v>60</v>
      </c>
      <c r="E463" t="s">
        <v>61</v>
      </c>
      <c r="F463" t="s">
        <v>62</v>
      </c>
      <c r="G463" t="s">
        <v>35</v>
      </c>
      <c r="H463" t="s">
        <v>38</v>
      </c>
      <c r="I463">
        <v>1996</v>
      </c>
    </row>
    <row r="464" spans="1:9" ht="14.5" x14ac:dyDescent="0.35">
      <c r="A464">
        <v>4</v>
      </c>
      <c r="B464" t="s">
        <v>49</v>
      </c>
      <c r="C464" t="s">
        <v>59</v>
      </c>
      <c r="D464" t="s">
        <v>60</v>
      </c>
      <c r="E464" t="s">
        <v>61</v>
      </c>
      <c r="F464" t="s">
        <v>65</v>
      </c>
      <c r="G464" t="s">
        <v>35</v>
      </c>
      <c r="H464" t="s">
        <v>36</v>
      </c>
      <c r="I464">
        <v>1611</v>
      </c>
    </row>
    <row r="465" spans="1:9" ht="14.5" x14ac:dyDescent="0.35">
      <c r="A465">
        <v>4</v>
      </c>
      <c r="B465" t="s">
        <v>49</v>
      </c>
      <c r="C465" t="s">
        <v>59</v>
      </c>
      <c r="D465" t="s">
        <v>60</v>
      </c>
      <c r="E465" t="s">
        <v>61</v>
      </c>
      <c r="F465" t="s">
        <v>65</v>
      </c>
      <c r="G465" t="s">
        <v>35</v>
      </c>
      <c r="H465" t="s">
        <v>38</v>
      </c>
      <c r="I465">
        <v>2121</v>
      </c>
    </row>
    <row r="466" spans="1:9" ht="14.5" x14ac:dyDescent="0.35">
      <c r="A466">
        <v>4</v>
      </c>
      <c r="B466" t="s">
        <v>50</v>
      </c>
      <c r="C466" t="s">
        <v>59</v>
      </c>
      <c r="D466" t="s">
        <v>60</v>
      </c>
      <c r="E466" t="s">
        <v>61</v>
      </c>
      <c r="F466" t="s">
        <v>63</v>
      </c>
      <c r="G466" t="s">
        <v>35</v>
      </c>
      <c r="H466" t="s">
        <v>36</v>
      </c>
      <c r="I466">
        <v>3479</v>
      </c>
    </row>
    <row r="467" spans="1:9" ht="14.5" x14ac:dyDescent="0.35">
      <c r="A467">
        <v>4</v>
      </c>
      <c r="B467" t="s">
        <v>50</v>
      </c>
      <c r="C467" t="s">
        <v>59</v>
      </c>
      <c r="D467" t="s">
        <v>60</v>
      </c>
      <c r="E467" t="s">
        <v>61</v>
      </c>
      <c r="F467" t="s">
        <v>63</v>
      </c>
      <c r="G467" t="s">
        <v>35</v>
      </c>
      <c r="H467" t="s">
        <v>38</v>
      </c>
      <c r="I467">
        <v>4670</v>
      </c>
    </row>
    <row r="468" spans="1:9" ht="14.5" x14ac:dyDescent="0.35">
      <c r="A468">
        <v>4</v>
      </c>
      <c r="B468" t="s">
        <v>50</v>
      </c>
      <c r="C468" t="s">
        <v>59</v>
      </c>
      <c r="D468" t="s">
        <v>60</v>
      </c>
      <c r="E468" t="s">
        <v>61</v>
      </c>
      <c r="F468" t="s">
        <v>64</v>
      </c>
      <c r="G468" t="s">
        <v>35</v>
      </c>
      <c r="H468" t="s">
        <v>36</v>
      </c>
      <c r="I468">
        <v>2387</v>
      </c>
    </row>
    <row r="469" spans="1:9" ht="14.5" x14ac:dyDescent="0.35">
      <c r="A469">
        <v>4</v>
      </c>
      <c r="B469" t="s">
        <v>50</v>
      </c>
      <c r="C469" t="s">
        <v>59</v>
      </c>
      <c r="D469" t="s">
        <v>60</v>
      </c>
      <c r="E469" t="s">
        <v>61</v>
      </c>
      <c r="F469" t="s">
        <v>64</v>
      </c>
      <c r="G469" t="s">
        <v>35</v>
      </c>
      <c r="H469" t="s">
        <v>38</v>
      </c>
      <c r="I469">
        <v>3728</v>
      </c>
    </row>
    <row r="470" spans="1:9" ht="14.5" x14ac:dyDescent="0.35">
      <c r="A470">
        <v>4</v>
      </c>
      <c r="B470" t="s">
        <v>50</v>
      </c>
      <c r="C470" t="s">
        <v>59</v>
      </c>
      <c r="D470" t="s">
        <v>60</v>
      </c>
      <c r="E470" t="s">
        <v>61</v>
      </c>
      <c r="F470" t="s">
        <v>62</v>
      </c>
      <c r="G470" t="s">
        <v>35</v>
      </c>
      <c r="H470" t="s">
        <v>36</v>
      </c>
      <c r="I470">
        <v>3932</v>
      </c>
    </row>
    <row r="471" spans="1:9" ht="14.5" x14ac:dyDescent="0.35">
      <c r="A471">
        <v>4</v>
      </c>
      <c r="B471" t="s">
        <v>50</v>
      </c>
      <c r="C471" t="s">
        <v>59</v>
      </c>
      <c r="D471" t="s">
        <v>60</v>
      </c>
      <c r="E471" t="s">
        <v>61</v>
      </c>
      <c r="F471" t="s">
        <v>62</v>
      </c>
      <c r="G471" t="s">
        <v>35</v>
      </c>
      <c r="H471" t="s">
        <v>38</v>
      </c>
      <c r="I471">
        <v>4138</v>
      </c>
    </row>
    <row r="472" spans="1:9" ht="14.5" x14ac:dyDescent="0.35">
      <c r="A472">
        <v>4</v>
      </c>
      <c r="B472" t="s">
        <v>50</v>
      </c>
      <c r="C472" t="s">
        <v>59</v>
      </c>
      <c r="D472" t="s">
        <v>60</v>
      </c>
      <c r="E472" t="s">
        <v>61</v>
      </c>
      <c r="F472" t="s">
        <v>65</v>
      </c>
      <c r="G472" t="s">
        <v>35</v>
      </c>
      <c r="H472" t="s">
        <v>36</v>
      </c>
      <c r="I472">
        <v>2899</v>
      </c>
    </row>
    <row r="473" spans="1:9" ht="14.5" x14ac:dyDescent="0.35">
      <c r="A473">
        <v>4</v>
      </c>
      <c r="B473" t="s">
        <v>50</v>
      </c>
      <c r="C473" t="s">
        <v>59</v>
      </c>
      <c r="D473" t="s">
        <v>60</v>
      </c>
      <c r="E473" t="s">
        <v>61</v>
      </c>
      <c r="F473" t="s">
        <v>65</v>
      </c>
      <c r="G473" t="s">
        <v>35</v>
      </c>
      <c r="H473" t="s">
        <v>38</v>
      </c>
      <c r="I473">
        <v>3893</v>
      </c>
    </row>
    <row r="474" spans="1:9" ht="14.5" x14ac:dyDescent="0.35">
      <c r="A474">
        <v>4</v>
      </c>
      <c r="B474" t="s">
        <v>51</v>
      </c>
      <c r="C474" t="s">
        <v>59</v>
      </c>
      <c r="D474" t="s">
        <v>60</v>
      </c>
      <c r="E474" t="s">
        <v>61</v>
      </c>
      <c r="F474" t="s">
        <v>63</v>
      </c>
      <c r="G474" t="s">
        <v>35</v>
      </c>
      <c r="H474" t="s">
        <v>36</v>
      </c>
      <c r="I474">
        <v>3893</v>
      </c>
    </row>
    <row r="475" spans="1:9" ht="14.5" x14ac:dyDescent="0.35">
      <c r="A475">
        <v>4</v>
      </c>
      <c r="B475" t="s">
        <v>51</v>
      </c>
      <c r="C475" t="s">
        <v>59</v>
      </c>
      <c r="D475" t="s">
        <v>60</v>
      </c>
      <c r="E475" t="s">
        <v>61</v>
      </c>
      <c r="F475" t="s">
        <v>63</v>
      </c>
      <c r="G475" t="s">
        <v>35</v>
      </c>
      <c r="H475" t="s">
        <v>38</v>
      </c>
      <c r="I475">
        <v>1761</v>
      </c>
    </row>
    <row r="476" spans="1:9" ht="14.5" x14ac:dyDescent="0.35">
      <c r="A476">
        <v>4</v>
      </c>
      <c r="B476" t="s">
        <v>51</v>
      </c>
      <c r="C476" t="s">
        <v>59</v>
      </c>
      <c r="D476" t="s">
        <v>60</v>
      </c>
      <c r="E476" t="s">
        <v>61</v>
      </c>
      <c r="F476" t="s">
        <v>64</v>
      </c>
      <c r="G476" t="s">
        <v>35</v>
      </c>
      <c r="H476" t="s">
        <v>36</v>
      </c>
      <c r="I476">
        <v>1653</v>
      </c>
    </row>
    <row r="477" spans="1:9" ht="14.5" x14ac:dyDescent="0.35">
      <c r="A477">
        <v>4</v>
      </c>
      <c r="B477" t="s">
        <v>51</v>
      </c>
      <c r="C477" t="s">
        <v>59</v>
      </c>
      <c r="D477" t="s">
        <v>60</v>
      </c>
      <c r="E477" t="s">
        <v>61</v>
      </c>
      <c r="F477" t="s">
        <v>64</v>
      </c>
      <c r="G477" t="s">
        <v>35</v>
      </c>
      <c r="H477" t="s">
        <v>38</v>
      </c>
      <c r="I477">
        <v>4870</v>
      </c>
    </row>
    <row r="478" spans="1:9" ht="14.5" x14ac:dyDescent="0.35">
      <c r="A478">
        <v>4</v>
      </c>
      <c r="B478" t="s">
        <v>51</v>
      </c>
      <c r="C478" t="s">
        <v>59</v>
      </c>
      <c r="D478" t="s">
        <v>60</v>
      </c>
      <c r="E478" t="s">
        <v>61</v>
      </c>
      <c r="F478" t="s">
        <v>62</v>
      </c>
      <c r="G478" t="s">
        <v>35</v>
      </c>
      <c r="H478" t="s">
        <v>36</v>
      </c>
      <c r="I478">
        <v>3661</v>
      </c>
    </row>
    <row r="479" spans="1:9" ht="14.5" x14ac:dyDescent="0.35">
      <c r="A479">
        <v>4</v>
      </c>
      <c r="B479" t="s">
        <v>51</v>
      </c>
      <c r="C479" t="s">
        <v>59</v>
      </c>
      <c r="D479" t="s">
        <v>60</v>
      </c>
      <c r="E479" t="s">
        <v>61</v>
      </c>
      <c r="F479" t="s">
        <v>62</v>
      </c>
      <c r="G479" t="s">
        <v>35</v>
      </c>
      <c r="H479" t="s">
        <v>38</v>
      </c>
      <c r="I479">
        <v>4519</v>
      </c>
    </row>
    <row r="480" spans="1:9" ht="14.5" x14ac:dyDescent="0.35">
      <c r="A480">
        <v>4</v>
      </c>
      <c r="B480" t="s">
        <v>51</v>
      </c>
      <c r="C480" t="s">
        <v>59</v>
      </c>
      <c r="D480" t="s">
        <v>60</v>
      </c>
      <c r="E480" t="s">
        <v>61</v>
      </c>
      <c r="F480" t="s">
        <v>65</v>
      </c>
      <c r="G480" t="s">
        <v>35</v>
      </c>
      <c r="H480" t="s">
        <v>36</v>
      </c>
      <c r="I480">
        <v>4402</v>
      </c>
    </row>
    <row r="481" spans="1:9" ht="14.5" x14ac:dyDescent="0.35">
      <c r="A481">
        <v>4</v>
      </c>
      <c r="B481" t="s">
        <v>51</v>
      </c>
      <c r="C481" t="s">
        <v>59</v>
      </c>
      <c r="D481" t="s">
        <v>60</v>
      </c>
      <c r="E481" t="s">
        <v>61</v>
      </c>
      <c r="F481" t="s">
        <v>65</v>
      </c>
      <c r="G481" t="s">
        <v>35</v>
      </c>
      <c r="H481" t="s">
        <v>38</v>
      </c>
      <c r="I481">
        <v>1651</v>
      </c>
    </row>
    <row r="482" spans="1:9" ht="14.5" x14ac:dyDescent="0.35">
      <c r="A482">
        <v>1</v>
      </c>
      <c r="B482" t="s">
        <v>30</v>
      </c>
      <c r="C482" t="s">
        <v>59</v>
      </c>
      <c r="D482" t="s">
        <v>60</v>
      </c>
      <c r="E482" t="s">
        <v>61</v>
      </c>
      <c r="F482" t="s">
        <v>63</v>
      </c>
      <c r="G482" t="s">
        <v>52</v>
      </c>
      <c r="H482" t="s">
        <v>36</v>
      </c>
      <c r="I482">
        <v>1931</v>
      </c>
    </row>
    <row r="483" spans="1:9" ht="14.5" x14ac:dyDescent="0.35">
      <c r="A483">
        <v>1</v>
      </c>
      <c r="B483" t="s">
        <v>30</v>
      </c>
      <c r="C483" t="s">
        <v>59</v>
      </c>
      <c r="D483" t="s">
        <v>60</v>
      </c>
      <c r="E483" t="s">
        <v>61</v>
      </c>
      <c r="F483" t="s">
        <v>63</v>
      </c>
      <c r="G483" t="s">
        <v>52</v>
      </c>
      <c r="H483" t="s">
        <v>38</v>
      </c>
      <c r="I483">
        <v>3968</v>
      </c>
    </row>
    <row r="484" spans="1:9" ht="14.5" x14ac:dyDescent="0.35">
      <c r="A484">
        <v>1</v>
      </c>
      <c r="B484" t="s">
        <v>30</v>
      </c>
      <c r="C484" t="s">
        <v>59</v>
      </c>
      <c r="D484" t="s">
        <v>60</v>
      </c>
      <c r="E484" t="s">
        <v>61</v>
      </c>
      <c r="F484" t="s">
        <v>64</v>
      </c>
      <c r="G484" t="s">
        <v>52</v>
      </c>
      <c r="H484" t="s">
        <v>36</v>
      </c>
      <c r="I484">
        <v>4962</v>
      </c>
    </row>
    <row r="485" spans="1:9" ht="14.5" x14ac:dyDescent="0.35">
      <c r="A485">
        <v>1</v>
      </c>
      <c r="B485" t="s">
        <v>30</v>
      </c>
      <c r="C485" t="s">
        <v>59</v>
      </c>
      <c r="D485" t="s">
        <v>60</v>
      </c>
      <c r="E485" t="s">
        <v>61</v>
      </c>
      <c r="F485" t="s">
        <v>64</v>
      </c>
      <c r="G485" t="s">
        <v>52</v>
      </c>
      <c r="H485" t="s">
        <v>38</v>
      </c>
      <c r="I485">
        <v>4325</v>
      </c>
    </row>
    <row r="486" spans="1:9" ht="14.5" x14ac:dyDescent="0.35">
      <c r="A486">
        <v>1</v>
      </c>
      <c r="B486" t="s">
        <v>30</v>
      </c>
      <c r="C486" t="s">
        <v>59</v>
      </c>
      <c r="D486" t="s">
        <v>60</v>
      </c>
      <c r="E486" t="s">
        <v>61</v>
      </c>
      <c r="F486" t="s">
        <v>62</v>
      </c>
      <c r="G486" t="s">
        <v>52</v>
      </c>
      <c r="H486" t="s">
        <v>36</v>
      </c>
      <c r="I486">
        <v>3970</v>
      </c>
    </row>
    <row r="487" spans="1:9" ht="14.5" x14ac:dyDescent="0.35">
      <c r="A487">
        <v>1</v>
      </c>
      <c r="B487" t="s">
        <v>30</v>
      </c>
      <c r="C487" t="s">
        <v>59</v>
      </c>
      <c r="D487" t="s">
        <v>60</v>
      </c>
      <c r="E487" t="s">
        <v>61</v>
      </c>
      <c r="F487" t="s">
        <v>62</v>
      </c>
      <c r="G487" t="s">
        <v>52</v>
      </c>
      <c r="H487" t="s">
        <v>38</v>
      </c>
      <c r="I487">
        <v>4645</v>
      </c>
    </row>
    <row r="488" spans="1:9" ht="14.5" x14ac:dyDescent="0.35">
      <c r="A488">
        <v>1</v>
      </c>
      <c r="B488" t="s">
        <v>30</v>
      </c>
      <c r="C488" t="s">
        <v>59</v>
      </c>
      <c r="D488" t="s">
        <v>60</v>
      </c>
      <c r="E488" t="s">
        <v>61</v>
      </c>
      <c r="F488" t="s">
        <v>65</v>
      </c>
      <c r="G488" t="s">
        <v>52</v>
      </c>
      <c r="H488" t="s">
        <v>36</v>
      </c>
      <c r="I488">
        <v>4319</v>
      </c>
    </row>
    <row r="489" spans="1:9" ht="14.5" x14ac:dyDescent="0.35">
      <c r="A489">
        <v>1</v>
      </c>
      <c r="B489" t="s">
        <v>30</v>
      </c>
      <c r="C489" t="s">
        <v>59</v>
      </c>
      <c r="D489" t="s">
        <v>60</v>
      </c>
      <c r="E489" t="s">
        <v>61</v>
      </c>
      <c r="F489" t="s">
        <v>65</v>
      </c>
      <c r="G489" t="s">
        <v>52</v>
      </c>
      <c r="H489" t="s">
        <v>38</v>
      </c>
      <c r="I489">
        <v>3111</v>
      </c>
    </row>
    <row r="490" spans="1:9" ht="14.5" x14ac:dyDescent="0.35">
      <c r="A490">
        <v>1</v>
      </c>
      <c r="B490" t="s">
        <v>41</v>
      </c>
      <c r="C490" t="s">
        <v>59</v>
      </c>
      <c r="D490" t="s">
        <v>60</v>
      </c>
      <c r="E490" t="s">
        <v>61</v>
      </c>
      <c r="F490" t="s">
        <v>63</v>
      </c>
      <c r="G490" t="s">
        <v>52</v>
      </c>
      <c r="H490" t="s">
        <v>36</v>
      </c>
      <c r="I490">
        <v>1319</v>
      </c>
    </row>
    <row r="491" spans="1:9" ht="14.5" x14ac:dyDescent="0.35">
      <c r="A491">
        <v>1</v>
      </c>
      <c r="B491" t="s">
        <v>41</v>
      </c>
      <c r="C491" t="s">
        <v>59</v>
      </c>
      <c r="D491" t="s">
        <v>60</v>
      </c>
      <c r="E491" t="s">
        <v>61</v>
      </c>
      <c r="F491" t="s">
        <v>63</v>
      </c>
      <c r="G491" t="s">
        <v>52</v>
      </c>
      <c r="H491" t="s">
        <v>38</v>
      </c>
      <c r="I491">
        <v>3298</v>
      </c>
    </row>
    <row r="492" spans="1:9" ht="14.5" x14ac:dyDescent="0.35">
      <c r="A492">
        <v>1</v>
      </c>
      <c r="B492" t="s">
        <v>41</v>
      </c>
      <c r="C492" t="s">
        <v>59</v>
      </c>
      <c r="D492" t="s">
        <v>60</v>
      </c>
      <c r="E492" t="s">
        <v>61</v>
      </c>
      <c r="F492" t="s">
        <v>64</v>
      </c>
      <c r="G492" t="s">
        <v>52</v>
      </c>
      <c r="H492" t="s">
        <v>36</v>
      </c>
      <c r="I492">
        <v>1950</v>
      </c>
    </row>
    <row r="493" spans="1:9" ht="14.5" x14ac:dyDescent="0.35">
      <c r="A493">
        <v>1</v>
      </c>
      <c r="B493" t="s">
        <v>41</v>
      </c>
      <c r="C493" t="s">
        <v>59</v>
      </c>
      <c r="D493" t="s">
        <v>60</v>
      </c>
      <c r="E493" t="s">
        <v>61</v>
      </c>
      <c r="F493" t="s">
        <v>64</v>
      </c>
      <c r="G493" t="s">
        <v>52</v>
      </c>
      <c r="H493" t="s">
        <v>38</v>
      </c>
      <c r="I493">
        <v>3381</v>
      </c>
    </row>
    <row r="494" spans="1:9" ht="14.5" x14ac:dyDescent="0.35">
      <c r="A494">
        <v>1</v>
      </c>
      <c r="B494" t="s">
        <v>41</v>
      </c>
      <c r="C494" t="s">
        <v>59</v>
      </c>
      <c r="D494" t="s">
        <v>60</v>
      </c>
      <c r="E494" t="s">
        <v>61</v>
      </c>
      <c r="F494" t="s">
        <v>62</v>
      </c>
      <c r="G494" t="s">
        <v>52</v>
      </c>
      <c r="H494" t="s">
        <v>36</v>
      </c>
      <c r="I494">
        <v>1804</v>
      </c>
    </row>
    <row r="495" spans="1:9" ht="14.5" x14ac:dyDescent="0.35">
      <c r="A495">
        <v>1</v>
      </c>
      <c r="B495" t="s">
        <v>41</v>
      </c>
      <c r="C495" t="s">
        <v>59</v>
      </c>
      <c r="D495" t="s">
        <v>60</v>
      </c>
      <c r="E495" t="s">
        <v>61</v>
      </c>
      <c r="F495" t="s">
        <v>62</v>
      </c>
      <c r="G495" t="s">
        <v>52</v>
      </c>
      <c r="H495" t="s">
        <v>38</v>
      </c>
      <c r="I495">
        <v>1610</v>
      </c>
    </row>
    <row r="496" spans="1:9" ht="14.5" x14ac:dyDescent="0.35">
      <c r="A496">
        <v>1</v>
      </c>
      <c r="B496" t="s">
        <v>41</v>
      </c>
      <c r="C496" t="s">
        <v>59</v>
      </c>
      <c r="D496" t="s">
        <v>60</v>
      </c>
      <c r="E496" t="s">
        <v>61</v>
      </c>
      <c r="F496" t="s">
        <v>65</v>
      </c>
      <c r="G496" t="s">
        <v>52</v>
      </c>
      <c r="H496" t="s">
        <v>36</v>
      </c>
      <c r="I496">
        <v>3203</v>
      </c>
    </row>
    <row r="497" spans="1:9" ht="14.5" x14ac:dyDescent="0.35">
      <c r="A497">
        <v>1</v>
      </c>
      <c r="B497" t="s">
        <v>41</v>
      </c>
      <c r="C497" t="s">
        <v>59</v>
      </c>
      <c r="D497" t="s">
        <v>60</v>
      </c>
      <c r="E497" t="s">
        <v>61</v>
      </c>
      <c r="F497" t="s">
        <v>65</v>
      </c>
      <c r="G497" t="s">
        <v>52</v>
      </c>
      <c r="H497" t="s">
        <v>38</v>
      </c>
      <c r="I497">
        <v>2592</v>
      </c>
    </row>
    <row r="498" spans="1:9" ht="14.5" x14ac:dyDescent="0.35">
      <c r="A498">
        <v>1</v>
      </c>
      <c r="B498" t="s">
        <v>42</v>
      </c>
      <c r="C498" t="s">
        <v>59</v>
      </c>
      <c r="D498" t="s">
        <v>60</v>
      </c>
      <c r="E498" t="s">
        <v>61</v>
      </c>
      <c r="F498" t="s">
        <v>63</v>
      </c>
      <c r="G498" t="s">
        <v>52</v>
      </c>
      <c r="H498" t="s">
        <v>36</v>
      </c>
      <c r="I498">
        <v>2664</v>
      </c>
    </row>
    <row r="499" spans="1:9" ht="14.5" x14ac:dyDescent="0.35">
      <c r="A499">
        <v>1</v>
      </c>
      <c r="B499" t="s">
        <v>42</v>
      </c>
      <c r="C499" t="s">
        <v>59</v>
      </c>
      <c r="D499" t="s">
        <v>60</v>
      </c>
      <c r="E499" t="s">
        <v>61</v>
      </c>
      <c r="F499" t="s">
        <v>63</v>
      </c>
      <c r="G499" t="s">
        <v>52</v>
      </c>
      <c r="H499" t="s">
        <v>38</v>
      </c>
      <c r="I499">
        <v>4438</v>
      </c>
    </row>
    <row r="500" spans="1:9" ht="14.5" x14ac:dyDescent="0.35">
      <c r="A500">
        <v>1</v>
      </c>
      <c r="B500" t="s">
        <v>42</v>
      </c>
      <c r="C500" t="s">
        <v>59</v>
      </c>
      <c r="D500" t="s">
        <v>60</v>
      </c>
      <c r="E500" t="s">
        <v>61</v>
      </c>
      <c r="F500" t="s">
        <v>64</v>
      </c>
      <c r="G500" t="s">
        <v>52</v>
      </c>
      <c r="H500" t="s">
        <v>36</v>
      </c>
      <c r="I500">
        <v>2951</v>
      </c>
    </row>
    <row r="501" spans="1:9" ht="14.5" x14ac:dyDescent="0.35">
      <c r="A501">
        <v>1</v>
      </c>
      <c r="B501" t="s">
        <v>42</v>
      </c>
      <c r="C501" t="s">
        <v>59</v>
      </c>
      <c r="D501" t="s">
        <v>60</v>
      </c>
      <c r="E501" t="s">
        <v>61</v>
      </c>
      <c r="F501" t="s">
        <v>64</v>
      </c>
      <c r="G501" t="s">
        <v>52</v>
      </c>
      <c r="H501" t="s">
        <v>38</v>
      </c>
      <c r="I501">
        <v>4411</v>
      </c>
    </row>
    <row r="502" spans="1:9" ht="14.5" x14ac:dyDescent="0.35">
      <c r="A502">
        <v>1</v>
      </c>
      <c r="B502" t="s">
        <v>42</v>
      </c>
      <c r="C502" t="s">
        <v>59</v>
      </c>
      <c r="D502" t="s">
        <v>60</v>
      </c>
      <c r="E502" t="s">
        <v>61</v>
      </c>
      <c r="F502" t="s">
        <v>62</v>
      </c>
      <c r="G502" t="s">
        <v>52</v>
      </c>
      <c r="H502" t="s">
        <v>36</v>
      </c>
      <c r="I502">
        <v>2384</v>
      </c>
    </row>
    <row r="503" spans="1:9" ht="14.5" x14ac:dyDescent="0.35">
      <c r="A503">
        <v>1</v>
      </c>
      <c r="B503" t="s">
        <v>42</v>
      </c>
      <c r="C503" t="s">
        <v>59</v>
      </c>
      <c r="D503" t="s">
        <v>60</v>
      </c>
      <c r="E503" t="s">
        <v>61</v>
      </c>
      <c r="F503" t="s">
        <v>62</v>
      </c>
      <c r="G503" t="s">
        <v>52</v>
      </c>
      <c r="H503" t="s">
        <v>38</v>
      </c>
      <c r="I503">
        <v>1007</v>
      </c>
    </row>
    <row r="504" spans="1:9" ht="14.5" x14ac:dyDescent="0.35">
      <c r="A504">
        <v>1</v>
      </c>
      <c r="B504" t="s">
        <v>42</v>
      </c>
      <c r="C504" t="s">
        <v>59</v>
      </c>
      <c r="D504" t="s">
        <v>60</v>
      </c>
      <c r="E504" t="s">
        <v>61</v>
      </c>
      <c r="F504" t="s">
        <v>65</v>
      </c>
      <c r="G504" t="s">
        <v>52</v>
      </c>
      <c r="H504" t="s">
        <v>36</v>
      </c>
      <c r="I504">
        <v>2594</v>
      </c>
    </row>
    <row r="505" spans="1:9" ht="14.5" x14ac:dyDescent="0.35">
      <c r="A505">
        <v>1</v>
      </c>
      <c r="B505" t="s">
        <v>42</v>
      </c>
      <c r="C505" t="s">
        <v>59</v>
      </c>
      <c r="D505" t="s">
        <v>60</v>
      </c>
      <c r="E505" t="s">
        <v>61</v>
      </c>
      <c r="F505" t="s">
        <v>65</v>
      </c>
      <c r="G505" t="s">
        <v>52</v>
      </c>
      <c r="H505" t="s">
        <v>38</v>
      </c>
      <c r="I505">
        <v>2697</v>
      </c>
    </row>
    <row r="506" spans="1:9" ht="14.5" x14ac:dyDescent="0.35">
      <c r="A506">
        <v>2</v>
      </c>
      <c r="B506" t="s">
        <v>43</v>
      </c>
      <c r="C506" t="s">
        <v>59</v>
      </c>
      <c r="D506" t="s">
        <v>60</v>
      </c>
      <c r="E506" t="s">
        <v>61</v>
      </c>
      <c r="F506" t="s">
        <v>63</v>
      </c>
      <c r="G506" t="s">
        <v>52</v>
      </c>
      <c r="H506" t="s">
        <v>36</v>
      </c>
      <c r="I506">
        <v>3142</v>
      </c>
    </row>
    <row r="507" spans="1:9" ht="14.5" x14ac:dyDescent="0.35">
      <c r="A507">
        <v>2</v>
      </c>
      <c r="B507" t="s">
        <v>43</v>
      </c>
      <c r="C507" t="s">
        <v>59</v>
      </c>
      <c r="D507" t="s">
        <v>60</v>
      </c>
      <c r="E507" t="s">
        <v>61</v>
      </c>
      <c r="F507" t="s">
        <v>63</v>
      </c>
      <c r="G507" t="s">
        <v>52</v>
      </c>
      <c r="H507" t="s">
        <v>38</v>
      </c>
      <c r="I507">
        <v>3721</v>
      </c>
    </row>
    <row r="508" spans="1:9" ht="14.5" x14ac:dyDescent="0.35">
      <c r="A508">
        <v>2</v>
      </c>
      <c r="B508" t="s">
        <v>43</v>
      </c>
      <c r="C508" t="s">
        <v>59</v>
      </c>
      <c r="D508" t="s">
        <v>60</v>
      </c>
      <c r="E508" t="s">
        <v>61</v>
      </c>
      <c r="F508" t="s">
        <v>64</v>
      </c>
      <c r="G508" t="s">
        <v>52</v>
      </c>
      <c r="H508" t="s">
        <v>36</v>
      </c>
      <c r="I508">
        <v>3722</v>
      </c>
    </row>
    <row r="509" spans="1:9" ht="14.5" x14ac:dyDescent="0.35">
      <c r="A509">
        <v>2</v>
      </c>
      <c r="B509" t="s">
        <v>43</v>
      </c>
      <c r="C509" t="s">
        <v>59</v>
      </c>
      <c r="D509" t="s">
        <v>60</v>
      </c>
      <c r="E509" t="s">
        <v>61</v>
      </c>
      <c r="F509" t="s">
        <v>64</v>
      </c>
      <c r="G509" t="s">
        <v>52</v>
      </c>
      <c r="H509" t="s">
        <v>38</v>
      </c>
      <c r="I509">
        <v>2553</v>
      </c>
    </row>
    <row r="510" spans="1:9" ht="14.5" x14ac:dyDescent="0.35">
      <c r="A510">
        <v>2</v>
      </c>
      <c r="B510" t="s">
        <v>43</v>
      </c>
      <c r="C510" t="s">
        <v>59</v>
      </c>
      <c r="D510" t="s">
        <v>60</v>
      </c>
      <c r="E510" t="s">
        <v>61</v>
      </c>
      <c r="F510" t="s">
        <v>62</v>
      </c>
      <c r="G510" t="s">
        <v>52</v>
      </c>
      <c r="H510" t="s">
        <v>36</v>
      </c>
      <c r="I510">
        <v>3122</v>
      </c>
    </row>
    <row r="511" spans="1:9" ht="14.5" x14ac:dyDescent="0.35">
      <c r="A511">
        <v>2</v>
      </c>
      <c r="B511" t="s">
        <v>43</v>
      </c>
      <c r="C511" t="s">
        <v>59</v>
      </c>
      <c r="D511" t="s">
        <v>60</v>
      </c>
      <c r="E511" t="s">
        <v>61</v>
      </c>
      <c r="F511" t="s">
        <v>62</v>
      </c>
      <c r="G511" t="s">
        <v>52</v>
      </c>
      <c r="H511" t="s">
        <v>38</v>
      </c>
      <c r="I511">
        <v>3328</v>
      </c>
    </row>
    <row r="512" spans="1:9" ht="14.5" x14ac:dyDescent="0.35">
      <c r="A512">
        <v>2</v>
      </c>
      <c r="B512" t="s">
        <v>43</v>
      </c>
      <c r="C512" t="s">
        <v>59</v>
      </c>
      <c r="D512" t="s">
        <v>60</v>
      </c>
      <c r="E512" t="s">
        <v>61</v>
      </c>
      <c r="F512" t="s">
        <v>65</v>
      </c>
      <c r="G512" t="s">
        <v>52</v>
      </c>
      <c r="H512" t="s">
        <v>36</v>
      </c>
      <c r="I512">
        <v>2834</v>
      </c>
    </row>
    <row r="513" spans="1:9" ht="14.5" x14ac:dyDescent="0.35">
      <c r="A513">
        <v>2</v>
      </c>
      <c r="B513" t="s">
        <v>43</v>
      </c>
      <c r="C513" t="s">
        <v>59</v>
      </c>
      <c r="D513" t="s">
        <v>60</v>
      </c>
      <c r="E513" t="s">
        <v>61</v>
      </c>
      <c r="F513" t="s">
        <v>65</v>
      </c>
      <c r="G513" t="s">
        <v>52</v>
      </c>
      <c r="H513" t="s">
        <v>38</v>
      </c>
      <c r="I513">
        <v>2111</v>
      </c>
    </row>
    <row r="514" spans="1:9" ht="14.5" x14ac:dyDescent="0.35">
      <c r="A514">
        <v>2</v>
      </c>
      <c r="B514" t="s">
        <v>44</v>
      </c>
      <c r="C514" t="s">
        <v>59</v>
      </c>
      <c r="D514" t="s">
        <v>60</v>
      </c>
      <c r="E514" t="s">
        <v>61</v>
      </c>
      <c r="F514" t="s">
        <v>63</v>
      </c>
      <c r="G514" t="s">
        <v>52</v>
      </c>
      <c r="H514" t="s">
        <v>36</v>
      </c>
      <c r="I514">
        <v>2441</v>
      </c>
    </row>
    <row r="515" spans="1:9" ht="14.5" x14ac:dyDescent="0.35">
      <c r="A515">
        <v>2</v>
      </c>
      <c r="B515" t="s">
        <v>44</v>
      </c>
      <c r="C515" t="s">
        <v>59</v>
      </c>
      <c r="D515" t="s">
        <v>60</v>
      </c>
      <c r="E515" t="s">
        <v>61</v>
      </c>
      <c r="F515" t="s">
        <v>63</v>
      </c>
      <c r="G515" t="s">
        <v>52</v>
      </c>
      <c r="H515" t="s">
        <v>38</v>
      </c>
      <c r="I515">
        <v>1420</v>
      </c>
    </row>
    <row r="516" spans="1:9" ht="14.5" x14ac:dyDescent="0.35">
      <c r="A516">
        <v>2</v>
      </c>
      <c r="B516" t="s">
        <v>44</v>
      </c>
      <c r="C516" t="s">
        <v>59</v>
      </c>
      <c r="D516" t="s">
        <v>60</v>
      </c>
      <c r="E516" t="s">
        <v>61</v>
      </c>
      <c r="F516" t="s">
        <v>64</v>
      </c>
      <c r="G516" t="s">
        <v>52</v>
      </c>
      <c r="H516" t="s">
        <v>36</v>
      </c>
      <c r="I516">
        <v>2375</v>
      </c>
    </row>
    <row r="517" spans="1:9" ht="14.5" x14ac:dyDescent="0.35">
      <c r="A517">
        <v>2</v>
      </c>
      <c r="B517" t="s">
        <v>44</v>
      </c>
      <c r="C517" t="s">
        <v>59</v>
      </c>
      <c r="D517" t="s">
        <v>60</v>
      </c>
      <c r="E517" t="s">
        <v>61</v>
      </c>
      <c r="F517" t="s">
        <v>64</v>
      </c>
      <c r="G517" t="s">
        <v>52</v>
      </c>
      <c r="H517" t="s">
        <v>38</v>
      </c>
      <c r="I517">
        <v>3842</v>
      </c>
    </row>
    <row r="518" spans="1:9" ht="14.5" x14ac:dyDescent="0.35">
      <c r="A518">
        <v>2</v>
      </c>
      <c r="B518" t="s">
        <v>44</v>
      </c>
      <c r="C518" t="s">
        <v>59</v>
      </c>
      <c r="D518" t="s">
        <v>60</v>
      </c>
      <c r="E518" t="s">
        <v>61</v>
      </c>
      <c r="F518" t="s">
        <v>62</v>
      </c>
      <c r="G518" t="s">
        <v>52</v>
      </c>
      <c r="H518" t="s">
        <v>36</v>
      </c>
      <c r="I518">
        <v>2874</v>
      </c>
    </row>
    <row r="519" spans="1:9" ht="14.5" x14ac:dyDescent="0.35">
      <c r="A519">
        <v>2</v>
      </c>
      <c r="B519" t="s">
        <v>44</v>
      </c>
      <c r="C519" t="s">
        <v>59</v>
      </c>
      <c r="D519" t="s">
        <v>60</v>
      </c>
      <c r="E519" t="s">
        <v>61</v>
      </c>
      <c r="F519" t="s">
        <v>62</v>
      </c>
      <c r="G519" t="s">
        <v>52</v>
      </c>
      <c r="H519" t="s">
        <v>38</v>
      </c>
      <c r="I519">
        <v>3392</v>
      </c>
    </row>
    <row r="520" spans="1:9" ht="14.5" x14ac:dyDescent="0.35">
      <c r="A520">
        <v>2</v>
      </c>
      <c r="B520" t="s">
        <v>44</v>
      </c>
      <c r="C520" t="s">
        <v>59</v>
      </c>
      <c r="D520" t="s">
        <v>60</v>
      </c>
      <c r="E520" t="s">
        <v>61</v>
      </c>
      <c r="F520" t="s">
        <v>65</v>
      </c>
      <c r="G520" t="s">
        <v>52</v>
      </c>
      <c r="H520" t="s">
        <v>36</v>
      </c>
      <c r="I520">
        <v>4921</v>
      </c>
    </row>
    <row r="521" spans="1:9" ht="14.5" x14ac:dyDescent="0.35">
      <c r="A521">
        <v>2</v>
      </c>
      <c r="B521" t="s">
        <v>44</v>
      </c>
      <c r="C521" t="s">
        <v>59</v>
      </c>
      <c r="D521" t="s">
        <v>60</v>
      </c>
      <c r="E521" t="s">
        <v>61</v>
      </c>
      <c r="F521" t="s">
        <v>65</v>
      </c>
      <c r="G521" t="s">
        <v>52</v>
      </c>
      <c r="H521" t="s">
        <v>38</v>
      </c>
      <c r="I521">
        <v>4546</v>
      </c>
    </row>
    <row r="522" spans="1:9" ht="14.5" x14ac:dyDescent="0.35">
      <c r="A522">
        <v>2</v>
      </c>
      <c r="B522" t="s">
        <v>45</v>
      </c>
      <c r="C522" t="s">
        <v>59</v>
      </c>
      <c r="D522" t="s">
        <v>60</v>
      </c>
      <c r="E522" t="s">
        <v>61</v>
      </c>
      <c r="F522" t="s">
        <v>63</v>
      </c>
      <c r="G522" t="s">
        <v>52</v>
      </c>
      <c r="H522" t="s">
        <v>36</v>
      </c>
      <c r="I522">
        <v>3043</v>
      </c>
    </row>
    <row r="523" spans="1:9" ht="14.5" x14ac:dyDescent="0.35">
      <c r="A523">
        <v>2</v>
      </c>
      <c r="B523" t="s">
        <v>45</v>
      </c>
      <c r="C523" t="s">
        <v>59</v>
      </c>
      <c r="D523" t="s">
        <v>60</v>
      </c>
      <c r="E523" t="s">
        <v>61</v>
      </c>
      <c r="F523" t="s">
        <v>63</v>
      </c>
      <c r="G523" t="s">
        <v>52</v>
      </c>
      <c r="H523" t="s">
        <v>38</v>
      </c>
      <c r="I523">
        <v>4078</v>
      </c>
    </row>
    <row r="524" spans="1:9" ht="14.5" x14ac:dyDescent="0.35">
      <c r="A524">
        <v>2</v>
      </c>
      <c r="B524" t="s">
        <v>45</v>
      </c>
      <c r="C524" t="s">
        <v>59</v>
      </c>
      <c r="D524" t="s">
        <v>60</v>
      </c>
      <c r="E524" t="s">
        <v>61</v>
      </c>
      <c r="F524" t="s">
        <v>64</v>
      </c>
      <c r="G524" t="s">
        <v>52</v>
      </c>
      <c r="H524" t="s">
        <v>36</v>
      </c>
      <c r="I524">
        <v>2286</v>
      </c>
    </row>
    <row r="525" spans="1:9" ht="14.5" x14ac:dyDescent="0.35">
      <c r="A525">
        <v>2</v>
      </c>
      <c r="B525" t="s">
        <v>45</v>
      </c>
      <c r="C525" t="s">
        <v>59</v>
      </c>
      <c r="D525" t="s">
        <v>60</v>
      </c>
      <c r="E525" t="s">
        <v>61</v>
      </c>
      <c r="F525" t="s">
        <v>64</v>
      </c>
      <c r="G525" t="s">
        <v>52</v>
      </c>
      <c r="H525" t="s">
        <v>38</v>
      </c>
      <c r="I525">
        <v>1919</v>
      </c>
    </row>
    <row r="526" spans="1:9" ht="14.5" x14ac:dyDescent="0.35">
      <c r="A526">
        <v>2</v>
      </c>
      <c r="B526" t="s">
        <v>45</v>
      </c>
      <c r="C526" t="s">
        <v>59</v>
      </c>
      <c r="D526" t="s">
        <v>60</v>
      </c>
      <c r="E526" t="s">
        <v>61</v>
      </c>
      <c r="F526" t="s">
        <v>62</v>
      </c>
      <c r="G526" t="s">
        <v>52</v>
      </c>
      <c r="H526" t="s">
        <v>36</v>
      </c>
      <c r="I526">
        <v>1105</v>
      </c>
    </row>
    <row r="527" spans="1:9" ht="14.5" x14ac:dyDescent="0.35">
      <c r="A527">
        <v>2</v>
      </c>
      <c r="B527" t="s">
        <v>45</v>
      </c>
      <c r="C527" t="s">
        <v>59</v>
      </c>
      <c r="D527" t="s">
        <v>60</v>
      </c>
      <c r="E527" t="s">
        <v>61</v>
      </c>
      <c r="F527" t="s">
        <v>62</v>
      </c>
      <c r="G527" t="s">
        <v>52</v>
      </c>
      <c r="H527" t="s">
        <v>38</v>
      </c>
      <c r="I527">
        <v>4989</v>
      </c>
    </row>
    <row r="528" spans="1:9" ht="14.5" x14ac:dyDescent="0.35">
      <c r="A528">
        <v>2</v>
      </c>
      <c r="B528" t="s">
        <v>45</v>
      </c>
      <c r="C528" t="s">
        <v>59</v>
      </c>
      <c r="D528" t="s">
        <v>60</v>
      </c>
      <c r="E528" t="s">
        <v>61</v>
      </c>
      <c r="F528" t="s">
        <v>65</v>
      </c>
      <c r="G528" t="s">
        <v>52</v>
      </c>
      <c r="H528" t="s">
        <v>36</v>
      </c>
      <c r="I528">
        <v>4037</v>
      </c>
    </row>
    <row r="529" spans="1:9" ht="14.5" x14ac:dyDescent="0.35">
      <c r="A529">
        <v>2</v>
      </c>
      <c r="B529" t="s">
        <v>45</v>
      </c>
      <c r="C529" t="s">
        <v>59</v>
      </c>
      <c r="D529" t="s">
        <v>60</v>
      </c>
      <c r="E529" t="s">
        <v>61</v>
      </c>
      <c r="F529" t="s">
        <v>65</v>
      </c>
      <c r="G529" t="s">
        <v>52</v>
      </c>
      <c r="H529" t="s">
        <v>38</v>
      </c>
      <c r="I529">
        <v>1418</v>
      </c>
    </row>
    <row r="530" spans="1:9" ht="14.5" x14ac:dyDescent="0.35">
      <c r="A530">
        <v>3</v>
      </c>
      <c r="B530" t="s">
        <v>46</v>
      </c>
      <c r="C530" t="s">
        <v>59</v>
      </c>
      <c r="D530" t="s">
        <v>60</v>
      </c>
      <c r="E530" t="s">
        <v>61</v>
      </c>
      <c r="F530" t="s">
        <v>63</v>
      </c>
      <c r="G530" t="s">
        <v>52</v>
      </c>
      <c r="H530" t="s">
        <v>36</v>
      </c>
      <c r="I530">
        <v>2897</v>
      </c>
    </row>
    <row r="531" spans="1:9" ht="14.5" x14ac:dyDescent="0.35">
      <c r="A531">
        <v>3</v>
      </c>
      <c r="B531" t="s">
        <v>46</v>
      </c>
      <c r="C531" t="s">
        <v>59</v>
      </c>
      <c r="D531" t="s">
        <v>60</v>
      </c>
      <c r="E531" t="s">
        <v>61</v>
      </c>
      <c r="F531" t="s">
        <v>63</v>
      </c>
      <c r="G531" t="s">
        <v>52</v>
      </c>
      <c r="H531" t="s">
        <v>38</v>
      </c>
      <c r="I531">
        <v>2560</v>
      </c>
    </row>
    <row r="532" spans="1:9" ht="14.5" x14ac:dyDescent="0.35">
      <c r="A532">
        <v>3</v>
      </c>
      <c r="B532" t="s">
        <v>46</v>
      </c>
      <c r="C532" t="s">
        <v>59</v>
      </c>
      <c r="D532" t="s">
        <v>60</v>
      </c>
      <c r="E532" t="s">
        <v>61</v>
      </c>
      <c r="F532" t="s">
        <v>64</v>
      </c>
      <c r="G532" t="s">
        <v>52</v>
      </c>
      <c r="H532" t="s">
        <v>36</v>
      </c>
      <c r="I532">
        <v>3649</v>
      </c>
    </row>
    <row r="533" spans="1:9" ht="14.5" x14ac:dyDescent="0.35">
      <c r="A533">
        <v>3</v>
      </c>
      <c r="B533" t="s">
        <v>46</v>
      </c>
      <c r="C533" t="s">
        <v>59</v>
      </c>
      <c r="D533" t="s">
        <v>60</v>
      </c>
      <c r="E533" t="s">
        <v>61</v>
      </c>
      <c r="F533" t="s">
        <v>64</v>
      </c>
      <c r="G533" t="s">
        <v>52</v>
      </c>
      <c r="H533" t="s">
        <v>38</v>
      </c>
      <c r="I533">
        <v>1024</v>
      </c>
    </row>
    <row r="534" spans="1:9" ht="14.5" x14ac:dyDescent="0.35">
      <c r="A534">
        <v>3</v>
      </c>
      <c r="B534" t="s">
        <v>46</v>
      </c>
      <c r="C534" t="s">
        <v>59</v>
      </c>
      <c r="D534" t="s">
        <v>60</v>
      </c>
      <c r="E534" t="s">
        <v>61</v>
      </c>
      <c r="F534" t="s">
        <v>62</v>
      </c>
      <c r="G534" t="s">
        <v>52</v>
      </c>
      <c r="H534" t="s">
        <v>36</v>
      </c>
      <c r="I534">
        <v>1427</v>
      </c>
    </row>
    <row r="535" spans="1:9" ht="14.5" x14ac:dyDescent="0.35">
      <c r="A535">
        <v>3</v>
      </c>
      <c r="B535" t="s">
        <v>46</v>
      </c>
      <c r="C535" t="s">
        <v>59</v>
      </c>
      <c r="D535" t="s">
        <v>60</v>
      </c>
      <c r="E535" t="s">
        <v>61</v>
      </c>
      <c r="F535" t="s">
        <v>62</v>
      </c>
      <c r="G535" t="s">
        <v>52</v>
      </c>
      <c r="H535" t="s">
        <v>38</v>
      </c>
      <c r="I535">
        <v>4733</v>
      </c>
    </row>
    <row r="536" spans="1:9" ht="14.5" x14ac:dyDescent="0.35">
      <c r="A536">
        <v>3</v>
      </c>
      <c r="B536" t="s">
        <v>46</v>
      </c>
      <c r="C536" t="s">
        <v>59</v>
      </c>
      <c r="D536" t="s">
        <v>60</v>
      </c>
      <c r="E536" t="s">
        <v>61</v>
      </c>
      <c r="F536" t="s">
        <v>65</v>
      </c>
      <c r="G536" t="s">
        <v>52</v>
      </c>
      <c r="H536" t="s">
        <v>36</v>
      </c>
      <c r="I536">
        <v>4741</v>
      </c>
    </row>
    <row r="537" spans="1:9" ht="14.5" x14ac:dyDescent="0.35">
      <c r="A537">
        <v>3</v>
      </c>
      <c r="B537" t="s">
        <v>46</v>
      </c>
      <c r="C537" t="s">
        <v>59</v>
      </c>
      <c r="D537" t="s">
        <v>60</v>
      </c>
      <c r="E537" t="s">
        <v>61</v>
      </c>
      <c r="F537" t="s">
        <v>65</v>
      </c>
      <c r="G537" t="s">
        <v>52</v>
      </c>
      <c r="H537" t="s">
        <v>38</v>
      </c>
      <c r="I537">
        <v>4836</v>
      </c>
    </row>
    <row r="538" spans="1:9" ht="14.5" x14ac:dyDescent="0.35">
      <c r="A538">
        <v>3</v>
      </c>
      <c r="B538" t="s">
        <v>47</v>
      </c>
      <c r="C538" t="s">
        <v>59</v>
      </c>
      <c r="D538" t="s">
        <v>60</v>
      </c>
      <c r="E538" t="s">
        <v>61</v>
      </c>
      <c r="F538" t="s">
        <v>63</v>
      </c>
      <c r="G538" t="s">
        <v>52</v>
      </c>
      <c r="H538" t="s">
        <v>36</v>
      </c>
      <c r="I538">
        <v>2680</v>
      </c>
    </row>
    <row r="539" spans="1:9" ht="14.5" x14ac:dyDescent="0.35">
      <c r="A539">
        <v>3</v>
      </c>
      <c r="B539" t="s">
        <v>47</v>
      </c>
      <c r="C539" t="s">
        <v>59</v>
      </c>
      <c r="D539" t="s">
        <v>60</v>
      </c>
      <c r="E539" t="s">
        <v>61</v>
      </c>
      <c r="F539" t="s">
        <v>63</v>
      </c>
      <c r="G539" t="s">
        <v>52</v>
      </c>
      <c r="H539" t="s">
        <v>38</v>
      </c>
      <c r="I539">
        <v>2098</v>
      </c>
    </row>
    <row r="540" spans="1:9" ht="14.5" x14ac:dyDescent="0.35">
      <c r="A540">
        <v>3</v>
      </c>
      <c r="B540" t="s">
        <v>47</v>
      </c>
      <c r="C540" t="s">
        <v>59</v>
      </c>
      <c r="D540" t="s">
        <v>60</v>
      </c>
      <c r="E540" t="s">
        <v>61</v>
      </c>
      <c r="F540" t="s">
        <v>64</v>
      </c>
      <c r="G540" t="s">
        <v>52</v>
      </c>
      <c r="H540" t="s">
        <v>36</v>
      </c>
      <c r="I540">
        <v>1429</v>
      </c>
    </row>
    <row r="541" spans="1:9" ht="14.5" x14ac:dyDescent="0.35">
      <c r="A541">
        <v>3</v>
      </c>
      <c r="B541" t="s">
        <v>47</v>
      </c>
      <c r="C541" t="s">
        <v>59</v>
      </c>
      <c r="D541" t="s">
        <v>60</v>
      </c>
      <c r="E541" t="s">
        <v>61</v>
      </c>
      <c r="F541" t="s">
        <v>64</v>
      </c>
      <c r="G541" t="s">
        <v>52</v>
      </c>
      <c r="H541" t="s">
        <v>38</v>
      </c>
      <c r="I541">
        <v>1974</v>
      </c>
    </row>
    <row r="542" spans="1:9" ht="14.5" x14ac:dyDescent="0.35">
      <c r="A542">
        <v>3</v>
      </c>
      <c r="B542" t="s">
        <v>47</v>
      </c>
      <c r="C542" t="s">
        <v>59</v>
      </c>
      <c r="D542" t="s">
        <v>60</v>
      </c>
      <c r="E542" t="s">
        <v>61</v>
      </c>
      <c r="F542" t="s">
        <v>62</v>
      </c>
      <c r="G542" t="s">
        <v>52</v>
      </c>
      <c r="H542" t="s">
        <v>36</v>
      </c>
      <c r="I542">
        <v>2300</v>
      </c>
    </row>
    <row r="543" spans="1:9" ht="14.5" x14ac:dyDescent="0.35">
      <c r="A543">
        <v>3</v>
      </c>
      <c r="B543" t="s">
        <v>47</v>
      </c>
      <c r="C543" t="s">
        <v>59</v>
      </c>
      <c r="D543" t="s">
        <v>60</v>
      </c>
      <c r="E543" t="s">
        <v>61</v>
      </c>
      <c r="F543" t="s">
        <v>62</v>
      </c>
      <c r="G543" t="s">
        <v>52</v>
      </c>
      <c r="H543" t="s">
        <v>38</v>
      </c>
      <c r="I543">
        <v>1693</v>
      </c>
    </row>
    <row r="544" spans="1:9" ht="14.5" x14ac:dyDescent="0.35">
      <c r="A544">
        <v>3</v>
      </c>
      <c r="B544" t="s">
        <v>47</v>
      </c>
      <c r="C544" t="s">
        <v>59</v>
      </c>
      <c r="D544" t="s">
        <v>60</v>
      </c>
      <c r="E544" t="s">
        <v>61</v>
      </c>
      <c r="F544" t="s">
        <v>65</v>
      </c>
      <c r="G544" t="s">
        <v>52</v>
      </c>
      <c r="H544" t="s">
        <v>36</v>
      </c>
      <c r="I544">
        <v>2601</v>
      </c>
    </row>
    <row r="545" spans="1:9" ht="14.5" x14ac:dyDescent="0.35">
      <c r="A545">
        <v>3</v>
      </c>
      <c r="B545" t="s">
        <v>47</v>
      </c>
      <c r="C545" t="s">
        <v>59</v>
      </c>
      <c r="D545" t="s">
        <v>60</v>
      </c>
      <c r="E545" t="s">
        <v>61</v>
      </c>
      <c r="F545" t="s">
        <v>65</v>
      </c>
      <c r="G545" t="s">
        <v>52</v>
      </c>
      <c r="H545" t="s">
        <v>38</v>
      </c>
      <c r="I545">
        <v>3024</v>
      </c>
    </row>
    <row r="546" spans="1:9" ht="14.5" x14ac:dyDescent="0.35">
      <c r="A546">
        <v>3</v>
      </c>
      <c r="B546" t="s">
        <v>48</v>
      </c>
      <c r="C546" t="s">
        <v>59</v>
      </c>
      <c r="D546" t="s">
        <v>60</v>
      </c>
      <c r="E546" t="s">
        <v>61</v>
      </c>
      <c r="F546" t="s">
        <v>63</v>
      </c>
      <c r="G546" t="s">
        <v>52</v>
      </c>
      <c r="H546" t="s">
        <v>36</v>
      </c>
      <c r="I546">
        <v>2547</v>
      </c>
    </row>
    <row r="547" spans="1:9" ht="14.5" x14ac:dyDescent="0.35">
      <c r="A547">
        <v>3</v>
      </c>
      <c r="B547" t="s">
        <v>48</v>
      </c>
      <c r="C547" t="s">
        <v>59</v>
      </c>
      <c r="D547" t="s">
        <v>60</v>
      </c>
      <c r="E547" t="s">
        <v>61</v>
      </c>
      <c r="F547" t="s">
        <v>63</v>
      </c>
      <c r="G547" t="s">
        <v>52</v>
      </c>
      <c r="H547" t="s">
        <v>38</v>
      </c>
      <c r="I547">
        <v>1819</v>
      </c>
    </row>
    <row r="548" spans="1:9" ht="14.5" x14ac:dyDescent="0.35">
      <c r="A548">
        <v>3</v>
      </c>
      <c r="B548" t="s">
        <v>48</v>
      </c>
      <c r="C548" t="s">
        <v>59</v>
      </c>
      <c r="D548" t="s">
        <v>60</v>
      </c>
      <c r="E548" t="s">
        <v>61</v>
      </c>
      <c r="F548" t="s">
        <v>64</v>
      </c>
      <c r="G548" t="s">
        <v>52</v>
      </c>
      <c r="H548" t="s">
        <v>36</v>
      </c>
      <c r="I548">
        <v>2942</v>
      </c>
    </row>
    <row r="549" spans="1:9" ht="14.5" x14ac:dyDescent="0.35">
      <c r="A549">
        <v>3</v>
      </c>
      <c r="B549" t="s">
        <v>48</v>
      </c>
      <c r="C549" t="s">
        <v>59</v>
      </c>
      <c r="D549" t="s">
        <v>60</v>
      </c>
      <c r="E549" t="s">
        <v>61</v>
      </c>
      <c r="F549" t="s">
        <v>64</v>
      </c>
      <c r="G549" t="s">
        <v>52</v>
      </c>
      <c r="H549" t="s">
        <v>38</v>
      </c>
      <c r="I549">
        <v>1319</v>
      </c>
    </row>
    <row r="550" spans="1:9" ht="14.5" x14ac:dyDescent="0.35">
      <c r="A550">
        <v>3</v>
      </c>
      <c r="B550" t="s">
        <v>48</v>
      </c>
      <c r="C550" t="s">
        <v>59</v>
      </c>
      <c r="D550" t="s">
        <v>60</v>
      </c>
      <c r="E550" t="s">
        <v>61</v>
      </c>
      <c r="F550" t="s">
        <v>62</v>
      </c>
      <c r="G550" t="s">
        <v>52</v>
      </c>
      <c r="H550" t="s">
        <v>36</v>
      </c>
      <c r="I550">
        <v>1526</v>
      </c>
    </row>
    <row r="551" spans="1:9" ht="14.5" x14ac:dyDescent="0.35">
      <c r="A551">
        <v>3</v>
      </c>
      <c r="B551" t="s">
        <v>48</v>
      </c>
      <c r="C551" t="s">
        <v>59</v>
      </c>
      <c r="D551" t="s">
        <v>60</v>
      </c>
      <c r="E551" t="s">
        <v>61</v>
      </c>
      <c r="F551" t="s">
        <v>62</v>
      </c>
      <c r="G551" t="s">
        <v>52</v>
      </c>
      <c r="H551" t="s">
        <v>38</v>
      </c>
      <c r="I551">
        <v>3582</v>
      </c>
    </row>
    <row r="552" spans="1:9" ht="14.5" x14ac:dyDescent="0.35">
      <c r="A552">
        <v>3</v>
      </c>
      <c r="B552" t="s">
        <v>48</v>
      </c>
      <c r="C552" t="s">
        <v>59</v>
      </c>
      <c r="D552" t="s">
        <v>60</v>
      </c>
      <c r="E552" t="s">
        <v>61</v>
      </c>
      <c r="F552" t="s">
        <v>65</v>
      </c>
      <c r="G552" t="s">
        <v>52</v>
      </c>
      <c r="H552" t="s">
        <v>36</v>
      </c>
      <c r="I552">
        <v>3862</v>
      </c>
    </row>
    <row r="553" spans="1:9" ht="14.5" x14ac:dyDescent="0.35">
      <c r="A553">
        <v>3</v>
      </c>
      <c r="B553" t="s">
        <v>48</v>
      </c>
      <c r="C553" t="s">
        <v>59</v>
      </c>
      <c r="D553" t="s">
        <v>60</v>
      </c>
      <c r="E553" t="s">
        <v>61</v>
      </c>
      <c r="F553" t="s">
        <v>65</v>
      </c>
      <c r="G553" t="s">
        <v>52</v>
      </c>
      <c r="H553" t="s">
        <v>38</v>
      </c>
      <c r="I553">
        <v>4703</v>
      </c>
    </row>
    <row r="554" spans="1:9" ht="14.5" x14ac:dyDescent="0.35">
      <c r="A554">
        <v>4</v>
      </c>
      <c r="B554" t="s">
        <v>49</v>
      </c>
      <c r="C554" t="s">
        <v>59</v>
      </c>
      <c r="D554" t="s">
        <v>60</v>
      </c>
      <c r="E554" t="s">
        <v>61</v>
      </c>
      <c r="F554" t="s">
        <v>63</v>
      </c>
      <c r="G554" t="s">
        <v>52</v>
      </c>
      <c r="H554" t="s">
        <v>36</v>
      </c>
      <c r="I554">
        <v>3653</v>
      </c>
    </row>
    <row r="555" spans="1:9" ht="14.5" x14ac:dyDescent="0.35">
      <c r="A555">
        <v>4</v>
      </c>
      <c r="B555" t="s">
        <v>49</v>
      </c>
      <c r="C555" t="s">
        <v>59</v>
      </c>
      <c r="D555" t="s">
        <v>60</v>
      </c>
      <c r="E555" t="s">
        <v>61</v>
      </c>
      <c r="F555" t="s">
        <v>63</v>
      </c>
      <c r="G555" t="s">
        <v>52</v>
      </c>
      <c r="H555" t="s">
        <v>38</v>
      </c>
      <c r="I555">
        <v>2136</v>
      </c>
    </row>
    <row r="556" spans="1:9" ht="14.5" x14ac:dyDescent="0.35">
      <c r="A556">
        <v>4</v>
      </c>
      <c r="B556" t="s">
        <v>49</v>
      </c>
      <c r="C556" t="s">
        <v>59</v>
      </c>
      <c r="D556" t="s">
        <v>60</v>
      </c>
      <c r="E556" t="s">
        <v>61</v>
      </c>
      <c r="F556" t="s">
        <v>64</v>
      </c>
      <c r="G556" t="s">
        <v>52</v>
      </c>
      <c r="H556" t="s">
        <v>36</v>
      </c>
      <c r="I556">
        <v>2421</v>
      </c>
    </row>
    <row r="557" spans="1:9" ht="14.5" x14ac:dyDescent="0.35">
      <c r="A557">
        <v>4</v>
      </c>
      <c r="B557" t="s">
        <v>49</v>
      </c>
      <c r="C557" t="s">
        <v>59</v>
      </c>
      <c r="D557" t="s">
        <v>60</v>
      </c>
      <c r="E557" t="s">
        <v>61</v>
      </c>
      <c r="F557" t="s">
        <v>64</v>
      </c>
      <c r="G557" t="s">
        <v>52</v>
      </c>
      <c r="H557" t="s">
        <v>38</v>
      </c>
      <c r="I557">
        <v>1312</v>
      </c>
    </row>
    <row r="558" spans="1:9" ht="14.5" x14ac:dyDescent="0.35">
      <c r="A558">
        <v>4</v>
      </c>
      <c r="B558" t="s">
        <v>49</v>
      </c>
      <c r="C558" t="s">
        <v>59</v>
      </c>
      <c r="D558" t="s">
        <v>60</v>
      </c>
      <c r="E558" t="s">
        <v>61</v>
      </c>
      <c r="F558" t="s">
        <v>62</v>
      </c>
      <c r="G558" t="s">
        <v>52</v>
      </c>
      <c r="H558" t="s">
        <v>36</v>
      </c>
      <c r="I558">
        <v>3330</v>
      </c>
    </row>
    <row r="559" spans="1:9" ht="14.5" x14ac:dyDescent="0.35">
      <c r="A559">
        <v>4</v>
      </c>
      <c r="B559" t="s">
        <v>49</v>
      </c>
      <c r="C559" t="s">
        <v>59</v>
      </c>
      <c r="D559" t="s">
        <v>60</v>
      </c>
      <c r="E559" t="s">
        <v>61</v>
      </c>
      <c r="F559" t="s">
        <v>62</v>
      </c>
      <c r="G559" t="s">
        <v>52</v>
      </c>
      <c r="H559" t="s">
        <v>38</v>
      </c>
      <c r="I559">
        <v>1741</v>
      </c>
    </row>
    <row r="560" spans="1:9" ht="14.5" x14ac:dyDescent="0.35">
      <c r="A560">
        <v>4</v>
      </c>
      <c r="B560" t="s">
        <v>49</v>
      </c>
      <c r="C560" t="s">
        <v>59</v>
      </c>
      <c r="D560" t="s">
        <v>60</v>
      </c>
      <c r="E560" t="s">
        <v>61</v>
      </c>
      <c r="F560" t="s">
        <v>65</v>
      </c>
      <c r="G560" t="s">
        <v>52</v>
      </c>
      <c r="H560" t="s">
        <v>36</v>
      </c>
      <c r="I560">
        <v>2035</v>
      </c>
    </row>
    <row r="561" spans="1:9" ht="14.5" x14ac:dyDescent="0.35">
      <c r="A561">
        <v>4</v>
      </c>
      <c r="B561" t="s">
        <v>49</v>
      </c>
      <c r="C561" t="s">
        <v>59</v>
      </c>
      <c r="D561" t="s">
        <v>60</v>
      </c>
      <c r="E561" t="s">
        <v>61</v>
      </c>
      <c r="F561" t="s">
        <v>65</v>
      </c>
      <c r="G561" t="s">
        <v>52</v>
      </c>
      <c r="H561" t="s">
        <v>38</v>
      </c>
      <c r="I561">
        <v>2905</v>
      </c>
    </row>
    <row r="562" spans="1:9" ht="14.5" x14ac:dyDescent="0.35">
      <c r="A562">
        <v>4</v>
      </c>
      <c r="B562" t="s">
        <v>50</v>
      </c>
      <c r="C562" t="s">
        <v>59</v>
      </c>
      <c r="D562" t="s">
        <v>60</v>
      </c>
      <c r="E562" t="s">
        <v>61</v>
      </c>
      <c r="F562" t="s">
        <v>63</v>
      </c>
      <c r="G562" t="s">
        <v>52</v>
      </c>
      <c r="H562" t="s">
        <v>36</v>
      </c>
      <c r="I562">
        <v>3282</v>
      </c>
    </row>
    <row r="563" spans="1:9" ht="14.5" x14ac:dyDescent="0.35">
      <c r="A563">
        <v>4</v>
      </c>
      <c r="B563" t="s">
        <v>50</v>
      </c>
      <c r="C563" t="s">
        <v>59</v>
      </c>
      <c r="D563" t="s">
        <v>60</v>
      </c>
      <c r="E563" t="s">
        <v>61</v>
      </c>
      <c r="F563" t="s">
        <v>63</v>
      </c>
      <c r="G563" t="s">
        <v>52</v>
      </c>
      <c r="H563" t="s">
        <v>38</v>
      </c>
      <c r="I563">
        <v>2061</v>
      </c>
    </row>
    <row r="564" spans="1:9" ht="14.5" x14ac:dyDescent="0.35">
      <c r="A564">
        <v>4</v>
      </c>
      <c r="B564" t="s">
        <v>50</v>
      </c>
      <c r="C564" t="s">
        <v>59</v>
      </c>
      <c r="D564" t="s">
        <v>60</v>
      </c>
      <c r="E564" t="s">
        <v>61</v>
      </c>
      <c r="F564" t="s">
        <v>64</v>
      </c>
      <c r="G564" t="s">
        <v>52</v>
      </c>
      <c r="H564" t="s">
        <v>36</v>
      </c>
      <c r="I564">
        <v>2427</v>
      </c>
    </row>
    <row r="565" spans="1:9" ht="14.5" x14ac:dyDescent="0.35">
      <c r="A565">
        <v>4</v>
      </c>
      <c r="B565" t="s">
        <v>50</v>
      </c>
      <c r="C565" t="s">
        <v>59</v>
      </c>
      <c r="D565" t="s">
        <v>60</v>
      </c>
      <c r="E565" t="s">
        <v>61</v>
      </c>
      <c r="F565" t="s">
        <v>64</v>
      </c>
      <c r="G565" t="s">
        <v>52</v>
      </c>
      <c r="H565" t="s">
        <v>38</v>
      </c>
      <c r="I565">
        <v>2292</v>
      </c>
    </row>
    <row r="566" spans="1:9" ht="14.5" x14ac:dyDescent="0.35">
      <c r="A566">
        <v>4</v>
      </c>
      <c r="B566" t="s">
        <v>50</v>
      </c>
      <c r="C566" t="s">
        <v>59</v>
      </c>
      <c r="D566" t="s">
        <v>60</v>
      </c>
      <c r="E566" t="s">
        <v>61</v>
      </c>
      <c r="F566" t="s">
        <v>62</v>
      </c>
      <c r="G566" t="s">
        <v>52</v>
      </c>
      <c r="H566" t="s">
        <v>36</v>
      </c>
      <c r="I566">
        <v>4919</v>
      </c>
    </row>
    <row r="567" spans="1:9" ht="14.5" x14ac:dyDescent="0.35">
      <c r="A567">
        <v>4</v>
      </c>
      <c r="B567" t="s">
        <v>50</v>
      </c>
      <c r="C567" t="s">
        <v>59</v>
      </c>
      <c r="D567" t="s">
        <v>60</v>
      </c>
      <c r="E567" t="s">
        <v>61</v>
      </c>
      <c r="F567" t="s">
        <v>62</v>
      </c>
      <c r="G567" t="s">
        <v>52</v>
      </c>
      <c r="H567" t="s">
        <v>38</v>
      </c>
      <c r="I567">
        <v>4676</v>
      </c>
    </row>
    <row r="568" spans="1:9" ht="14.5" x14ac:dyDescent="0.35">
      <c r="A568">
        <v>4</v>
      </c>
      <c r="B568" t="s">
        <v>50</v>
      </c>
      <c r="C568" t="s">
        <v>59</v>
      </c>
      <c r="D568" t="s">
        <v>60</v>
      </c>
      <c r="E568" t="s">
        <v>61</v>
      </c>
      <c r="F568" t="s">
        <v>65</v>
      </c>
      <c r="G568" t="s">
        <v>52</v>
      </c>
      <c r="H568" t="s">
        <v>36</v>
      </c>
      <c r="I568">
        <v>4141</v>
      </c>
    </row>
    <row r="569" spans="1:9" ht="14.5" x14ac:dyDescent="0.35">
      <c r="A569">
        <v>4</v>
      </c>
      <c r="B569" t="s">
        <v>50</v>
      </c>
      <c r="C569" t="s">
        <v>59</v>
      </c>
      <c r="D569" t="s">
        <v>60</v>
      </c>
      <c r="E569" t="s">
        <v>61</v>
      </c>
      <c r="F569" t="s">
        <v>65</v>
      </c>
      <c r="G569" t="s">
        <v>52</v>
      </c>
      <c r="H569" t="s">
        <v>38</v>
      </c>
      <c r="I569">
        <v>3156</v>
      </c>
    </row>
    <row r="570" spans="1:9" ht="14.5" x14ac:dyDescent="0.35">
      <c r="A570">
        <v>4</v>
      </c>
      <c r="B570" t="s">
        <v>51</v>
      </c>
      <c r="C570" t="s">
        <v>59</v>
      </c>
      <c r="D570" t="s">
        <v>60</v>
      </c>
      <c r="E570" t="s">
        <v>61</v>
      </c>
      <c r="F570" t="s">
        <v>63</v>
      </c>
      <c r="G570" t="s">
        <v>52</v>
      </c>
      <c r="H570" t="s">
        <v>36</v>
      </c>
      <c r="I570">
        <v>2248</v>
      </c>
    </row>
    <row r="571" spans="1:9" ht="14.5" x14ac:dyDescent="0.35">
      <c r="A571">
        <v>4</v>
      </c>
      <c r="B571" t="s">
        <v>51</v>
      </c>
      <c r="C571" t="s">
        <v>59</v>
      </c>
      <c r="D571" t="s">
        <v>60</v>
      </c>
      <c r="E571" t="s">
        <v>61</v>
      </c>
      <c r="F571" t="s">
        <v>63</v>
      </c>
      <c r="G571" t="s">
        <v>52</v>
      </c>
      <c r="H571" t="s">
        <v>38</v>
      </c>
      <c r="I571">
        <v>2763</v>
      </c>
    </row>
    <row r="572" spans="1:9" ht="14.5" x14ac:dyDescent="0.35">
      <c r="A572">
        <v>4</v>
      </c>
      <c r="B572" t="s">
        <v>51</v>
      </c>
      <c r="C572" t="s">
        <v>59</v>
      </c>
      <c r="D572" t="s">
        <v>60</v>
      </c>
      <c r="E572" t="s">
        <v>61</v>
      </c>
      <c r="F572" t="s">
        <v>64</v>
      </c>
      <c r="G572" t="s">
        <v>52</v>
      </c>
      <c r="H572" t="s">
        <v>36</v>
      </c>
      <c r="I572">
        <v>4465</v>
      </c>
    </row>
    <row r="573" spans="1:9" ht="14.5" x14ac:dyDescent="0.35">
      <c r="A573">
        <v>4</v>
      </c>
      <c r="B573" t="s">
        <v>51</v>
      </c>
      <c r="C573" t="s">
        <v>59</v>
      </c>
      <c r="D573" t="s">
        <v>60</v>
      </c>
      <c r="E573" t="s">
        <v>61</v>
      </c>
      <c r="F573" t="s">
        <v>64</v>
      </c>
      <c r="G573" t="s">
        <v>52</v>
      </c>
      <c r="H573" t="s">
        <v>38</v>
      </c>
      <c r="I573">
        <v>3418</v>
      </c>
    </row>
    <row r="574" spans="1:9" ht="14.5" x14ac:dyDescent="0.35">
      <c r="A574">
        <v>4</v>
      </c>
      <c r="B574" t="s">
        <v>51</v>
      </c>
      <c r="C574" t="s">
        <v>59</v>
      </c>
      <c r="D574" t="s">
        <v>60</v>
      </c>
      <c r="E574" t="s">
        <v>61</v>
      </c>
      <c r="F574" t="s">
        <v>62</v>
      </c>
      <c r="G574" t="s">
        <v>52</v>
      </c>
      <c r="H574" t="s">
        <v>36</v>
      </c>
      <c r="I574">
        <v>4908</v>
      </c>
    </row>
    <row r="575" spans="1:9" ht="14.5" x14ac:dyDescent="0.35">
      <c r="A575">
        <v>4</v>
      </c>
      <c r="B575" t="s">
        <v>51</v>
      </c>
      <c r="C575" t="s">
        <v>59</v>
      </c>
      <c r="D575" t="s">
        <v>60</v>
      </c>
      <c r="E575" t="s">
        <v>61</v>
      </c>
      <c r="F575" t="s">
        <v>62</v>
      </c>
      <c r="G575" t="s">
        <v>52</v>
      </c>
      <c r="H575" t="s">
        <v>38</v>
      </c>
      <c r="I575">
        <v>1349</v>
      </c>
    </row>
    <row r="576" spans="1:9" ht="14.5" x14ac:dyDescent="0.35">
      <c r="A576">
        <v>4</v>
      </c>
      <c r="B576" t="s">
        <v>51</v>
      </c>
      <c r="C576" t="s">
        <v>59</v>
      </c>
      <c r="D576" t="s">
        <v>60</v>
      </c>
      <c r="E576" t="s">
        <v>61</v>
      </c>
      <c r="F576" t="s">
        <v>65</v>
      </c>
      <c r="G576" t="s">
        <v>52</v>
      </c>
      <c r="H576" t="s">
        <v>36</v>
      </c>
      <c r="I576">
        <v>1278</v>
      </c>
    </row>
    <row r="577" spans="1:9" ht="14.5" x14ac:dyDescent="0.35">
      <c r="A577">
        <v>4</v>
      </c>
      <c r="B577" t="s">
        <v>51</v>
      </c>
      <c r="C577" t="s">
        <v>59</v>
      </c>
      <c r="D577" t="s">
        <v>60</v>
      </c>
      <c r="E577" t="s">
        <v>61</v>
      </c>
      <c r="F577" t="s">
        <v>65</v>
      </c>
      <c r="G577" t="s">
        <v>52</v>
      </c>
      <c r="H577" t="s">
        <v>38</v>
      </c>
      <c r="I577">
        <v>4080</v>
      </c>
    </row>
    <row r="578" spans="1:9" ht="14.5" x14ac:dyDescent="0.35">
      <c r="A578">
        <v>1</v>
      </c>
      <c r="B578" t="s">
        <v>30</v>
      </c>
      <c r="C578" t="s">
        <v>59</v>
      </c>
      <c r="D578" t="s">
        <v>66</v>
      </c>
      <c r="E578" t="s">
        <v>67</v>
      </c>
      <c r="F578" t="s">
        <v>68</v>
      </c>
      <c r="G578" t="s">
        <v>35</v>
      </c>
      <c r="H578" t="s">
        <v>38</v>
      </c>
      <c r="I578">
        <v>4376</v>
      </c>
    </row>
    <row r="579" spans="1:9" ht="14.5" x14ac:dyDescent="0.35">
      <c r="A579">
        <v>1</v>
      </c>
      <c r="B579" t="s">
        <v>30</v>
      </c>
      <c r="C579" t="s">
        <v>59</v>
      </c>
      <c r="D579" t="s">
        <v>66</v>
      </c>
      <c r="E579" t="s">
        <v>67</v>
      </c>
      <c r="F579" t="s">
        <v>68</v>
      </c>
      <c r="G579" t="s">
        <v>35</v>
      </c>
      <c r="H579" t="s">
        <v>36</v>
      </c>
      <c r="I579">
        <v>3990</v>
      </c>
    </row>
    <row r="580" spans="1:9" ht="14.5" x14ac:dyDescent="0.35">
      <c r="A580">
        <v>1</v>
      </c>
      <c r="B580" t="s">
        <v>30</v>
      </c>
      <c r="C580" t="s">
        <v>59</v>
      </c>
      <c r="D580" t="s">
        <v>66</v>
      </c>
      <c r="E580" t="s">
        <v>67</v>
      </c>
      <c r="F580" t="s">
        <v>69</v>
      </c>
      <c r="G580" t="s">
        <v>35</v>
      </c>
      <c r="H580" t="s">
        <v>36</v>
      </c>
      <c r="I580">
        <v>1979</v>
      </c>
    </row>
    <row r="581" spans="1:9" ht="14.5" x14ac:dyDescent="0.35">
      <c r="A581">
        <v>1</v>
      </c>
      <c r="B581" t="s">
        <v>30</v>
      </c>
      <c r="C581" t="s">
        <v>59</v>
      </c>
      <c r="D581" t="s">
        <v>66</v>
      </c>
      <c r="E581" t="s">
        <v>67</v>
      </c>
      <c r="F581" t="s">
        <v>69</v>
      </c>
      <c r="G581" t="s">
        <v>35</v>
      </c>
      <c r="H581" t="s">
        <v>38</v>
      </c>
      <c r="I581">
        <v>4659</v>
      </c>
    </row>
    <row r="582" spans="1:9" ht="14.5" x14ac:dyDescent="0.35">
      <c r="A582">
        <v>1</v>
      </c>
      <c r="B582" t="s">
        <v>30</v>
      </c>
      <c r="C582" t="s">
        <v>59</v>
      </c>
      <c r="D582" t="s">
        <v>66</v>
      </c>
      <c r="E582" t="s">
        <v>67</v>
      </c>
      <c r="F582" t="s">
        <v>70</v>
      </c>
      <c r="G582" t="s">
        <v>35</v>
      </c>
      <c r="H582" t="s">
        <v>36</v>
      </c>
      <c r="I582">
        <v>1071</v>
      </c>
    </row>
    <row r="583" spans="1:9" ht="14.5" x14ac:dyDescent="0.35">
      <c r="A583">
        <v>1</v>
      </c>
      <c r="B583" t="s">
        <v>30</v>
      </c>
      <c r="C583" t="s">
        <v>59</v>
      </c>
      <c r="D583" t="s">
        <v>66</v>
      </c>
      <c r="E583" t="s">
        <v>67</v>
      </c>
      <c r="F583" t="s">
        <v>70</v>
      </c>
      <c r="G583" t="s">
        <v>35</v>
      </c>
      <c r="H583" t="s">
        <v>38</v>
      </c>
      <c r="I583">
        <v>3563</v>
      </c>
    </row>
    <row r="584" spans="1:9" ht="14.5" x14ac:dyDescent="0.35">
      <c r="A584">
        <v>1</v>
      </c>
      <c r="B584" t="s">
        <v>30</v>
      </c>
      <c r="C584" t="s">
        <v>59</v>
      </c>
      <c r="D584" t="s">
        <v>66</v>
      </c>
      <c r="E584" t="s">
        <v>67</v>
      </c>
      <c r="F584" t="s">
        <v>71</v>
      </c>
      <c r="G584" t="s">
        <v>35</v>
      </c>
      <c r="H584" t="s">
        <v>36</v>
      </c>
      <c r="I584">
        <v>1348</v>
      </c>
    </row>
    <row r="585" spans="1:9" ht="14.5" x14ac:dyDescent="0.35">
      <c r="A585">
        <v>1</v>
      </c>
      <c r="B585" t="s">
        <v>30</v>
      </c>
      <c r="C585" t="s">
        <v>59</v>
      </c>
      <c r="D585" t="s">
        <v>66</v>
      </c>
      <c r="E585" t="s">
        <v>67</v>
      </c>
      <c r="F585" t="s">
        <v>71</v>
      </c>
      <c r="G585" t="s">
        <v>35</v>
      </c>
      <c r="H585" t="s">
        <v>38</v>
      </c>
      <c r="I585">
        <v>2875</v>
      </c>
    </row>
    <row r="586" spans="1:9" ht="14.5" x14ac:dyDescent="0.35">
      <c r="A586">
        <v>1</v>
      </c>
      <c r="B586" t="s">
        <v>41</v>
      </c>
      <c r="C586" t="s">
        <v>59</v>
      </c>
      <c r="D586" t="s">
        <v>66</v>
      </c>
      <c r="E586" t="s">
        <v>67</v>
      </c>
      <c r="F586" t="s">
        <v>68</v>
      </c>
      <c r="G586" t="s">
        <v>35</v>
      </c>
      <c r="H586" t="s">
        <v>36</v>
      </c>
      <c r="I586">
        <v>1999</v>
      </c>
    </row>
    <row r="587" spans="1:9" ht="14.5" x14ac:dyDescent="0.35">
      <c r="A587">
        <v>1</v>
      </c>
      <c r="B587" t="s">
        <v>41</v>
      </c>
      <c r="C587" t="s">
        <v>59</v>
      </c>
      <c r="D587" t="s">
        <v>66</v>
      </c>
      <c r="E587" t="s">
        <v>67</v>
      </c>
      <c r="F587" t="s">
        <v>68</v>
      </c>
      <c r="G587" t="s">
        <v>35</v>
      </c>
      <c r="H587" t="s">
        <v>38</v>
      </c>
      <c r="I587">
        <v>4621</v>
      </c>
    </row>
    <row r="588" spans="1:9" ht="14.5" x14ac:dyDescent="0.35">
      <c r="A588">
        <v>1</v>
      </c>
      <c r="B588" t="s">
        <v>41</v>
      </c>
      <c r="C588" t="s">
        <v>59</v>
      </c>
      <c r="D588" t="s">
        <v>66</v>
      </c>
      <c r="E588" t="s">
        <v>67</v>
      </c>
      <c r="F588" t="s">
        <v>69</v>
      </c>
      <c r="G588" t="s">
        <v>35</v>
      </c>
      <c r="H588" t="s">
        <v>36</v>
      </c>
      <c r="I588">
        <v>4507</v>
      </c>
    </row>
    <row r="589" spans="1:9" ht="14.5" x14ac:dyDescent="0.35">
      <c r="A589">
        <v>1</v>
      </c>
      <c r="B589" t="s">
        <v>41</v>
      </c>
      <c r="C589" t="s">
        <v>59</v>
      </c>
      <c r="D589" t="s">
        <v>66</v>
      </c>
      <c r="E589" t="s">
        <v>67</v>
      </c>
      <c r="F589" t="s">
        <v>69</v>
      </c>
      <c r="G589" t="s">
        <v>35</v>
      </c>
      <c r="H589" t="s">
        <v>38</v>
      </c>
      <c r="I589">
        <v>4920</v>
      </c>
    </row>
    <row r="590" spans="1:9" ht="14.5" x14ac:dyDescent="0.35">
      <c r="A590">
        <v>1</v>
      </c>
      <c r="B590" t="s">
        <v>41</v>
      </c>
      <c r="C590" t="s">
        <v>59</v>
      </c>
      <c r="D590" t="s">
        <v>66</v>
      </c>
      <c r="E590" t="s">
        <v>67</v>
      </c>
      <c r="F590" t="s">
        <v>70</v>
      </c>
      <c r="G590" t="s">
        <v>35</v>
      </c>
      <c r="H590" t="s">
        <v>36</v>
      </c>
      <c r="I590">
        <v>4783</v>
      </c>
    </row>
    <row r="591" spans="1:9" ht="14.5" x14ac:dyDescent="0.35">
      <c r="A591">
        <v>1</v>
      </c>
      <c r="B591" t="s">
        <v>41</v>
      </c>
      <c r="C591" t="s">
        <v>59</v>
      </c>
      <c r="D591" t="s">
        <v>66</v>
      </c>
      <c r="E591" t="s">
        <v>67</v>
      </c>
      <c r="F591" t="s">
        <v>70</v>
      </c>
      <c r="G591" t="s">
        <v>35</v>
      </c>
      <c r="H591" t="s">
        <v>38</v>
      </c>
      <c r="I591">
        <v>2882</v>
      </c>
    </row>
    <row r="592" spans="1:9" ht="14.5" x14ac:dyDescent="0.35">
      <c r="A592">
        <v>1</v>
      </c>
      <c r="B592" t="s">
        <v>41</v>
      </c>
      <c r="C592" t="s">
        <v>59</v>
      </c>
      <c r="D592" t="s">
        <v>66</v>
      </c>
      <c r="E592" t="s">
        <v>67</v>
      </c>
      <c r="F592" t="s">
        <v>71</v>
      </c>
      <c r="G592" t="s">
        <v>35</v>
      </c>
      <c r="H592" t="s">
        <v>36</v>
      </c>
      <c r="I592">
        <v>1907</v>
      </c>
    </row>
    <row r="593" spans="1:9" ht="14.5" x14ac:dyDescent="0.35">
      <c r="A593">
        <v>1</v>
      </c>
      <c r="B593" t="s">
        <v>41</v>
      </c>
      <c r="C593" t="s">
        <v>59</v>
      </c>
      <c r="D593" t="s">
        <v>66</v>
      </c>
      <c r="E593" t="s">
        <v>67</v>
      </c>
      <c r="F593" t="s">
        <v>71</v>
      </c>
      <c r="G593" t="s">
        <v>35</v>
      </c>
      <c r="H593" t="s">
        <v>38</v>
      </c>
      <c r="I593">
        <v>2550</v>
      </c>
    </row>
    <row r="594" spans="1:9" ht="14.5" x14ac:dyDescent="0.35">
      <c r="A594">
        <v>1</v>
      </c>
      <c r="B594" t="s">
        <v>42</v>
      </c>
      <c r="C594" t="s">
        <v>59</v>
      </c>
      <c r="D594" t="s">
        <v>66</v>
      </c>
      <c r="E594" t="s">
        <v>67</v>
      </c>
      <c r="F594" t="s">
        <v>68</v>
      </c>
      <c r="G594" t="s">
        <v>35</v>
      </c>
      <c r="H594" t="s">
        <v>36</v>
      </c>
      <c r="I594">
        <v>2297</v>
      </c>
    </row>
    <row r="595" spans="1:9" ht="14.5" x14ac:dyDescent="0.35">
      <c r="A595">
        <v>1</v>
      </c>
      <c r="B595" t="s">
        <v>42</v>
      </c>
      <c r="C595" t="s">
        <v>59</v>
      </c>
      <c r="D595" t="s">
        <v>66</v>
      </c>
      <c r="E595" t="s">
        <v>67</v>
      </c>
      <c r="F595" t="s">
        <v>68</v>
      </c>
      <c r="G595" t="s">
        <v>35</v>
      </c>
      <c r="H595" t="s">
        <v>38</v>
      </c>
      <c r="I595">
        <v>2608</v>
      </c>
    </row>
    <row r="596" spans="1:9" ht="14.5" x14ac:dyDescent="0.35">
      <c r="A596">
        <v>1</v>
      </c>
      <c r="B596" t="s">
        <v>42</v>
      </c>
      <c r="C596" t="s">
        <v>59</v>
      </c>
      <c r="D596" t="s">
        <v>66</v>
      </c>
      <c r="E596" t="s">
        <v>67</v>
      </c>
      <c r="F596" t="s">
        <v>69</v>
      </c>
      <c r="G596" t="s">
        <v>35</v>
      </c>
      <c r="H596" t="s">
        <v>36</v>
      </c>
      <c r="I596">
        <v>1017</v>
      </c>
    </row>
    <row r="597" spans="1:9" ht="14.5" x14ac:dyDescent="0.35">
      <c r="A597">
        <v>1</v>
      </c>
      <c r="B597" t="s">
        <v>42</v>
      </c>
      <c r="C597" t="s">
        <v>59</v>
      </c>
      <c r="D597" t="s">
        <v>66</v>
      </c>
      <c r="E597" t="s">
        <v>67</v>
      </c>
      <c r="F597" t="s">
        <v>69</v>
      </c>
      <c r="G597" t="s">
        <v>35</v>
      </c>
      <c r="H597" t="s">
        <v>38</v>
      </c>
      <c r="I597">
        <v>2411</v>
      </c>
    </row>
    <row r="598" spans="1:9" ht="14.5" x14ac:dyDescent="0.35">
      <c r="A598">
        <v>1</v>
      </c>
      <c r="B598" t="s">
        <v>42</v>
      </c>
      <c r="C598" t="s">
        <v>59</v>
      </c>
      <c r="D598" t="s">
        <v>66</v>
      </c>
      <c r="E598" t="s">
        <v>67</v>
      </c>
      <c r="F598" t="s">
        <v>70</v>
      </c>
      <c r="G598" t="s">
        <v>35</v>
      </c>
      <c r="H598" t="s">
        <v>36</v>
      </c>
      <c r="I598">
        <v>4541</v>
      </c>
    </row>
    <row r="599" spans="1:9" ht="14.5" x14ac:dyDescent="0.35">
      <c r="A599">
        <v>1</v>
      </c>
      <c r="B599" t="s">
        <v>42</v>
      </c>
      <c r="C599" t="s">
        <v>59</v>
      </c>
      <c r="D599" t="s">
        <v>66</v>
      </c>
      <c r="E599" t="s">
        <v>67</v>
      </c>
      <c r="F599" t="s">
        <v>70</v>
      </c>
      <c r="G599" t="s">
        <v>35</v>
      </c>
      <c r="H599" t="s">
        <v>38</v>
      </c>
      <c r="I599">
        <v>1736</v>
      </c>
    </row>
    <row r="600" spans="1:9" ht="14.5" x14ac:dyDescent="0.35">
      <c r="A600">
        <v>1</v>
      </c>
      <c r="B600" t="s">
        <v>42</v>
      </c>
      <c r="C600" t="s">
        <v>59</v>
      </c>
      <c r="D600" t="s">
        <v>66</v>
      </c>
      <c r="E600" t="s">
        <v>67</v>
      </c>
      <c r="F600" t="s">
        <v>71</v>
      </c>
      <c r="G600" t="s">
        <v>35</v>
      </c>
      <c r="H600" t="s">
        <v>36</v>
      </c>
      <c r="I600">
        <v>2202</v>
      </c>
    </row>
    <row r="601" spans="1:9" ht="14.5" x14ac:dyDescent="0.35">
      <c r="A601">
        <v>1</v>
      </c>
      <c r="B601" t="s">
        <v>42</v>
      </c>
      <c r="C601" t="s">
        <v>59</v>
      </c>
      <c r="D601" t="s">
        <v>66</v>
      </c>
      <c r="E601" t="s">
        <v>67</v>
      </c>
      <c r="F601" t="s">
        <v>71</v>
      </c>
      <c r="G601" t="s">
        <v>35</v>
      </c>
      <c r="H601" t="s">
        <v>38</v>
      </c>
      <c r="I601">
        <v>3576</v>
      </c>
    </row>
    <row r="602" spans="1:9" ht="14.5" x14ac:dyDescent="0.35">
      <c r="A602">
        <v>2</v>
      </c>
      <c r="B602" t="s">
        <v>43</v>
      </c>
      <c r="C602" t="s">
        <v>59</v>
      </c>
      <c r="D602" t="s">
        <v>66</v>
      </c>
      <c r="E602" t="s">
        <v>67</v>
      </c>
      <c r="F602" t="s">
        <v>68</v>
      </c>
      <c r="G602" t="s">
        <v>35</v>
      </c>
      <c r="H602" t="s">
        <v>36</v>
      </c>
      <c r="I602">
        <v>1348</v>
      </c>
    </row>
    <row r="603" spans="1:9" ht="14.5" x14ac:dyDescent="0.35">
      <c r="A603">
        <v>2</v>
      </c>
      <c r="B603" t="s">
        <v>43</v>
      </c>
      <c r="C603" t="s">
        <v>59</v>
      </c>
      <c r="D603" t="s">
        <v>66</v>
      </c>
      <c r="E603" t="s">
        <v>67</v>
      </c>
      <c r="F603" t="s">
        <v>68</v>
      </c>
      <c r="G603" t="s">
        <v>35</v>
      </c>
      <c r="H603" t="s">
        <v>38</v>
      </c>
      <c r="I603">
        <v>2452</v>
      </c>
    </row>
    <row r="604" spans="1:9" ht="14.5" x14ac:dyDescent="0.35">
      <c r="A604">
        <v>2</v>
      </c>
      <c r="B604" t="s">
        <v>43</v>
      </c>
      <c r="C604" t="s">
        <v>59</v>
      </c>
      <c r="D604" t="s">
        <v>66</v>
      </c>
      <c r="E604" t="s">
        <v>67</v>
      </c>
      <c r="F604" t="s">
        <v>69</v>
      </c>
      <c r="G604" t="s">
        <v>35</v>
      </c>
      <c r="H604" t="s">
        <v>36</v>
      </c>
      <c r="I604">
        <v>4333</v>
      </c>
    </row>
    <row r="605" spans="1:9" ht="14.5" x14ac:dyDescent="0.35">
      <c r="A605">
        <v>2</v>
      </c>
      <c r="B605" t="s">
        <v>43</v>
      </c>
      <c r="C605" t="s">
        <v>59</v>
      </c>
      <c r="D605" t="s">
        <v>66</v>
      </c>
      <c r="E605" t="s">
        <v>67</v>
      </c>
      <c r="F605" t="s">
        <v>69</v>
      </c>
      <c r="G605" t="s">
        <v>35</v>
      </c>
      <c r="H605" t="s">
        <v>38</v>
      </c>
      <c r="I605">
        <v>4667</v>
      </c>
    </row>
    <row r="606" spans="1:9" ht="14.5" x14ac:dyDescent="0.35">
      <c r="A606">
        <v>2</v>
      </c>
      <c r="B606" t="s">
        <v>43</v>
      </c>
      <c r="C606" t="s">
        <v>59</v>
      </c>
      <c r="D606" t="s">
        <v>66</v>
      </c>
      <c r="E606" t="s">
        <v>67</v>
      </c>
      <c r="F606" t="s">
        <v>70</v>
      </c>
      <c r="G606" t="s">
        <v>35</v>
      </c>
      <c r="H606" t="s">
        <v>36</v>
      </c>
      <c r="I606">
        <v>1138</v>
      </c>
    </row>
    <row r="607" spans="1:9" ht="14.5" x14ac:dyDescent="0.35">
      <c r="A607">
        <v>2</v>
      </c>
      <c r="B607" t="s">
        <v>43</v>
      </c>
      <c r="C607" t="s">
        <v>59</v>
      </c>
      <c r="D607" t="s">
        <v>66</v>
      </c>
      <c r="E607" t="s">
        <v>67</v>
      </c>
      <c r="F607" t="s">
        <v>70</v>
      </c>
      <c r="G607" t="s">
        <v>35</v>
      </c>
      <c r="H607" t="s">
        <v>38</v>
      </c>
      <c r="I607">
        <v>4271</v>
      </c>
    </row>
    <row r="608" spans="1:9" ht="14.5" x14ac:dyDescent="0.35">
      <c r="A608">
        <v>2</v>
      </c>
      <c r="B608" t="s">
        <v>43</v>
      </c>
      <c r="C608" t="s">
        <v>59</v>
      </c>
      <c r="D608" t="s">
        <v>66</v>
      </c>
      <c r="E608" t="s">
        <v>67</v>
      </c>
      <c r="F608" t="s">
        <v>71</v>
      </c>
      <c r="G608" t="s">
        <v>35</v>
      </c>
      <c r="H608" t="s">
        <v>36</v>
      </c>
      <c r="I608">
        <v>3659</v>
      </c>
    </row>
    <row r="609" spans="1:9" ht="14.5" x14ac:dyDescent="0.35">
      <c r="A609">
        <v>2</v>
      </c>
      <c r="B609" t="s">
        <v>43</v>
      </c>
      <c r="C609" t="s">
        <v>59</v>
      </c>
      <c r="D609" t="s">
        <v>66</v>
      </c>
      <c r="E609" t="s">
        <v>67</v>
      </c>
      <c r="F609" t="s">
        <v>71</v>
      </c>
      <c r="G609" t="s">
        <v>35</v>
      </c>
      <c r="H609" t="s">
        <v>38</v>
      </c>
      <c r="I609">
        <v>1252</v>
      </c>
    </row>
    <row r="610" spans="1:9" ht="14.5" x14ac:dyDescent="0.35">
      <c r="A610">
        <v>2</v>
      </c>
      <c r="B610" t="s">
        <v>44</v>
      </c>
      <c r="C610" t="s">
        <v>59</v>
      </c>
      <c r="D610" t="s">
        <v>66</v>
      </c>
      <c r="E610" t="s">
        <v>67</v>
      </c>
      <c r="F610" t="s">
        <v>68</v>
      </c>
      <c r="G610" t="s">
        <v>35</v>
      </c>
      <c r="H610" t="s">
        <v>36</v>
      </c>
      <c r="I610">
        <v>4442</v>
      </c>
    </row>
    <row r="611" spans="1:9" ht="14.5" x14ac:dyDescent="0.35">
      <c r="A611">
        <v>2</v>
      </c>
      <c r="B611" t="s">
        <v>44</v>
      </c>
      <c r="C611" t="s">
        <v>59</v>
      </c>
      <c r="D611" t="s">
        <v>66</v>
      </c>
      <c r="E611" t="s">
        <v>67</v>
      </c>
      <c r="F611" t="s">
        <v>68</v>
      </c>
      <c r="G611" t="s">
        <v>35</v>
      </c>
      <c r="H611" t="s">
        <v>38</v>
      </c>
      <c r="I611">
        <v>3507</v>
      </c>
    </row>
    <row r="612" spans="1:9" ht="14.5" x14ac:dyDescent="0.35">
      <c r="A612">
        <v>2</v>
      </c>
      <c r="B612" t="s">
        <v>44</v>
      </c>
      <c r="C612" t="s">
        <v>59</v>
      </c>
      <c r="D612" t="s">
        <v>66</v>
      </c>
      <c r="E612" t="s">
        <v>67</v>
      </c>
      <c r="F612" t="s">
        <v>69</v>
      </c>
      <c r="G612" t="s">
        <v>35</v>
      </c>
      <c r="H612" t="s">
        <v>36</v>
      </c>
      <c r="I612">
        <v>4949</v>
      </c>
    </row>
    <row r="613" spans="1:9" ht="14.5" x14ac:dyDescent="0.35">
      <c r="A613">
        <v>2</v>
      </c>
      <c r="B613" t="s">
        <v>44</v>
      </c>
      <c r="C613" t="s">
        <v>59</v>
      </c>
      <c r="D613" t="s">
        <v>66</v>
      </c>
      <c r="E613" t="s">
        <v>67</v>
      </c>
      <c r="F613" t="s">
        <v>69</v>
      </c>
      <c r="G613" t="s">
        <v>35</v>
      </c>
      <c r="H613" t="s">
        <v>38</v>
      </c>
      <c r="I613">
        <v>2938</v>
      </c>
    </row>
    <row r="614" spans="1:9" ht="14.5" x14ac:dyDescent="0.35">
      <c r="A614">
        <v>2</v>
      </c>
      <c r="B614" t="s">
        <v>44</v>
      </c>
      <c r="C614" t="s">
        <v>59</v>
      </c>
      <c r="D614" t="s">
        <v>66</v>
      </c>
      <c r="E614" t="s">
        <v>67</v>
      </c>
      <c r="F614" t="s">
        <v>70</v>
      </c>
      <c r="G614" t="s">
        <v>35</v>
      </c>
      <c r="H614" t="s">
        <v>36</v>
      </c>
      <c r="I614">
        <v>2446</v>
      </c>
    </row>
    <row r="615" spans="1:9" ht="14.5" x14ac:dyDescent="0.35">
      <c r="A615">
        <v>2</v>
      </c>
      <c r="B615" t="s">
        <v>44</v>
      </c>
      <c r="C615" t="s">
        <v>59</v>
      </c>
      <c r="D615" t="s">
        <v>66</v>
      </c>
      <c r="E615" t="s">
        <v>67</v>
      </c>
      <c r="F615" t="s">
        <v>70</v>
      </c>
      <c r="G615" t="s">
        <v>35</v>
      </c>
      <c r="H615" t="s">
        <v>38</v>
      </c>
      <c r="I615">
        <v>4654</v>
      </c>
    </row>
    <row r="616" spans="1:9" ht="14.5" x14ac:dyDescent="0.35">
      <c r="A616">
        <v>2</v>
      </c>
      <c r="B616" t="s">
        <v>44</v>
      </c>
      <c r="C616" t="s">
        <v>59</v>
      </c>
      <c r="D616" t="s">
        <v>66</v>
      </c>
      <c r="E616" t="s">
        <v>67</v>
      </c>
      <c r="F616" t="s">
        <v>71</v>
      </c>
      <c r="G616" t="s">
        <v>35</v>
      </c>
      <c r="H616" t="s">
        <v>36</v>
      </c>
      <c r="I616">
        <v>3570</v>
      </c>
    </row>
    <row r="617" spans="1:9" ht="14.5" x14ac:dyDescent="0.35">
      <c r="A617">
        <v>2</v>
      </c>
      <c r="B617" t="s">
        <v>44</v>
      </c>
      <c r="C617" t="s">
        <v>59</v>
      </c>
      <c r="D617" t="s">
        <v>66</v>
      </c>
      <c r="E617" t="s">
        <v>67</v>
      </c>
      <c r="F617" t="s">
        <v>71</v>
      </c>
      <c r="G617" t="s">
        <v>35</v>
      </c>
      <c r="H617" t="s">
        <v>38</v>
      </c>
      <c r="I617">
        <v>1805</v>
      </c>
    </row>
    <row r="618" spans="1:9" ht="14.5" x14ac:dyDescent="0.35">
      <c r="A618">
        <v>2</v>
      </c>
      <c r="B618" t="s">
        <v>45</v>
      </c>
      <c r="C618" t="s">
        <v>59</v>
      </c>
      <c r="D618" t="s">
        <v>66</v>
      </c>
      <c r="E618" t="s">
        <v>67</v>
      </c>
      <c r="F618" t="s">
        <v>68</v>
      </c>
      <c r="G618" t="s">
        <v>35</v>
      </c>
      <c r="H618" t="s">
        <v>36</v>
      </c>
      <c r="I618">
        <v>4380</v>
      </c>
    </row>
    <row r="619" spans="1:9" ht="14.5" x14ac:dyDescent="0.35">
      <c r="A619">
        <v>2</v>
      </c>
      <c r="B619" t="s">
        <v>45</v>
      </c>
      <c r="C619" t="s">
        <v>59</v>
      </c>
      <c r="D619" t="s">
        <v>66</v>
      </c>
      <c r="E619" t="s">
        <v>67</v>
      </c>
      <c r="F619" t="s">
        <v>68</v>
      </c>
      <c r="G619" t="s">
        <v>35</v>
      </c>
      <c r="H619" t="s">
        <v>38</v>
      </c>
      <c r="I619">
        <v>1042</v>
      </c>
    </row>
    <row r="620" spans="1:9" ht="14.5" x14ac:dyDescent="0.35">
      <c r="A620">
        <v>2</v>
      </c>
      <c r="B620" t="s">
        <v>45</v>
      </c>
      <c r="C620" t="s">
        <v>59</v>
      </c>
      <c r="D620" t="s">
        <v>66</v>
      </c>
      <c r="E620" t="s">
        <v>67</v>
      </c>
      <c r="F620" t="s">
        <v>69</v>
      </c>
      <c r="G620" t="s">
        <v>35</v>
      </c>
      <c r="H620" t="s">
        <v>36</v>
      </c>
      <c r="I620">
        <v>4932</v>
      </c>
    </row>
    <row r="621" spans="1:9" ht="14.5" x14ac:dyDescent="0.35">
      <c r="A621">
        <v>2</v>
      </c>
      <c r="B621" t="s">
        <v>45</v>
      </c>
      <c r="C621" t="s">
        <v>59</v>
      </c>
      <c r="D621" t="s">
        <v>66</v>
      </c>
      <c r="E621" t="s">
        <v>67</v>
      </c>
      <c r="F621" t="s">
        <v>69</v>
      </c>
      <c r="G621" t="s">
        <v>35</v>
      </c>
      <c r="H621" t="s">
        <v>38</v>
      </c>
      <c r="I621">
        <v>4201</v>
      </c>
    </row>
    <row r="622" spans="1:9" ht="14.5" x14ac:dyDescent="0.35">
      <c r="A622">
        <v>2</v>
      </c>
      <c r="B622" t="s">
        <v>45</v>
      </c>
      <c r="C622" t="s">
        <v>59</v>
      </c>
      <c r="D622" t="s">
        <v>66</v>
      </c>
      <c r="E622" t="s">
        <v>67</v>
      </c>
      <c r="F622" t="s">
        <v>70</v>
      </c>
      <c r="G622" t="s">
        <v>35</v>
      </c>
      <c r="H622" t="s">
        <v>36</v>
      </c>
      <c r="I622">
        <v>1515</v>
      </c>
    </row>
    <row r="623" spans="1:9" ht="14.5" x14ac:dyDescent="0.35">
      <c r="A623">
        <v>2</v>
      </c>
      <c r="B623" t="s">
        <v>45</v>
      </c>
      <c r="C623" t="s">
        <v>59</v>
      </c>
      <c r="D623" t="s">
        <v>66</v>
      </c>
      <c r="E623" t="s">
        <v>67</v>
      </c>
      <c r="F623" t="s">
        <v>70</v>
      </c>
      <c r="G623" t="s">
        <v>35</v>
      </c>
      <c r="H623" t="s">
        <v>38</v>
      </c>
      <c r="I623">
        <v>4028</v>
      </c>
    </row>
    <row r="624" spans="1:9" ht="14.5" x14ac:dyDescent="0.35">
      <c r="A624">
        <v>2</v>
      </c>
      <c r="B624" t="s">
        <v>45</v>
      </c>
      <c r="C624" t="s">
        <v>59</v>
      </c>
      <c r="D624" t="s">
        <v>66</v>
      </c>
      <c r="E624" t="s">
        <v>67</v>
      </c>
      <c r="F624" t="s">
        <v>71</v>
      </c>
      <c r="G624" t="s">
        <v>35</v>
      </c>
      <c r="H624" t="s">
        <v>36</v>
      </c>
      <c r="I624">
        <v>1805</v>
      </c>
    </row>
    <row r="625" spans="1:9" ht="14.5" x14ac:dyDescent="0.35">
      <c r="A625">
        <v>2</v>
      </c>
      <c r="B625" t="s">
        <v>45</v>
      </c>
      <c r="C625" t="s">
        <v>59</v>
      </c>
      <c r="D625" t="s">
        <v>66</v>
      </c>
      <c r="E625" t="s">
        <v>67</v>
      </c>
      <c r="F625" t="s">
        <v>71</v>
      </c>
      <c r="G625" t="s">
        <v>35</v>
      </c>
      <c r="H625" t="s">
        <v>38</v>
      </c>
      <c r="I625">
        <v>1395</v>
      </c>
    </row>
    <row r="626" spans="1:9" ht="14.5" x14ac:dyDescent="0.35">
      <c r="A626">
        <v>3</v>
      </c>
      <c r="B626" t="s">
        <v>46</v>
      </c>
      <c r="C626" t="s">
        <v>59</v>
      </c>
      <c r="D626" t="s">
        <v>66</v>
      </c>
      <c r="E626" t="s">
        <v>67</v>
      </c>
      <c r="F626" t="s">
        <v>68</v>
      </c>
      <c r="G626" t="s">
        <v>35</v>
      </c>
      <c r="H626" t="s">
        <v>36</v>
      </c>
      <c r="I626">
        <v>1457</v>
      </c>
    </row>
    <row r="627" spans="1:9" ht="14.5" x14ac:dyDescent="0.35">
      <c r="A627">
        <v>3</v>
      </c>
      <c r="B627" t="s">
        <v>46</v>
      </c>
      <c r="C627" t="s">
        <v>59</v>
      </c>
      <c r="D627" t="s">
        <v>66</v>
      </c>
      <c r="E627" t="s">
        <v>67</v>
      </c>
      <c r="F627" t="s">
        <v>68</v>
      </c>
      <c r="G627" t="s">
        <v>35</v>
      </c>
      <c r="H627" t="s">
        <v>38</v>
      </c>
      <c r="I627">
        <v>3848</v>
      </c>
    </row>
    <row r="628" spans="1:9" ht="14.5" x14ac:dyDescent="0.35">
      <c r="A628">
        <v>3</v>
      </c>
      <c r="B628" t="s">
        <v>46</v>
      </c>
      <c r="C628" t="s">
        <v>59</v>
      </c>
      <c r="D628" t="s">
        <v>66</v>
      </c>
      <c r="E628" t="s">
        <v>67</v>
      </c>
      <c r="F628" t="s">
        <v>69</v>
      </c>
      <c r="G628" t="s">
        <v>35</v>
      </c>
      <c r="H628" t="s">
        <v>36</v>
      </c>
      <c r="I628">
        <v>3852</v>
      </c>
    </row>
    <row r="629" spans="1:9" ht="14.5" x14ac:dyDescent="0.35">
      <c r="A629">
        <v>3</v>
      </c>
      <c r="B629" t="s">
        <v>46</v>
      </c>
      <c r="C629" t="s">
        <v>59</v>
      </c>
      <c r="D629" t="s">
        <v>66</v>
      </c>
      <c r="E629" t="s">
        <v>67</v>
      </c>
      <c r="F629" t="s">
        <v>69</v>
      </c>
      <c r="G629" t="s">
        <v>35</v>
      </c>
      <c r="H629" t="s">
        <v>38</v>
      </c>
      <c r="I629">
        <v>2219</v>
      </c>
    </row>
    <row r="630" spans="1:9" ht="14.5" x14ac:dyDescent="0.35">
      <c r="A630">
        <v>3</v>
      </c>
      <c r="B630" t="s">
        <v>46</v>
      </c>
      <c r="C630" t="s">
        <v>59</v>
      </c>
      <c r="D630" t="s">
        <v>66</v>
      </c>
      <c r="E630" t="s">
        <v>67</v>
      </c>
      <c r="F630" t="s">
        <v>70</v>
      </c>
      <c r="G630" t="s">
        <v>35</v>
      </c>
      <c r="H630" t="s">
        <v>36</v>
      </c>
      <c r="I630">
        <v>4571</v>
      </c>
    </row>
    <row r="631" spans="1:9" ht="14.5" x14ac:dyDescent="0.35">
      <c r="A631">
        <v>3</v>
      </c>
      <c r="B631" t="s">
        <v>46</v>
      </c>
      <c r="C631" t="s">
        <v>59</v>
      </c>
      <c r="D631" t="s">
        <v>66</v>
      </c>
      <c r="E631" t="s">
        <v>67</v>
      </c>
      <c r="F631" t="s">
        <v>70</v>
      </c>
      <c r="G631" t="s">
        <v>35</v>
      </c>
      <c r="H631" t="s">
        <v>38</v>
      </c>
      <c r="I631">
        <v>2650</v>
      </c>
    </row>
    <row r="632" spans="1:9" ht="14.5" x14ac:dyDescent="0.35">
      <c r="A632">
        <v>3</v>
      </c>
      <c r="B632" t="s">
        <v>46</v>
      </c>
      <c r="C632" t="s">
        <v>59</v>
      </c>
      <c r="D632" t="s">
        <v>66</v>
      </c>
      <c r="E632" t="s">
        <v>67</v>
      </c>
      <c r="F632" t="s">
        <v>71</v>
      </c>
      <c r="G632" t="s">
        <v>35</v>
      </c>
      <c r="H632" t="s">
        <v>36</v>
      </c>
      <c r="I632">
        <v>3391</v>
      </c>
    </row>
    <row r="633" spans="1:9" ht="14.5" x14ac:dyDescent="0.35">
      <c r="A633">
        <v>3</v>
      </c>
      <c r="B633" t="s">
        <v>46</v>
      </c>
      <c r="C633" t="s">
        <v>59</v>
      </c>
      <c r="D633" t="s">
        <v>66</v>
      </c>
      <c r="E633" t="s">
        <v>67</v>
      </c>
      <c r="F633" t="s">
        <v>71</v>
      </c>
      <c r="G633" t="s">
        <v>35</v>
      </c>
      <c r="H633" t="s">
        <v>38</v>
      </c>
      <c r="I633">
        <v>4286</v>
      </c>
    </row>
    <row r="634" spans="1:9" ht="14.5" x14ac:dyDescent="0.35">
      <c r="A634">
        <v>3</v>
      </c>
      <c r="B634" t="s">
        <v>47</v>
      </c>
      <c r="C634" t="s">
        <v>59</v>
      </c>
      <c r="D634" t="s">
        <v>66</v>
      </c>
      <c r="E634" t="s">
        <v>67</v>
      </c>
      <c r="F634" t="s">
        <v>68</v>
      </c>
      <c r="G634" t="s">
        <v>35</v>
      </c>
      <c r="H634" t="s">
        <v>36</v>
      </c>
      <c r="I634">
        <v>1046</v>
      </c>
    </row>
    <row r="635" spans="1:9" ht="14.5" x14ac:dyDescent="0.35">
      <c r="A635">
        <v>3</v>
      </c>
      <c r="B635" t="s">
        <v>47</v>
      </c>
      <c r="C635" t="s">
        <v>59</v>
      </c>
      <c r="D635" t="s">
        <v>66</v>
      </c>
      <c r="E635" t="s">
        <v>67</v>
      </c>
      <c r="F635" t="s">
        <v>68</v>
      </c>
      <c r="G635" t="s">
        <v>35</v>
      </c>
      <c r="H635" t="s">
        <v>38</v>
      </c>
      <c r="I635">
        <v>2121</v>
      </c>
    </row>
    <row r="636" spans="1:9" ht="14.5" x14ac:dyDescent="0.35">
      <c r="A636">
        <v>3</v>
      </c>
      <c r="B636" t="s">
        <v>47</v>
      </c>
      <c r="C636" t="s">
        <v>59</v>
      </c>
      <c r="D636" t="s">
        <v>66</v>
      </c>
      <c r="E636" t="s">
        <v>67</v>
      </c>
      <c r="F636" t="s">
        <v>69</v>
      </c>
      <c r="G636" t="s">
        <v>35</v>
      </c>
      <c r="H636" t="s">
        <v>36</v>
      </c>
      <c r="I636">
        <v>3511</v>
      </c>
    </row>
    <row r="637" spans="1:9" ht="14.5" x14ac:dyDescent="0.35">
      <c r="A637">
        <v>3</v>
      </c>
      <c r="B637" t="s">
        <v>47</v>
      </c>
      <c r="C637" t="s">
        <v>59</v>
      </c>
      <c r="D637" t="s">
        <v>66</v>
      </c>
      <c r="E637" t="s">
        <v>67</v>
      </c>
      <c r="F637" t="s">
        <v>69</v>
      </c>
      <c r="G637" t="s">
        <v>35</v>
      </c>
      <c r="H637" t="s">
        <v>38</v>
      </c>
      <c r="I637">
        <v>3972</v>
      </c>
    </row>
    <row r="638" spans="1:9" ht="14.5" x14ac:dyDescent="0.35">
      <c r="A638">
        <v>3</v>
      </c>
      <c r="B638" t="s">
        <v>47</v>
      </c>
      <c r="C638" t="s">
        <v>59</v>
      </c>
      <c r="D638" t="s">
        <v>66</v>
      </c>
      <c r="E638" t="s">
        <v>67</v>
      </c>
      <c r="F638" t="s">
        <v>70</v>
      </c>
      <c r="G638" t="s">
        <v>35</v>
      </c>
      <c r="H638" t="s">
        <v>36</v>
      </c>
      <c r="I638">
        <v>3405</v>
      </c>
    </row>
    <row r="639" spans="1:9" ht="14.5" x14ac:dyDescent="0.35">
      <c r="A639">
        <v>3</v>
      </c>
      <c r="B639" t="s">
        <v>47</v>
      </c>
      <c r="C639" t="s">
        <v>59</v>
      </c>
      <c r="D639" t="s">
        <v>66</v>
      </c>
      <c r="E639" t="s">
        <v>67</v>
      </c>
      <c r="F639" t="s">
        <v>70</v>
      </c>
      <c r="G639" t="s">
        <v>35</v>
      </c>
      <c r="H639" t="s">
        <v>38</v>
      </c>
      <c r="I639">
        <v>2717</v>
      </c>
    </row>
    <row r="640" spans="1:9" ht="14.5" x14ac:dyDescent="0.35">
      <c r="A640">
        <v>3</v>
      </c>
      <c r="B640" t="s">
        <v>47</v>
      </c>
      <c r="C640" t="s">
        <v>59</v>
      </c>
      <c r="D640" t="s">
        <v>66</v>
      </c>
      <c r="E640" t="s">
        <v>67</v>
      </c>
      <c r="F640" t="s">
        <v>71</v>
      </c>
      <c r="G640" t="s">
        <v>35</v>
      </c>
      <c r="H640" t="s">
        <v>36</v>
      </c>
      <c r="I640">
        <v>1147</v>
      </c>
    </row>
    <row r="641" spans="1:9" ht="14.5" x14ac:dyDescent="0.35">
      <c r="A641">
        <v>3</v>
      </c>
      <c r="B641" t="s">
        <v>47</v>
      </c>
      <c r="C641" t="s">
        <v>59</v>
      </c>
      <c r="D641" t="s">
        <v>66</v>
      </c>
      <c r="E641" t="s">
        <v>67</v>
      </c>
      <c r="F641" t="s">
        <v>71</v>
      </c>
      <c r="G641" t="s">
        <v>35</v>
      </c>
      <c r="H641" t="s">
        <v>38</v>
      </c>
      <c r="I641">
        <v>3125</v>
      </c>
    </row>
    <row r="642" spans="1:9" ht="14.5" x14ac:dyDescent="0.35">
      <c r="A642">
        <v>3</v>
      </c>
      <c r="B642" t="s">
        <v>48</v>
      </c>
      <c r="C642" t="s">
        <v>59</v>
      </c>
      <c r="D642" t="s">
        <v>66</v>
      </c>
      <c r="E642" t="s">
        <v>67</v>
      </c>
      <c r="F642" t="s">
        <v>68</v>
      </c>
      <c r="G642" t="s">
        <v>35</v>
      </c>
      <c r="H642" t="s">
        <v>36</v>
      </c>
      <c r="I642">
        <v>3971</v>
      </c>
    </row>
    <row r="643" spans="1:9" ht="14.5" x14ac:dyDescent="0.35">
      <c r="A643">
        <v>3</v>
      </c>
      <c r="B643" t="s">
        <v>48</v>
      </c>
      <c r="C643" t="s">
        <v>59</v>
      </c>
      <c r="D643" t="s">
        <v>66</v>
      </c>
      <c r="E643" t="s">
        <v>67</v>
      </c>
      <c r="F643" t="s">
        <v>68</v>
      </c>
      <c r="G643" t="s">
        <v>35</v>
      </c>
      <c r="H643" t="s">
        <v>38</v>
      </c>
      <c r="I643">
        <v>4431</v>
      </c>
    </row>
    <row r="644" spans="1:9" ht="14.5" x14ac:dyDescent="0.35">
      <c r="A644">
        <v>3</v>
      </c>
      <c r="B644" t="s">
        <v>48</v>
      </c>
      <c r="C644" t="s">
        <v>59</v>
      </c>
      <c r="D644" t="s">
        <v>66</v>
      </c>
      <c r="E644" t="s">
        <v>67</v>
      </c>
      <c r="F644" t="s">
        <v>69</v>
      </c>
      <c r="G644" t="s">
        <v>35</v>
      </c>
      <c r="H644" t="s">
        <v>36</v>
      </c>
      <c r="I644">
        <v>4235</v>
      </c>
    </row>
    <row r="645" spans="1:9" ht="14.5" x14ac:dyDescent="0.35">
      <c r="A645">
        <v>3</v>
      </c>
      <c r="B645" t="s">
        <v>48</v>
      </c>
      <c r="C645" t="s">
        <v>59</v>
      </c>
      <c r="D645" t="s">
        <v>66</v>
      </c>
      <c r="E645" t="s">
        <v>67</v>
      </c>
      <c r="F645" t="s">
        <v>69</v>
      </c>
      <c r="G645" t="s">
        <v>35</v>
      </c>
      <c r="H645" t="s">
        <v>38</v>
      </c>
      <c r="I645">
        <v>3512</v>
      </c>
    </row>
    <row r="646" spans="1:9" ht="14.5" x14ac:dyDescent="0.35">
      <c r="A646">
        <v>3</v>
      </c>
      <c r="B646" t="s">
        <v>48</v>
      </c>
      <c r="C646" t="s">
        <v>59</v>
      </c>
      <c r="D646" t="s">
        <v>66</v>
      </c>
      <c r="E646" t="s">
        <v>67</v>
      </c>
      <c r="F646" t="s">
        <v>70</v>
      </c>
      <c r="G646" t="s">
        <v>35</v>
      </c>
      <c r="H646" t="s">
        <v>36</v>
      </c>
      <c r="I646">
        <v>2511</v>
      </c>
    </row>
    <row r="647" spans="1:9" ht="14.5" x14ac:dyDescent="0.35">
      <c r="A647">
        <v>3</v>
      </c>
      <c r="B647" t="s">
        <v>48</v>
      </c>
      <c r="C647" t="s">
        <v>59</v>
      </c>
      <c r="D647" t="s">
        <v>66</v>
      </c>
      <c r="E647" t="s">
        <v>67</v>
      </c>
      <c r="F647" t="s">
        <v>70</v>
      </c>
      <c r="G647" t="s">
        <v>35</v>
      </c>
      <c r="H647" t="s">
        <v>38</v>
      </c>
      <c r="I647">
        <v>3959</v>
      </c>
    </row>
    <row r="648" spans="1:9" ht="14.5" x14ac:dyDescent="0.35">
      <c r="A648">
        <v>3</v>
      </c>
      <c r="B648" t="s">
        <v>48</v>
      </c>
      <c r="C648" t="s">
        <v>59</v>
      </c>
      <c r="D648" t="s">
        <v>66</v>
      </c>
      <c r="E648" t="s">
        <v>67</v>
      </c>
      <c r="F648" t="s">
        <v>71</v>
      </c>
      <c r="G648" t="s">
        <v>35</v>
      </c>
      <c r="H648" t="s">
        <v>36</v>
      </c>
      <c r="I648">
        <v>1665</v>
      </c>
    </row>
    <row r="649" spans="1:9" ht="14.5" x14ac:dyDescent="0.35">
      <c r="A649">
        <v>3</v>
      </c>
      <c r="B649" t="s">
        <v>48</v>
      </c>
      <c r="C649" t="s">
        <v>59</v>
      </c>
      <c r="D649" t="s">
        <v>66</v>
      </c>
      <c r="E649" t="s">
        <v>67</v>
      </c>
      <c r="F649" t="s">
        <v>71</v>
      </c>
      <c r="G649" t="s">
        <v>35</v>
      </c>
      <c r="H649" t="s">
        <v>38</v>
      </c>
      <c r="I649">
        <v>3207</v>
      </c>
    </row>
    <row r="650" spans="1:9" ht="14.5" x14ac:dyDescent="0.35">
      <c r="A650">
        <v>4</v>
      </c>
      <c r="B650" t="s">
        <v>49</v>
      </c>
      <c r="C650" t="s">
        <v>59</v>
      </c>
      <c r="D650" t="s">
        <v>66</v>
      </c>
      <c r="E650" t="s">
        <v>67</v>
      </c>
      <c r="F650" t="s">
        <v>68</v>
      </c>
      <c r="G650" t="s">
        <v>35</v>
      </c>
      <c r="H650" t="s">
        <v>36</v>
      </c>
      <c r="I650">
        <v>1219</v>
      </c>
    </row>
    <row r="651" spans="1:9" ht="14.5" x14ac:dyDescent="0.35">
      <c r="A651">
        <v>4</v>
      </c>
      <c r="B651" t="s">
        <v>49</v>
      </c>
      <c r="C651" t="s">
        <v>59</v>
      </c>
      <c r="D651" t="s">
        <v>66</v>
      </c>
      <c r="E651" t="s">
        <v>67</v>
      </c>
      <c r="F651" t="s">
        <v>68</v>
      </c>
      <c r="G651" t="s">
        <v>35</v>
      </c>
      <c r="H651" t="s">
        <v>38</v>
      </c>
      <c r="I651">
        <v>1404</v>
      </c>
    </row>
    <row r="652" spans="1:9" ht="14.5" x14ac:dyDescent="0.35">
      <c r="A652">
        <v>4</v>
      </c>
      <c r="B652" t="s">
        <v>49</v>
      </c>
      <c r="C652" t="s">
        <v>59</v>
      </c>
      <c r="D652" t="s">
        <v>66</v>
      </c>
      <c r="E652" t="s">
        <v>67</v>
      </c>
      <c r="F652" t="s">
        <v>69</v>
      </c>
      <c r="G652" t="s">
        <v>35</v>
      </c>
      <c r="H652" t="s">
        <v>36</v>
      </c>
      <c r="I652">
        <v>4613</v>
      </c>
    </row>
    <row r="653" spans="1:9" ht="14.5" x14ac:dyDescent="0.35">
      <c r="A653">
        <v>4</v>
      </c>
      <c r="B653" t="s">
        <v>49</v>
      </c>
      <c r="C653" t="s">
        <v>59</v>
      </c>
      <c r="D653" t="s">
        <v>66</v>
      </c>
      <c r="E653" t="s">
        <v>67</v>
      </c>
      <c r="F653" t="s">
        <v>69</v>
      </c>
      <c r="G653" t="s">
        <v>35</v>
      </c>
      <c r="H653" t="s">
        <v>38</v>
      </c>
      <c r="I653">
        <v>2064</v>
      </c>
    </row>
    <row r="654" spans="1:9" ht="14.5" x14ac:dyDescent="0.35">
      <c r="A654">
        <v>4</v>
      </c>
      <c r="B654" t="s">
        <v>49</v>
      </c>
      <c r="C654" t="s">
        <v>59</v>
      </c>
      <c r="D654" t="s">
        <v>66</v>
      </c>
      <c r="E654" t="s">
        <v>67</v>
      </c>
      <c r="F654" t="s">
        <v>70</v>
      </c>
      <c r="G654" t="s">
        <v>35</v>
      </c>
      <c r="H654" t="s">
        <v>36</v>
      </c>
      <c r="I654">
        <v>4984</v>
      </c>
    </row>
    <row r="655" spans="1:9" ht="14.5" x14ac:dyDescent="0.35">
      <c r="A655">
        <v>4</v>
      </c>
      <c r="B655" t="s">
        <v>49</v>
      </c>
      <c r="C655" t="s">
        <v>59</v>
      </c>
      <c r="D655" t="s">
        <v>66</v>
      </c>
      <c r="E655" t="s">
        <v>67</v>
      </c>
      <c r="F655" t="s">
        <v>70</v>
      </c>
      <c r="G655" t="s">
        <v>35</v>
      </c>
      <c r="H655" t="s">
        <v>38</v>
      </c>
      <c r="I655">
        <v>3202</v>
      </c>
    </row>
    <row r="656" spans="1:9" ht="14.5" x14ac:dyDescent="0.35">
      <c r="A656">
        <v>4</v>
      </c>
      <c r="B656" t="s">
        <v>49</v>
      </c>
      <c r="C656" t="s">
        <v>59</v>
      </c>
      <c r="D656" t="s">
        <v>66</v>
      </c>
      <c r="E656" t="s">
        <v>67</v>
      </c>
      <c r="F656" t="s">
        <v>71</v>
      </c>
      <c r="G656" t="s">
        <v>35</v>
      </c>
      <c r="H656" t="s">
        <v>36</v>
      </c>
      <c r="I656">
        <v>2898</v>
      </c>
    </row>
    <row r="657" spans="1:9" ht="14.5" x14ac:dyDescent="0.35">
      <c r="A657">
        <v>4</v>
      </c>
      <c r="B657" t="s">
        <v>49</v>
      </c>
      <c r="C657" t="s">
        <v>59</v>
      </c>
      <c r="D657" t="s">
        <v>66</v>
      </c>
      <c r="E657" t="s">
        <v>67</v>
      </c>
      <c r="F657" t="s">
        <v>71</v>
      </c>
      <c r="G657" t="s">
        <v>35</v>
      </c>
      <c r="H657" t="s">
        <v>38</v>
      </c>
      <c r="I657">
        <v>1032</v>
      </c>
    </row>
    <row r="658" spans="1:9" ht="14.5" x14ac:dyDescent="0.35">
      <c r="A658">
        <v>4</v>
      </c>
      <c r="B658" t="s">
        <v>50</v>
      </c>
      <c r="C658" t="s">
        <v>59</v>
      </c>
      <c r="D658" t="s">
        <v>66</v>
      </c>
      <c r="E658" t="s">
        <v>67</v>
      </c>
      <c r="F658" t="s">
        <v>68</v>
      </c>
      <c r="G658" t="s">
        <v>35</v>
      </c>
      <c r="H658" t="s">
        <v>36</v>
      </c>
      <c r="I658">
        <v>1538</v>
      </c>
    </row>
    <row r="659" spans="1:9" ht="14.5" x14ac:dyDescent="0.35">
      <c r="A659">
        <v>4</v>
      </c>
      <c r="B659" t="s">
        <v>50</v>
      </c>
      <c r="C659" t="s">
        <v>59</v>
      </c>
      <c r="D659" t="s">
        <v>66</v>
      </c>
      <c r="E659" t="s">
        <v>67</v>
      </c>
      <c r="F659" t="s">
        <v>68</v>
      </c>
      <c r="G659" t="s">
        <v>35</v>
      </c>
      <c r="H659" t="s">
        <v>38</v>
      </c>
      <c r="I659">
        <v>2814</v>
      </c>
    </row>
    <row r="660" spans="1:9" ht="14.5" x14ac:dyDescent="0.35">
      <c r="A660">
        <v>4</v>
      </c>
      <c r="B660" t="s">
        <v>50</v>
      </c>
      <c r="C660" t="s">
        <v>59</v>
      </c>
      <c r="D660" t="s">
        <v>66</v>
      </c>
      <c r="E660" t="s">
        <v>67</v>
      </c>
      <c r="F660" t="s">
        <v>69</v>
      </c>
      <c r="G660" t="s">
        <v>35</v>
      </c>
      <c r="H660" t="s">
        <v>36</v>
      </c>
      <c r="I660">
        <v>2163</v>
      </c>
    </row>
    <row r="661" spans="1:9" ht="14.5" x14ac:dyDescent="0.35">
      <c r="A661">
        <v>4</v>
      </c>
      <c r="B661" t="s">
        <v>50</v>
      </c>
      <c r="C661" t="s">
        <v>59</v>
      </c>
      <c r="D661" t="s">
        <v>66</v>
      </c>
      <c r="E661" t="s">
        <v>67</v>
      </c>
      <c r="F661" t="s">
        <v>69</v>
      </c>
      <c r="G661" t="s">
        <v>35</v>
      </c>
      <c r="H661" t="s">
        <v>38</v>
      </c>
      <c r="I661">
        <v>2719</v>
      </c>
    </row>
    <row r="662" spans="1:9" ht="14.5" x14ac:dyDescent="0.35">
      <c r="A662">
        <v>4</v>
      </c>
      <c r="B662" t="s">
        <v>50</v>
      </c>
      <c r="C662" t="s">
        <v>59</v>
      </c>
      <c r="D662" t="s">
        <v>66</v>
      </c>
      <c r="E662" t="s">
        <v>67</v>
      </c>
      <c r="F662" t="s">
        <v>70</v>
      </c>
      <c r="G662" t="s">
        <v>35</v>
      </c>
      <c r="H662" t="s">
        <v>36</v>
      </c>
      <c r="I662">
        <v>4048</v>
      </c>
    </row>
    <row r="663" spans="1:9" ht="14.5" x14ac:dyDescent="0.35">
      <c r="A663">
        <v>4</v>
      </c>
      <c r="B663" t="s">
        <v>50</v>
      </c>
      <c r="C663" t="s">
        <v>59</v>
      </c>
      <c r="D663" t="s">
        <v>66</v>
      </c>
      <c r="E663" t="s">
        <v>67</v>
      </c>
      <c r="F663" t="s">
        <v>70</v>
      </c>
      <c r="G663" t="s">
        <v>35</v>
      </c>
      <c r="H663" t="s">
        <v>38</v>
      </c>
      <c r="I663">
        <v>2827</v>
      </c>
    </row>
    <row r="664" spans="1:9" ht="14.5" x14ac:dyDescent="0.35">
      <c r="A664">
        <v>4</v>
      </c>
      <c r="B664" t="s">
        <v>50</v>
      </c>
      <c r="C664" t="s">
        <v>59</v>
      </c>
      <c r="D664" t="s">
        <v>66</v>
      </c>
      <c r="E664" t="s">
        <v>67</v>
      </c>
      <c r="F664" t="s">
        <v>71</v>
      </c>
      <c r="G664" t="s">
        <v>35</v>
      </c>
      <c r="H664" t="s">
        <v>36</v>
      </c>
      <c r="I664">
        <v>1459</v>
      </c>
    </row>
    <row r="665" spans="1:9" ht="14.5" x14ac:dyDescent="0.35">
      <c r="A665">
        <v>4</v>
      </c>
      <c r="B665" t="s">
        <v>50</v>
      </c>
      <c r="C665" t="s">
        <v>59</v>
      </c>
      <c r="D665" t="s">
        <v>66</v>
      </c>
      <c r="E665" t="s">
        <v>67</v>
      </c>
      <c r="F665" t="s">
        <v>71</v>
      </c>
      <c r="G665" t="s">
        <v>35</v>
      </c>
      <c r="H665" t="s">
        <v>38</v>
      </c>
      <c r="I665">
        <v>4725</v>
      </c>
    </row>
    <row r="666" spans="1:9" ht="14.5" x14ac:dyDescent="0.35">
      <c r="A666">
        <v>4</v>
      </c>
      <c r="B666" t="s">
        <v>51</v>
      </c>
      <c r="C666" t="s">
        <v>59</v>
      </c>
      <c r="D666" t="s">
        <v>66</v>
      </c>
      <c r="E666" t="s">
        <v>67</v>
      </c>
      <c r="F666" t="s">
        <v>68</v>
      </c>
      <c r="G666" t="s">
        <v>35</v>
      </c>
      <c r="H666" t="s">
        <v>36</v>
      </c>
      <c r="I666">
        <v>2530</v>
      </c>
    </row>
    <row r="667" spans="1:9" ht="14.5" x14ac:dyDescent="0.35">
      <c r="A667">
        <v>4</v>
      </c>
      <c r="B667" t="s">
        <v>51</v>
      </c>
      <c r="C667" t="s">
        <v>59</v>
      </c>
      <c r="D667" t="s">
        <v>66</v>
      </c>
      <c r="E667" t="s">
        <v>67</v>
      </c>
      <c r="F667" t="s">
        <v>68</v>
      </c>
      <c r="G667" t="s">
        <v>35</v>
      </c>
      <c r="H667" t="s">
        <v>38</v>
      </c>
      <c r="I667">
        <v>4341</v>
      </c>
    </row>
    <row r="668" spans="1:9" ht="14.5" x14ac:dyDescent="0.35">
      <c r="A668">
        <v>4</v>
      </c>
      <c r="B668" t="s">
        <v>51</v>
      </c>
      <c r="C668" t="s">
        <v>59</v>
      </c>
      <c r="D668" t="s">
        <v>66</v>
      </c>
      <c r="E668" t="s">
        <v>67</v>
      </c>
      <c r="F668" t="s">
        <v>69</v>
      </c>
      <c r="G668" t="s">
        <v>35</v>
      </c>
      <c r="H668" t="s">
        <v>36</v>
      </c>
      <c r="I668">
        <v>4220</v>
      </c>
    </row>
    <row r="669" spans="1:9" ht="14.5" x14ac:dyDescent="0.35">
      <c r="A669">
        <v>4</v>
      </c>
      <c r="B669" t="s">
        <v>51</v>
      </c>
      <c r="C669" t="s">
        <v>59</v>
      </c>
      <c r="D669" t="s">
        <v>66</v>
      </c>
      <c r="E669" t="s">
        <v>67</v>
      </c>
      <c r="F669" t="s">
        <v>69</v>
      </c>
      <c r="G669" t="s">
        <v>35</v>
      </c>
      <c r="H669" t="s">
        <v>38</v>
      </c>
      <c r="I669">
        <v>2397</v>
      </c>
    </row>
    <row r="670" spans="1:9" ht="14.5" x14ac:dyDescent="0.35">
      <c r="A670">
        <v>4</v>
      </c>
      <c r="B670" t="s">
        <v>51</v>
      </c>
      <c r="C670" t="s">
        <v>59</v>
      </c>
      <c r="D670" t="s">
        <v>66</v>
      </c>
      <c r="E670" t="s">
        <v>67</v>
      </c>
      <c r="F670" t="s">
        <v>70</v>
      </c>
      <c r="G670" t="s">
        <v>35</v>
      </c>
      <c r="H670" t="s">
        <v>36</v>
      </c>
      <c r="I670">
        <v>3736</v>
      </c>
    </row>
    <row r="671" spans="1:9" ht="14.5" x14ac:dyDescent="0.35">
      <c r="A671">
        <v>4</v>
      </c>
      <c r="B671" t="s">
        <v>51</v>
      </c>
      <c r="C671" t="s">
        <v>59</v>
      </c>
      <c r="D671" t="s">
        <v>66</v>
      </c>
      <c r="E671" t="s">
        <v>67</v>
      </c>
      <c r="F671" t="s">
        <v>70</v>
      </c>
      <c r="G671" t="s">
        <v>35</v>
      </c>
      <c r="H671" t="s">
        <v>38</v>
      </c>
      <c r="I671">
        <v>1545</v>
      </c>
    </row>
    <row r="672" spans="1:9" ht="14.5" x14ac:dyDescent="0.35">
      <c r="A672">
        <v>4</v>
      </c>
      <c r="B672" t="s">
        <v>51</v>
      </c>
      <c r="C672" t="s">
        <v>59</v>
      </c>
      <c r="D672" t="s">
        <v>66</v>
      </c>
      <c r="E672" t="s">
        <v>67</v>
      </c>
      <c r="F672" t="s">
        <v>71</v>
      </c>
      <c r="G672" t="s">
        <v>35</v>
      </c>
      <c r="H672" t="s">
        <v>36</v>
      </c>
      <c r="I672">
        <v>4305</v>
      </c>
    </row>
    <row r="673" spans="1:9" ht="14.5" x14ac:dyDescent="0.35">
      <c r="A673">
        <v>4</v>
      </c>
      <c r="B673" t="s">
        <v>51</v>
      </c>
      <c r="C673" t="s">
        <v>59</v>
      </c>
      <c r="D673" t="s">
        <v>66</v>
      </c>
      <c r="E673" t="s">
        <v>67</v>
      </c>
      <c r="F673" t="s">
        <v>71</v>
      </c>
      <c r="G673" t="s">
        <v>35</v>
      </c>
      <c r="H673" t="s">
        <v>38</v>
      </c>
      <c r="I673">
        <v>4282</v>
      </c>
    </row>
    <row r="674" spans="1:9" ht="14.5" x14ac:dyDescent="0.35">
      <c r="A674">
        <v>1</v>
      </c>
      <c r="B674" t="s">
        <v>30</v>
      </c>
      <c r="C674" t="s">
        <v>59</v>
      </c>
      <c r="D674" t="s">
        <v>66</v>
      </c>
      <c r="E674" t="s">
        <v>67</v>
      </c>
      <c r="F674" t="s">
        <v>68</v>
      </c>
      <c r="G674" t="s">
        <v>52</v>
      </c>
      <c r="H674" t="s">
        <v>38</v>
      </c>
      <c r="I674">
        <v>1139</v>
      </c>
    </row>
    <row r="675" spans="1:9" ht="14.5" x14ac:dyDescent="0.35">
      <c r="A675">
        <v>1</v>
      </c>
      <c r="B675" t="s">
        <v>30</v>
      </c>
      <c r="C675" t="s">
        <v>59</v>
      </c>
      <c r="D675" t="s">
        <v>66</v>
      </c>
      <c r="E675" t="s">
        <v>67</v>
      </c>
      <c r="F675" t="s">
        <v>71</v>
      </c>
      <c r="G675" t="s">
        <v>52</v>
      </c>
      <c r="H675" t="s">
        <v>38</v>
      </c>
      <c r="I675">
        <v>1648</v>
      </c>
    </row>
    <row r="676" spans="1:9" ht="14.5" x14ac:dyDescent="0.35">
      <c r="A676">
        <v>1</v>
      </c>
      <c r="B676" t="s">
        <v>30</v>
      </c>
      <c r="C676" t="s">
        <v>59</v>
      </c>
      <c r="D676" t="s">
        <v>66</v>
      </c>
      <c r="E676" t="s">
        <v>67</v>
      </c>
      <c r="F676" t="s">
        <v>68</v>
      </c>
      <c r="G676" t="s">
        <v>52</v>
      </c>
      <c r="H676" t="s">
        <v>36</v>
      </c>
      <c r="I676">
        <v>4076</v>
      </c>
    </row>
    <row r="677" spans="1:9" ht="14.5" x14ac:dyDescent="0.35">
      <c r="A677">
        <v>1</v>
      </c>
      <c r="B677" t="s">
        <v>30</v>
      </c>
      <c r="C677" t="s">
        <v>59</v>
      </c>
      <c r="D677" t="s">
        <v>66</v>
      </c>
      <c r="E677" t="s">
        <v>67</v>
      </c>
      <c r="F677" t="s">
        <v>69</v>
      </c>
      <c r="G677" t="s">
        <v>52</v>
      </c>
      <c r="H677" t="s">
        <v>36</v>
      </c>
      <c r="I677">
        <v>1343</v>
      </c>
    </row>
    <row r="678" spans="1:9" ht="14.5" x14ac:dyDescent="0.35">
      <c r="A678">
        <v>1</v>
      </c>
      <c r="B678" t="s">
        <v>30</v>
      </c>
      <c r="C678" t="s">
        <v>59</v>
      </c>
      <c r="D678" t="s">
        <v>66</v>
      </c>
      <c r="E678" t="s">
        <v>67</v>
      </c>
      <c r="F678" t="s">
        <v>69</v>
      </c>
      <c r="G678" t="s">
        <v>52</v>
      </c>
      <c r="H678" t="s">
        <v>38</v>
      </c>
      <c r="I678">
        <v>2975</v>
      </c>
    </row>
    <row r="679" spans="1:9" ht="14.5" x14ac:dyDescent="0.35">
      <c r="A679">
        <v>1</v>
      </c>
      <c r="B679" t="s">
        <v>30</v>
      </c>
      <c r="C679" t="s">
        <v>59</v>
      </c>
      <c r="D679" t="s">
        <v>66</v>
      </c>
      <c r="E679" t="s">
        <v>67</v>
      </c>
      <c r="F679" t="s">
        <v>70</v>
      </c>
      <c r="G679" t="s">
        <v>52</v>
      </c>
      <c r="H679" t="s">
        <v>36</v>
      </c>
      <c r="I679">
        <v>1517</v>
      </c>
    </row>
    <row r="680" spans="1:9" ht="14.5" x14ac:dyDescent="0.35">
      <c r="A680">
        <v>1</v>
      </c>
      <c r="B680" t="s">
        <v>30</v>
      </c>
      <c r="C680" t="s">
        <v>59</v>
      </c>
      <c r="D680" t="s">
        <v>66</v>
      </c>
      <c r="E680" t="s">
        <v>67</v>
      </c>
      <c r="F680" t="s">
        <v>70</v>
      </c>
      <c r="G680" t="s">
        <v>52</v>
      </c>
      <c r="H680" t="s">
        <v>38</v>
      </c>
      <c r="I680">
        <v>1983</v>
      </c>
    </row>
    <row r="681" spans="1:9" ht="14.5" x14ac:dyDescent="0.35">
      <c r="A681">
        <v>1</v>
      </c>
      <c r="B681" t="s">
        <v>30</v>
      </c>
      <c r="C681" t="s">
        <v>59</v>
      </c>
      <c r="D681" t="s">
        <v>66</v>
      </c>
      <c r="E681" t="s">
        <v>67</v>
      </c>
      <c r="F681" t="s">
        <v>71</v>
      </c>
      <c r="G681" t="s">
        <v>52</v>
      </c>
      <c r="H681" t="s">
        <v>36</v>
      </c>
      <c r="I681">
        <v>4089</v>
      </c>
    </row>
    <row r="682" spans="1:9" ht="14.5" x14ac:dyDescent="0.35">
      <c r="A682">
        <v>1</v>
      </c>
      <c r="B682" t="s">
        <v>41</v>
      </c>
      <c r="C682" t="s">
        <v>59</v>
      </c>
      <c r="D682" t="s">
        <v>66</v>
      </c>
      <c r="E682" t="s">
        <v>67</v>
      </c>
      <c r="F682" t="s">
        <v>68</v>
      </c>
      <c r="G682" t="s">
        <v>52</v>
      </c>
      <c r="H682" t="s">
        <v>36</v>
      </c>
      <c r="I682">
        <v>3750</v>
      </c>
    </row>
    <row r="683" spans="1:9" ht="14.5" x14ac:dyDescent="0.35">
      <c r="A683">
        <v>1</v>
      </c>
      <c r="B683" t="s">
        <v>41</v>
      </c>
      <c r="C683" t="s">
        <v>59</v>
      </c>
      <c r="D683" t="s">
        <v>66</v>
      </c>
      <c r="E683" t="s">
        <v>67</v>
      </c>
      <c r="F683" t="s">
        <v>68</v>
      </c>
      <c r="G683" t="s">
        <v>52</v>
      </c>
      <c r="H683" t="s">
        <v>38</v>
      </c>
      <c r="I683">
        <v>3238</v>
      </c>
    </row>
    <row r="684" spans="1:9" ht="14.5" x14ac:dyDescent="0.35">
      <c r="A684">
        <v>1</v>
      </c>
      <c r="B684" t="s">
        <v>41</v>
      </c>
      <c r="C684" t="s">
        <v>59</v>
      </c>
      <c r="D684" t="s">
        <v>66</v>
      </c>
      <c r="E684" t="s">
        <v>67</v>
      </c>
      <c r="F684" t="s">
        <v>69</v>
      </c>
      <c r="G684" t="s">
        <v>52</v>
      </c>
      <c r="H684" t="s">
        <v>36</v>
      </c>
      <c r="I684">
        <v>3517</v>
      </c>
    </row>
    <row r="685" spans="1:9" ht="14.5" x14ac:dyDescent="0.35">
      <c r="A685">
        <v>1</v>
      </c>
      <c r="B685" t="s">
        <v>41</v>
      </c>
      <c r="C685" t="s">
        <v>59</v>
      </c>
      <c r="D685" t="s">
        <v>66</v>
      </c>
      <c r="E685" t="s">
        <v>67</v>
      </c>
      <c r="F685" t="s">
        <v>69</v>
      </c>
      <c r="G685" t="s">
        <v>52</v>
      </c>
      <c r="H685" t="s">
        <v>38</v>
      </c>
      <c r="I685">
        <v>2648</v>
      </c>
    </row>
    <row r="686" spans="1:9" ht="14.5" x14ac:dyDescent="0.35">
      <c r="A686">
        <v>1</v>
      </c>
      <c r="B686" t="s">
        <v>41</v>
      </c>
      <c r="C686" t="s">
        <v>59</v>
      </c>
      <c r="D686" t="s">
        <v>66</v>
      </c>
      <c r="E686" t="s">
        <v>67</v>
      </c>
      <c r="F686" t="s">
        <v>70</v>
      </c>
      <c r="G686" t="s">
        <v>52</v>
      </c>
      <c r="H686" t="s">
        <v>36</v>
      </c>
      <c r="I686">
        <v>2043</v>
      </c>
    </row>
    <row r="687" spans="1:9" ht="14.5" x14ac:dyDescent="0.35">
      <c r="A687">
        <v>1</v>
      </c>
      <c r="B687" t="s">
        <v>41</v>
      </c>
      <c r="C687" t="s">
        <v>59</v>
      </c>
      <c r="D687" t="s">
        <v>66</v>
      </c>
      <c r="E687" t="s">
        <v>67</v>
      </c>
      <c r="F687" t="s">
        <v>70</v>
      </c>
      <c r="G687" t="s">
        <v>52</v>
      </c>
      <c r="H687" t="s">
        <v>38</v>
      </c>
      <c r="I687">
        <v>3301</v>
      </c>
    </row>
    <row r="688" spans="1:9" ht="14.5" x14ac:dyDescent="0.35">
      <c r="A688">
        <v>1</v>
      </c>
      <c r="B688" t="s">
        <v>41</v>
      </c>
      <c r="C688" t="s">
        <v>59</v>
      </c>
      <c r="D688" t="s">
        <v>66</v>
      </c>
      <c r="E688" t="s">
        <v>67</v>
      </c>
      <c r="F688" t="s">
        <v>71</v>
      </c>
      <c r="G688" t="s">
        <v>52</v>
      </c>
      <c r="H688" t="s">
        <v>36</v>
      </c>
      <c r="I688">
        <v>3821</v>
      </c>
    </row>
    <row r="689" spans="1:9" ht="14.5" x14ac:dyDescent="0.35">
      <c r="A689">
        <v>1</v>
      </c>
      <c r="B689" t="s">
        <v>41</v>
      </c>
      <c r="C689" t="s">
        <v>59</v>
      </c>
      <c r="D689" t="s">
        <v>66</v>
      </c>
      <c r="E689" t="s">
        <v>67</v>
      </c>
      <c r="F689" t="s">
        <v>71</v>
      </c>
      <c r="G689" t="s">
        <v>52</v>
      </c>
      <c r="H689" t="s">
        <v>38</v>
      </c>
      <c r="I689">
        <v>1557</v>
      </c>
    </row>
    <row r="690" spans="1:9" ht="14.5" x14ac:dyDescent="0.35">
      <c r="A690">
        <v>1</v>
      </c>
      <c r="B690" t="s">
        <v>42</v>
      </c>
      <c r="C690" t="s">
        <v>59</v>
      </c>
      <c r="D690" t="s">
        <v>66</v>
      </c>
      <c r="E690" t="s">
        <v>67</v>
      </c>
      <c r="F690" t="s">
        <v>68</v>
      </c>
      <c r="G690" t="s">
        <v>52</v>
      </c>
      <c r="H690" t="s">
        <v>36</v>
      </c>
      <c r="I690">
        <v>2770</v>
      </c>
    </row>
    <row r="691" spans="1:9" ht="14.5" x14ac:dyDescent="0.35">
      <c r="A691">
        <v>1</v>
      </c>
      <c r="B691" t="s">
        <v>42</v>
      </c>
      <c r="C691" t="s">
        <v>59</v>
      </c>
      <c r="D691" t="s">
        <v>66</v>
      </c>
      <c r="E691" t="s">
        <v>67</v>
      </c>
      <c r="F691" t="s">
        <v>68</v>
      </c>
      <c r="G691" t="s">
        <v>52</v>
      </c>
      <c r="H691" t="s">
        <v>38</v>
      </c>
      <c r="I691">
        <v>3918</v>
      </c>
    </row>
    <row r="692" spans="1:9" ht="14.5" x14ac:dyDescent="0.35">
      <c r="A692">
        <v>1</v>
      </c>
      <c r="B692" t="s">
        <v>42</v>
      </c>
      <c r="C692" t="s">
        <v>59</v>
      </c>
      <c r="D692" t="s">
        <v>66</v>
      </c>
      <c r="E692" t="s">
        <v>67</v>
      </c>
      <c r="F692" t="s">
        <v>69</v>
      </c>
      <c r="G692" t="s">
        <v>52</v>
      </c>
      <c r="H692" t="s">
        <v>36</v>
      </c>
      <c r="I692">
        <v>3070</v>
      </c>
    </row>
    <row r="693" spans="1:9" ht="14.5" x14ac:dyDescent="0.35">
      <c r="A693">
        <v>1</v>
      </c>
      <c r="B693" t="s">
        <v>42</v>
      </c>
      <c r="C693" t="s">
        <v>59</v>
      </c>
      <c r="D693" t="s">
        <v>66</v>
      </c>
      <c r="E693" t="s">
        <v>67</v>
      </c>
      <c r="F693" t="s">
        <v>69</v>
      </c>
      <c r="G693" t="s">
        <v>52</v>
      </c>
      <c r="H693" t="s">
        <v>38</v>
      </c>
      <c r="I693">
        <v>4812</v>
      </c>
    </row>
    <row r="694" spans="1:9" ht="14.5" x14ac:dyDescent="0.35">
      <c r="A694">
        <v>1</v>
      </c>
      <c r="B694" t="s">
        <v>42</v>
      </c>
      <c r="C694" t="s">
        <v>59</v>
      </c>
      <c r="D694" t="s">
        <v>66</v>
      </c>
      <c r="E694" t="s">
        <v>67</v>
      </c>
      <c r="F694" t="s">
        <v>70</v>
      </c>
      <c r="G694" t="s">
        <v>52</v>
      </c>
      <c r="H694" t="s">
        <v>36</v>
      </c>
      <c r="I694">
        <v>3857</v>
      </c>
    </row>
    <row r="695" spans="1:9" ht="14.5" x14ac:dyDescent="0.35">
      <c r="A695">
        <v>1</v>
      </c>
      <c r="B695" t="s">
        <v>42</v>
      </c>
      <c r="C695" t="s">
        <v>59</v>
      </c>
      <c r="D695" t="s">
        <v>66</v>
      </c>
      <c r="E695" t="s">
        <v>67</v>
      </c>
      <c r="F695" t="s">
        <v>70</v>
      </c>
      <c r="G695" t="s">
        <v>52</v>
      </c>
      <c r="H695" t="s">
        <v>38</v>
      </c>
      <c r="I695">
        <v>3699</v>
      </c>
    </row>
    <row r="696" spans="1:9" ht="14.5" x14ac:dyDescent="0.35">
      <c r="A696">
        <v>1</v>
      </c>
      <c r="B696" t="s">
        <v>42</v>
      </c>
      <c r="C696" t="s">
        <v>59</v>
      </c>
      <c r="D696" t="s">
        <v>66</v>
      </c>
      <c r="E696" t="s">
        <v>67</v>
      </c>
      <c r="F696" t="s">
        <v>71</v>
      </c>
      <c r="G696" t="s">
        <v>52</v>
      </c>
      <c r="H696" t="s">
        <v>36</v>
      </c>
      <c r="I696">
        <v>1003</v>
      </c>
    </row>
    <row r="697" spans="1:9" ht="14.5" x14ac:dyDescent="0.35">
      <c r="A697">
        <v>1</v>
      </c>
      <c r="B697" t="s">
        <v>42</v>
      </c>
      <c r="C697" t="s">
        <v>59</v>
      </c>
      <c r="D697" t="s">
        <v>66</v>
      </c>
      <c r="E697" t="s">
        <v>67</v>
      </c>
      <c r="F697" t="s">
        <v>71</v>
      </c>
      <c r="G697" t="s">
        <v>52</v>
      </c>
      <c r="H697" t="s">
        <v>38</v>
      </c>
      <c r="I697">
        <v>3927</v>
      </c>
    </row>
    <row r="698" spans="1:9" ht="14.5" x14ac:dyDescent="0.35">
      <c r="A698">
        <v>2</v>
      </c>
      <c r="B698" t="s">
        <v>43</v>
      </c>
      <c r="C698" t="s">
        <v>59</v>
      </c>
      <c r="D698" t="s">
        <v>66</v>
      </c>
      <c r="E698" t="s">
        <v>67</v>
      </c>
      <c r="F698" t="s">
        <v>68</v>
      </c>
      <c r="G698" t="s">
        <v>52</v>
      </c>
      <c r="H698" t="s">
        <v>36</v>
      </c>
      <c r="I698">
        <v>4962</v>
      </c>
    </row>
    <row r="699" spans="1:9" ht="14.5" x14ac:dyDescent="0.35">
      <c r="A699">
        <v>2</v>
      </c>
      <c r="B699" t="s">
        <v>43</v>
      </c>
      <c r="C699" t="s">
        <v>59</v>
      </c>
      <c r="D699" t="s">
        <v>66</v>
      </c>
      <c r="E699" t="s">
        <v>67</v>
      </c>
      <c r="F699" t="s">
        <v>68</v>
      </c>
      <c r="G699" t="s">
        <v>52</v>
      </c>
      <c r="H699" t="s">
        <v>38</v>
      </c>
      <c r="I699">
        <v>4605</v>
      </c>
    </row>
    <row r="700" spans="1:9" ht="14.5" x14ac:dyDescent="0.35">
      <c r="A700">
        <v>2</v>
      </c>
      <c r="B700" t="s">
        <v>43</v>
      </c>
      <c r="C700" t="s">
        <v>59</v>
      </c>
      <c r="D700" t="s">
        <v>66</v>
      </c>
      <c r="E700" t="s">
        <v>67</v>
      </c>
      <c r="F700" t="s">
        <v>69</v>
      </c>
      <c r="G700" t="s">
        <v>52</v>
      </c>
      <c r="H700" t="s">
        <v>36</v>
      </c>
      <c r="I700">
        <v>1558</v>
      </c>
    </row>
    <row r="701" spans="1:9" ht="14.5" x14ac:dyDescent="0.35">
      <c r="A701">
        <v>2</v>
      </c>
      <c r="B701" t="s">
        <v>43</v>
      </c>
      <c r="C701" t="s">
        <v>59</v>
      </c>
      <c r="D701" t="s">
        <v>66</v>
      </c>
      <c r="E701" t="s">
        <v>67</v>
      </c>
      <c r="F701" t="s">
        <v>69</v>
      </c>
      <c r="G701" t="s">
        <v>52</v>
      </c>
      <c r="H701" t="s">
        <v>38</v>
      </c>
      <c r="I701">
        <v>2354</v>
      </c>
    </row>
    <row r="702" spans="1:9" ht="14.5" x14ac:dyDescent="0.35">
      <c r="A702">
        <v>2</v>
      </c>
      <c r="B702" t="s">
        <v>43</v>
      </c>
      <c r="C702" t="s">
        <v>59</v>
      </c>
      <c r="D702" t="s">
        <v>66</v>
      </c>
      <c r="E702" t="s">
        <v>67</v>
      </c>
      <c r="F702" t="s">
        <v>70</v>
      </c>
      <c r="G702" t="s">
        <v>52</v>
      </c>
      <c r="H702" t="s">
        <v>36</v>
      </c>
      <c r="I702">
        <v>3737</v>
      </c>
    </row>
    <row r="703" spans="1:9" ht="14.5" x14ac:dyDescent="0.35">
      <c r="A703">
        <v>2</v>
      </c>
      <c r="B703" t="s">
        <v>43</v>
      </c>
      <c r="C703" t="s">
        <v>59</v>
      </c>
      <c r="D703" t="s">
        <v>66</v>
      </c>
      <c r="E703" t="s">
        <v>67</v>
      </c>
      <c r="F703" t="s">
        <v>70</v>
      </c>
      <c r="G703" t="s">
        <v>52</v>
      </c>
      <c r="H703" t="s">
        <v>38</v>
      </c>
      <c r="I703">
        <v>1683</v>
      </c>
    </row>
    <row r="704" spans="1:9" ht="14.5" x14ac:dyDescent="0.35">
      <c r="A704">
        <v>2</v>
      </c>
      <c r="B704" t="s">
        <v>43</v>
      </c>
      <c r="C704" t="s">
        <v>59</v>
      </c>
      <c r="D704" t="s">
        <v>66</v>
      </c>
      <c r="E704" t="s">
        <v>67</v>
      </c>
      <c r="F704" t="s">
        <v>71</v>
      </c>
      <c r="G704" t="s">
        <v>52</v>
      </c>
      <c r="H704" t="s">
        <v>36</v>
      </c>
      <c r="I704">
        <v>4990</v>
      </c>
    </row>
    <row r="705" spans="1:9" ht="14.5" x14ac:dyDescent="0.35">
      <c r="A705">
        <v>2</v>
      </c>
      <c r="B705" t="s">
        <v>43</v>
      </c>
      <c r="C705" t="s">
        <v>59</v>
      </c>
      <c r="D705" t="s">
        <v>66</v>
      </c>
      <c r="E705" t="s">
        <v>67</v>
      </c>
      <c r="F705" t="s">
        <v>71</v>
      </c>
      <c r="G705" t="s">
        <v>52</v>
      </c>
      <c r="H705" t="s">
        <v>38</v>
      </c>
      <c r="I705">
        <v>1724</v>
      </c>
    </row>
    <row r="706" spans="1:9" ht="14.5" x14ac:dyDescent="0.35">
      <c r="A706">
        <v>2</v>
      </c>
      <c r="B706" t="s">
        <v>44</v>
      </c>
      <c r="C706" t="s">
        <v>59</v>
      </c>
      <c r="D706" t="s">
        <v>66</v>
      </c>
      <c r="E706" t="s">
        <v>67</v>
      </c>
      <c r="F706" t="s">
        <v>68</v>
      </c>
      <c r="G706" t="s">
        <v>52</v>
      </c>
      <c r="H706" t="s">
        <v>36</v>
      </c>
      <c r="I706">
        <v>4042</v>
      </c>
    </row>
    <row r="707" spans="1:9" ht="14.5" x14ac:dyDescent="0.35">
      <c r="A707">
        <v>2</v>
      </c>
      <c r="B707" t="s">
        <v>44</v>
      </c>
      <c r="C707" t="s">
        <v>59</v>
      </c>
      <c r="D707" t="s">
        <v>66</v>
      </c>
      <c r="E707" t="s">
        <v>67</v>
      </c>
      <c r="F707" t="s">
        <v>68</v>
      </c>
      <c r="G707" t="s">
        <v>52</v>
      </c>
      <c r="H707" t="s">
        <v>38</v>
      </c>
      <c r="I707">
        <v>3252</v>
      </c>
    </row>
    <row r="708" spans="1:9" ht="14.5" x14ac:dyDescent="0.35">
      <c r="A708">
        <v>2</v>
      </c>
      <c r="B708" t="s">
        <v>44</v>
      </c>
      <c r="C708" t="s">
        <v>59</v>
      </c>
      <c r="D708" t="s">
        <v>66</v>
      </c>
      <c r="E708" t="s">
        <v>67</v>
      </c>
      <c r="F708" t="s">
        <v>69</v>
      </c>
      <c r="G708" t="s">
        <v>52</v>
      </c>
      <c r="H708" t="s">
        <v>36</v>
      </c>
      <c r="I708">
        <v>1801</v>
      </c>
    </row>
    <row r="709" spans="1:9" ht="14.5" x14ac:dyDescent="0.35">
      <c r="A709">
        <v>2</v>
      </c>
      <c r="B709" t="s">
        <v>44</v>
      </c>
      <c r="C709" t="s">
        <v>59</v>
      </c>
      <c r="D709" t="s">
        <v>66</v>
      </c>
      <c r="E709" t="s">
        <v>67</v>
      </c>
      <c r="F709" t="s">
        <v>69</v>
      </c>
      <c r="G709" t="s">
        <v>52</v>
      </c>
      <c r="H709" t="s">
        <v>38</v>
      </c>
      <c r="I709">
        <v>4493</v>
      </c>
    </row>
    <row r="710" spans="1:9" ht="14.5" x14ac:dyDescent="0.35">
      <c r="A710">
        <v>2</v>
      </c>
      <c r="B710" t="s">
        <v>44</v>
      </c>
      <c r="C710" t="s">
        <v>59</v>
      </c>
      <c r="D710" t="s">
        <v>66</v>
      </c>
      <c r="E710" t="s">
        <v>67</v>
      </c>
      <c r="F710" t="s">
        <v>70</v>
      </c>
      <c r="G710" t="s">
        <v>52</v>
      </c>
      <c r="H710" t="s">
        <v>36</v>
      </c>
      <c r="I710">
        <v>4786</v>
      </c>
    </row>
    <row r="711" spans="1:9" ht="14.5" x14ac:dyDescent="0.35">
      <c r="A711">
        <v>2</v>
      </c>
      <c r="B711" t="s">
        <v>44</v>
      </c>
      <c r="C711" t="s">
        <v>59</v>
      </c>
      <c r="D711" t="s">
        <v>66</v>
      </c>
      <c r="E711" t="s">
        <v>67</v>
      </c>
      <c r="F711" t="s">
        <v>70</v>
      </c>
      <c r="G711" t="s">
        <v>52</v>
      </c>
      <c r="H711" t="s">
        <v>38</v>
      </c>
      <c r="I711">
        <v>1717</v>
      </c>
    </row>
    <row r="712" spans="1:9" ht="14.5" x14ac:dyDescent="0.35">
      <c r="A712">
        <v>2</v>
      </c>
      <c r="B712" t="s">
        <v>44</v>
      </c>
      <c r="C712" t="s">
        <v>59</v>
      </c>
      <c r="D712" t="s">
        <v>66</v>
      </c>
      <c r="E712" t="s">
        <v>67</v>
      </c>
      <c r="F712" t="s">
        <v>71</v>
      </c>
      <c r="G712" t="s">
        <v>52</v>
      </c>
      <c r="H712" t="s">
        <v>36</v>
      </c>
      <c r="I712">
        <v>3245</v>
      </c>
    </row>
    <row r="713" spans="1:9" ht="14.5" x14ac:dyDescent="0.35">
      <c r="A713">
        <v>2</v>
      </c>
      <c r="B713" t="s">
        <v>44</v>
      </c>
      <c r="C713" t="s">
        <v>59</v>
      </c>
      <c r="D713" t="s">
        <v>66</v>
      </c>
      <c r="E713" t="s">
        <v>67</v>
      </c>
      <c r="F713" t="s">
        <v>71</v>
      </c>
      <c r="G713" t="s">
        <v>52</v>
      </c>
      <c r="H713" t="s">
        <v>38</v>
      </c>
      <c r="I713">
        <v>1680</v>
      </c>
    </row>
    <row r="714" spans="1:9" ht="14.5" x14ac:dyDescent="0.35">
      <c r="A714">
        <v>2</v>
      </c>
      <c r="B714" t="s">
        <v>45</v>
      </c>
      <c r="C714" t="s">
        <v>59</v>
      </c>
      <c r="D714" t="s">
        <v>66</v>
      </c>
      <c r="E714" t="s">
        <v>67</v>
      </c>
      <c r="F714" t="s">
        <v>68</v>
      </c>
      <c r="G714" t="s">
        <v>52</v>
      </c>
      <c r="H714" t="s">
        <v>36</v>
      </c>
      <c r="I714">
        <v>3724</v>
      </c>
    </row>
    <row r="715" spans="1:9" ht="14.5" x14ac:dyDescent="0.35">
      <c r="A715">
        <v>2</v>
      </c>
      <c r="B715" t="s">
        <v>45</v>
      </c>
      <c r="C715" t="s">
        <v>59</v>
      </c>
      <c r="D715" t="s">
        <v>66</v>
      </c>
      <c r="E715" t="s">
        <v>67</v>
      </c>
      <c r="F715" t="s">
        <v>68</v>
      </c>
      <c r="G715" t="s">
        <v>52</v>
      </c>
      <c r="H715" t="s">
        <v>38</v>
      </c>
      <c r="I715">
        <v>4750</v>
      </c>
    </row>
    <row r="716" spans="1:9" ht="14.5" x14ac:dyDescent="0.35">
      <c r="A716">
        <v>2</v>
      </c>
      <c r="B716" t="s">
        <v>45</v>
      </c>
      <c r="C716" t="s">
        <v>59</v>
      </c>
      <c r="D716" t="s">
        <v>66</v>
      </c>
      <c r="E716" t="s">
        <v>67</v>
      </c>
      <c r="F716" t="s">
        <v>69</v>
      </c>
      <c r="G716" t="s">
        <v>52</v>
      </c>
      <c r="H716" t="s">
        <v>36</v>
      </c>
      <c r="I716">
        <v>1996</v>
      </c>
    </row>
    <row r="717" spans="1:9" ht="14.5" x14ac:dyDescent="0.35">
      <c r="A717">
        <v>2</v>
      </c>
      <c r="B717" t="s">
        <v>45</v>
      </c>
      <c r="C717" t="s">
        <v>59</v>
      </c>
      <c r="D717" t="s">
        <v>66</v>
      </c>
      <c r="E717" t="s">
        <v>67</v>
      </c>
      <c r="F717" t="s">
        <v>69</v>
      </c>
      <c r="G717" t="s">
        <v>52</v>
      </c>
      <c r="H717" t="s">
        <v>38</v>
      </c>
      <c r="I717">
        <v>2848</v>
      </c>
    </row>
    <row r="718" spans="1:9" ht="14.5" x14ac:dyDescent="0.35">
      <c r="A718">
        <v>2</v>
      </c>
      <c r="B718" t="s">
        <v>45</v>
      </c>
      <c r="C718" t="s">
        <v>59</v>
      </c>
      <c r="D718" t="s">
        <v>66</v>
      </c>
      <c r="E718" t="s">
        <v>67</v>
      </c>
      <c r="F718" t="s">
        <v>70</v>
      </c>
      <c r="G718" t="s">
        <v>52</v>
      </c>
      <c r="H718" t="s">
        <v>36</v>
      </c>
      <c r="I718">
        <v>4376</v>
      </c>
    </row>
    <row r="719" spans="1:9" ht="14.5" x14ac:dyDescent="0.35">
      <c r="A719">
        <v>2</v>
      </c>
      <c r="B719" t="s">
        <v>45</v>
      </c>
      <c r="C719" t="s">
        <v>59</v>
      </c>
      <c r="D719" t="s">
        <v>66</v>
      </c>
      <c r="E719" t="s">
        <v>67</v>
      </c>
      <c r="F719" t="s">
        <v>70</v>
      </c>
      <c r="G719" t="s">
        <v>52</v>
      </c>
      <c r="H719" t="s">
        <v>38</v>
      </c>
      <c r="I719">
        <v>2364</v>
      </c>
    </row>
    <row r="720" spans="1:9" ht="14.5" x14ac:dyDescent="0.35">
      <c r="A720">
        <v>2</v>
      </c>
      <c r="B720" t="s">
        <v>45</v>
      </c>
      <c r="C720" t="s">
        <v>59</v>
      </c>
      <c r="D720" t="s">
        <v>66</v>
      </c>
      <c r="E720" t="s">
        <v>67</v>
      </c>
      <c r="F720" t="s">
        <v>71</v>
      </c>
      <c r="G720" t="s">
        <v>52</v>
      </c>
      <c r="H720" t="s">
        <v>36</v>
      </c>
      <c r="I720">
        <v>3960</v>
      </c>
    </row>
    <row r="721" spans="1:9" ht="14.5" x14ac:dyDescent="0.35">
      <c r="A721">
        <v>2</v>
      </c>
      <c r="B721" t="s">
        <v>45</v>
      </c>
      <c r="C721" t="s">
        <v>59</v>
      </c>
      <c r="D721" t="s">
        <v>66</v>
      </c>
      <c r="E721" t="s">
        <v>67</v>
      </c>
      <c r="F721" t="s">
        <v>71</v>
      </c>
      <c r="G721" t="s">
        <v>52</v>
      </c>
      <c r="H721" t="s">
        <v>38</v>
      </c>
      <c r="I721">
        <v>2569</v>
      </c>
    </row>
    <row r="722" spans="1:9" ht="14.5" x14ac:dyDescent="0.35">
      <c r="A722">
        <v>3</v>
      </c>
      <c r="B722" t="s">
        <v>46</v>
      </c>
      <c r="C722" t="s">
        <v>59</v>
      </c>
      <c r="D722" t="s">
        <v>66</v>
      </c>
      <c r="E722" t="s">
        <v>67</v>
      </c>
      <c r="F722" t="s">
        <v>68</v>
      </c>
      <c r="G722" t="s">
        <v>52</v>
      </c>
      <c r="H722" t="s">
        <v>36</v>
      </c>
      <c r="I722">
        <v>1355</v>
      </c>
    </row>
    <row r="723" spans="1:9" ht="14.5" x14ac:dyDescent="0.35">
      <c r="A723">
        <v>3</v>
      </c>
      <c r="B723" t="s">
        <v>46</v>
      </c>
      <c r="C723" t="s">
        <v>59</v>
      </c>
      <c r="D723" t="s">
        <v>66</v>
      </c>
      <c r="E723" t="s">
        <v>67</v>
      </c>
      <c r="F723" t="s">
        <v>68</v>
      </c>
      <c r="G723" t="s">
        <v>52</v>
      </c>
      <c r="H723" t="s">
        <v>38</v>
      </c>
      <c r="I723">
        <v>1595</v>
      </c>
    </row>
    <row r="724" spans="1:9" ht="14.5" x14ac:dyDescent="0.35">
      <c r="A724">
        <v>3</v>
      </c>
      <c r="B724" t="s">
        <v>46</v>
      </c>
      <c r="C724" t="s">
        <v>59</v>
      </c>
      <c r="D724" t="s">
        <v>66</v>
      </c>
      <c r="E724" t="s">
        <v>67</v>
      </c>
      <c r="F724" t="s">
        <v>69</v>
      </c>
      <c r="G724" t="s">
        <v>52</v>
      </c>
      <c r="H724" t="s">
        <v>36</v>
      </c>
      <c r="I724">
        <v>2675</v>
      </c>
    </row>
    <row r="725" spans="1:9" ht="14.5" x14ac:dyDescent="0.35">
      <c r="A725">
        <v>3</v>
      </c>
      <c r="B725" t="s">
        <v>46</v>
      </c>
      <c r="C725" t="s">
        <v>59</v>
      </c>
      <c r="D725" t="s">
        <v>66</v>
      </c>
      <c r="E725" t="s">
        <v>67</v>
      </c>
      <c r="F725" t="s">
        <v>69</v>
      </c>
      <c r="G725" t="s">
        <v>52</v>
      </c>
      <c r="H725" t="s">
        <v>38</v>
      </c>
      <c r="I725">
        <v>3323</v>
      </c>
    </row>
    <row r="726" spans="1:9" ht="14.5" x14ac:dyDescent="0.35">
      <c r="A726">
        <v>3</v>
      </c>
      <c r="B726" t="s">
        <v>46</v>
      </c>
      <c r="C726" t="s">
        <v>59</v>
      </c>
      <c r="D726" t="s">
        <v>66</v>
      </c>
      <c r="E726" t="s">
        <v>67</v>
      </c>
      <c r="F726" t="s">
        <v>70</v>
      </c>
      <c r="G726" t="s">
        <v>52</v>
      </c>
      <c r="H726" t="s">
        <v>36</v>
      </c>
      <c r="I726">
        <v>4217</v>
      </c>
    </row>
    <row r="727" spans="1:9" ht="14.5" x14ac:dyDescent="0.35">
      <c r="A727">
        <v>3</v>
      </c>
      <c r="B727" t="s">
        <v>46</v>
      </c>
      <c r="C727" t="s">
        <v>59</v>
      </c>
      <c r="D727" t="s">
        <v>66</v>
      </c>
      <c r="E727" t="s">
        <v>67</v>
      </c>
      <c r="F727" t="s">
        <v>70</v>
      </c>
      <c r="G727" t="s">
        <v>52</v>
      </c>
      <c r="H727" t="s">
        <v>38</v>
      </c>
      <c r="I727">
        <v>3412</v>
      </c>
    </row>
    <row r="728" spans="1:9" ht="14.5" x14ac:dyDescent="0.35">
      <c r="A728">
        <v>3</v>
      </c>
      <c r="B728" t="s">
        <v>46</v>
      </c>
      <c r="C728" t="s">
        <v>59</v>
      </c>
      <c r="D728" t="s">
        <v>66</v>
      </c>
      <c r="E728" t="s">
        <v>67</v>
      </c>
      <c r="F728" t="s">
        <v>71</v>
      </c>
      <c r="G728" t="s">
        <v>52</v>
      </c>
      <c r="H728" t="s">
        <v>36</v>
      </c>
      <c r="I728">
        <v>2608</v>
      </c>
    </row>
    <row r="729" spans="1:9" ht="14.5" x14ac:dyDescent="0.35">
      <c r="A729">
        <v>3</v>
      </c>
      <c r="B729" t="s">
        <v>46</v>
      </c>
      <c r="C729" t="s">
        <v>59</v>
      </c>
      <c r="D729" t="s">
        <v>66</v>
      </c>
      <c r="E729" t="s">
        <v>67</v>
      </c>
      <c r="F729" t="s">
        <v>71</v>
      </c>
      <c r="G729" t="s">
        <v>52</v>
      </c>
      <c r="H729" t="s">
        <v>38</v>
      </c>
      <c r="I729">
        <v>1095</v>
      </c>
    </row>
    <row r="730" spans="1:9" ht="14.5" x14ac:dyDescent="0.35">
      <c r="A730">
        <v>3</v>
      </c>
      <c r="B730" t="s">
        <v>47</v>
      </c>
      <c r="C730" t="s">
        <v>59</v>
      </c>
      <c r="D730" t="s">
        <v>66</v>
      </c>
      <c r="E730" t="s">
        <v>67</v>
      </c>
      <c r="F730" t="s">
        <v>68</v>
      </c>
      <c r="G730" t="s">
        <v>52</v>
      </c>
      <c r="H730" t="s">
        <v>36</v>
      </c>
      <c r="I730">
        <v>3113</v>
      </c>
    </row>
    <row r="731" spans="1:9" ht="14.5" x14ac:dyDescent="0.35">
      <c r="A731">
        <v>3</v>
      </c>
      <c r="B731" t="s">
        <v>47</v>
      </c>
      <c r="C731" t="s">
        <v>59</v>
      </c>
      <c r="D731" t="s">
        <v>66</v>
      </c>
      <c r="E731" t="s">
        <v>67</v>
      </c>
      <c r="F731" t="s">
        <v>68</v>
      </c>
      <c r="G731" t="s">
        <v>52</v>
      </c>
      <c r="H731" t="s">
        <v>38</v>
      </c>
      <c r="I731">
        <v>3224</v>
      </c>
    </row>
    <row r="732" spans="1:9" ht="14.5" x14ac:dyDescent="0.35">
      <c r="A732">
        <v>3</v>
      </c>
      <c r="B732" t="s">
        <v>47</v>
      </c>
      <c r="C732" t="s">
        <v>59</v>
      </c>
      <c r="D732" t="s">
        <v>66</v>
      </c>
      <c r="E732" t="s">
        <v>67</v>
      </c>
      <c r="F732" t="s">
        <v>69</v>
      </c>
      <c r="G732" t="s">
        <v>52</v>
      </c>
      <c r="H732" t="s">
        <v>36</v>
      </c>
      <c r="I732">
        <v>4587</v>
      </c>
    </row>
    <row r="733" spans="1:9" ht="14.5" x14ac:dyDescent="0.35">
      <c r="A733">
        <v>3</v>
      </c>
      <c r="B733" t="s">
        <v>47</v>
      </c>
      <c r="C733" t="s">
        <v>59</v>
      </c>
      <c r="D733" t="s">
        <v>66</v>
      </c>
      <c r="E733" t="s">
        <v>67</v>
      </c>
      <c r="F733" t="s">
        <v>69</v>
      </c>
      <c r="G733" t="s">
        <v>52</v>
      </c>
      <c r="H733" t="s">
        <v>38</v>
      </c>
      <c r="I733">
        <v>3827</v>
      </c>
    </row>
    <row r="734" spans="1:9" ht="14.5" x14ac:dyDescent="0.35">
      <c r="A734">
        <v>3</v>
      </c>
      <c r="B734" t="s">
        <v>47</v>
      </c>
      <c r="C734" t="s">
        <v>59</v>
      </c>
      <c r="D734" t="s">
        <v>66</v>
      </c>
      <c r="E734" t="s">
        <v>67</v>
      </c>
      <c r="F734" t="s">
        <v>70</v>
      </c>
      <c r="G734" t="s">
        <v>52</v>
      </c>
      <c r="H734" t="s">
        <v>36</v>
      </c>
      <c r="I734">
        <v>2037</v>
      </c>
    </row>
    <row r="735" spans="1:9" ht="14.5" x14ac:dyDescent="0.35">
      <c r="A735">
        <v>3</v>
      </c>
      <c r="B735" t="s">
        <v>47</v>
      </c>
      <c r="C735" t="s">
        <v>59</v>
      </c>
      <c r="D735" t="s">
        <v>66</v>
      </c>
      <c r="E735" t="s">
        <v>67</v>
      </c>
      <c r="F735" t="s">
        <v>70</v>
      </c>
      <c r="G735" t="s">
        <v>52</v>
      </c>
      <c r="H735" t="s">
        <v>38</v>
      </c>
      <c r="I735">
        <v>4157</v>
      </c>
    </row>
    <row r="736" spans="1:9" ht="14.5" x14ac:dyDescent="0.35">
      <c r="A736">
        <v>3</v>
      </c>
      <c r="B736" t="s">
        <v>47</v>
      </c>
      <c r="C736" t="s">
        <v>59</v>
      </c>
      <c r="D736" t="s">
        <v>66</v>
      </c>
      <c r="E736" t="s">
        <v>67</v>
      </c>
      <c r="F736" t="s">
        <v>71</v>
      </c>
      <c r="G736" t="s">
        <v>52</v>
      </c>
      <c r="H736" t="s">
        <v>36</v>
      </c>
      <c r="I736">
        <v>1707</v>
      </c>
    </row>
    <row r="737" spans="1:9" ht="14.5" x14ac:dyDescent="0.35">
      <c r="A737">
        <v>3</v>
      </c>
      <c r="B737" t="s">
        <v>47</v>
      </c>
      <c r="C737" t="s">
        <v>59</v>
      </c>
      <c r="D737" t="s">
        <v>66</v>
      </c>
      <c r="E737" t="s">
        <v>67</v>
      </c>
      <c r="F737" t="s">
        <v>71</v>
      </c>
      <c r="G737" t="s">
        <v>52</v>
      </c>
      <c r="H737" t="s">
        <v>38</v>
      </c>
      <c r="I737">
        <v>4164</v>
      </c>
    </row>
    <row r="738" spans="1:9" ht="14.5" x14ac:dyDescent="0.35">
      <c r="A738">
        <v>3</v>
      </c>
      <c r="B738" t="s">
        <v>48</v>
      </c>
      <c r="C738" t="s">
        <v>59</v>
      </c>
      <c r="D738" t="s">
        <v>66</v>
      </c>
      <c r="E738" t="s">
        <v>67</v>
      </c>
      <c r="F738" t="s">
        <v>68</v>
      </c>
      <c r="G738" t="s">
        <v>52</v>
      </c>
      <c r="H738" t="s">
        <v>36</v>
      </c>
      <c r="I738">
        <v>4724</v>
      </c>
    </row>
    <row r="739" spans="1:9" ht="14.5" x14ac:dyDescent="0.35">
      <c r="A739">
        <v>3</v>
      </c>
      <c r="B739" t="s">
        <v>48</v>
      </c>
      <c r="C739" t="s">
        <v>59</v>
      </c>
      <c r="D739" t="s">
        <v>66</v>
      </c>
      <c r="E739" t="s">
        <v>67</v>
      </c>
      <c r="F739" t="s">
        <v>68</v>
      </c>
      <c r="G739" t="s">
        <v>52</v>
      </c>
      <c r="H739" t="s">
        <v>38</v>
      </c>
      <c r="I739">
        <v>4781</v>
      </c>
    </row>
    <row r="740" spans="1:9" ht="14.5" x14ac:dyDescent="0.35">
      <c r="A740">
        <v>3</v>
      </c>
      <c r="B740" t="s">
        <v>48</v>
      </c>
      <c r="C740" t="s">
        <v>59</v>
      </c>
      <c r="D740" t="s">
        <v>66</v>
      </c>
      <c r="E740" t="s">
        <v>67</v>
      </c>
      <c r="F740" t="s">
        <v>69</v>
      </c>
      <c r="G740" t="s">
        <v>52</v>
      </c>
      <c r="H740" t="s">
        <v>36</v>
      </c>
      <c r="I740">
        <v>3098</v>
      </c>
    </row>
    <row r="741" spans="1:9" ht="14.5" x14ac:dyDescent="0.35">
      <c r="A741">
        <v>3</v>
      </c>
      <c r="B741" t="s">
        <v>48</v>
      </c>
      <c r="C741" t="s">
        <v>59</v>
      </c>
      <c r="D741" t="s">
        <v>66</v>
      </c>
      <c r="E741" t="s">
        <v>67</v>
      </c>
      <c r="F741" t="s">
        <v>69</v>
      </c>
      <c r="G741" t="s">
        <v>52</v>
      </c>
      <c r="H741" t="s">
        <v>38</v>
      </c>
      <c r="I741">
        <v>3702</v>
      </c>
    </row>
    <row r="742" spans="1:9" ht="14.5" x14ac:dyDescent="0.35">
      <c r="A742">
        <v>3</v>
      </c>
      <c r="B742" t="s">
        <v>48</v>
      </c>
      <c r="C742" t="s">
        <v>59</v>
      </c>
      <c r="D742" t="s">
        <v>66</v>
      </c>
      <c r="E742" t="s">
        <v>67</v>
      </c>
      <c r="F742" t="s">
        <v>70</v>
      </c>
      <c r="G742" t="s">
        <v>52</v>
      </c>
      <c r="H742" t="s">
        <v>36</v>
      </c>
      <c r="I742">
        <v>4155</v>
      </c>
    </row>
    <row r="743" spans="1:9" ht="14.5" x14ac:dyDescent="0.35">
      <c r="A743">
        <v>3</v>
      </c>
      <c r="B743" t="s">
        <v>48</v>
      </c>
      <c r="C743" t="s">
        <v>59</v>
      </c>
      <c r="D743" t="s">
        <v>66</v>
      </c>
      <c r="E743" t="s">
        <v>67</v>
      </c>
      <c r="F743" t="s">
        <v>70</v>
      </c>
      <c r="G743" t="s">
        <v>52</v>
      </c>
      <c r="H743" t="s">
        <v>38</v>
      </c>
      <c r="I743">
        <v>3322</v>
      </c>
    </row>
    <row r="744" spans="1:9" ht="14.5" x14ac:dyDescent="0.35">
      <c r="A744">
        <v>3</v>
      </c>
      <c r="B744" t="s">
        <v>48</v>
      </c>
      <c r="C744" t="s">
        <v>59</v>
      </c>
      <c r="D744" t="s">
        <v>66</v>
      </c>
      <c r="E744" t="s">
        <v>67</v>
      </c>
      <c r="F744" t="s">
        <v>71</v>
      </c>
      <c r="G744" t="s">
        <v>52</v>
      </c>
      <c r="H744" t="s">
        <v>36</v>
      </c>
      <c r="I744">
        <v>4535</v>
      </c>
    </row>
    <row r="745" spans="1:9" ht="14.5" x14ac:dyDescent="0.35">
      <c r="A745">
        <v>3</v>
      </c>
      <c r="B745" t="s">
        <v>48</v>
      </c>
      <c r="C745" t="s">
        <v>59</v>
      </c>
      <c r="D745" t="s">
        <v>66</v>
      </c>
      <c r="E745" t="s">
        <v>67</v>
      </c>
      <c r="F745" t="s">
        <v>71</v>
      </c>
      <c r="G745" t="s">
        <v>52</v>
      </c>
      <c r="H745" t="s">
        <v>38</v>
      </c>
      <c r="I745">
        <v>2457</v>
      </c>
    </row>
    <row r="746" spans="1:9" ht="14.5" x14ac:dyDescent="0.35">
      <c r="A746">
        <v>4</v>
      </c>
      <c r="B746" t="s">
        <v>49</v>
      </c>
      <c r="C746" t="s">
        <v>59</v>
      </c>
      <c r="D746" t="s">
        <v>66</v>
      </c>
      <c r="E746" t="s">
        <v>67</v>
      </c>
      <c r="F746" t="s">
        <v>68</v>
      </c>
      <c r="G746" t="s">
        <v>52</v>
      </c>
      <c r="H746" t="s">
        <v>36</v>
      </c>
      <c r="I746">
        <v>3504</v>
      </c>
    </row>
    <row r="747" spans="1:9" ht="14.5" x14ac:dyDescent="0.35">
      <c r="A747">
        <v>4</v>
      </c>
      <c r="B747" t="s">
        <v>49</v>
      </c>
      <c r="C747" t="s">
        <v>59</v>
      </c>
      <c r="D747" t="s">
        <v>66</v>
      </c>
      <c r="E747" t="s">
        <v>67</v>
      </c>
      <c r="F747" t="s">
        <v>68</v>
      </c>
      <c r="G747" t="s">
        <v>52</v>
      </c>
      <c r="H747" t="s">
        <v>38</v>
      </c>
      <c r="I747">
        <v>1679</v>
      </c>
    </row>
    <row r="748" spans="1:9" ht="14.5" x14ac:dyDescent="0.35">
      <c r="A748">
        <v>4</v>
      </c>
      <c r="B748" t="s">
        <v>49</v>
      </c>
      <c r="C748" t="s">
        <v>59</v>
      </c>
      <c r="D748" t="s">
        <v>66</v>
      </c>
      <c r="E748" t="s">
        <v>67</v>
      </c>
      <c r="F748" t="s">
        <v>69</v>
      </c>
      <c r="G748" t="s">
        <v>52</v>
      </c>
      <c r="H748" t="s">
        <v>36</v>
      </c>
      <c r="I748">
        <v>1566</v>
      </c>
    </row>
    <row r="749" spans="1:9" ht="14.5" x14ac:dyDescent="0.35">
      <c r="A749">
        <v>4</v>
      </c>
      <c r="B749" t="s">
        <v>49</v>
      </c>
      <c r="C749" t="s">
        <v>59</v>
      </c>
      <c r="D749" t="s">
        <v>66</v>
      </c>
      <c r="E749" t="s">
        <v>67</v>
      </c>
      <c r="F749" t="s">
        <v>69</v>
      </c>
      <c r="G749" t="s">
        <v>52</v>
      </c>
      <c r="H749" t="s">
        <v>38</v>
      </c>
      <c r="I749">
        <v>1185</v>
      </c>
    </row>
    <row r="750" spans="1:9" ht="14.5" x14ac:dyDescent="0.35">
      <c r="A750">
        <v>4</v>
      </c>
      <c r="B750" t="s">
        <v>49</v>
      </c>
      <c r="C750" t="s">
        <v>59</v>
      </c>
      <c r="D750" t="s">
        <v>66</v>
      </c>
      <c r="E750" t="s">
        <v>67</v>
      </c>
      <c r="F750" t="s">
        <v>70</v>
      </c>
      <c r="G750" t="s">
        <v>52</v>
      </c>
      <c r="H750" t="s">
        <v>36</v>
      </c>
      <c r="I750">
        <v>1452</v>
      </c>
    </row>
    <row r="751" spans="1:9" ht="14.5" x14ac:dyDescent="0.35">
      <c r="A751">
        <v>4</v>
      </c>
      <c r="B751" t="s">
        <v>49</v>
      </c>
      <c r="C751" t="s">
        <v>59</v>
      </c>
      <c r="D751" t="s">
        <v>66</v>
      </c>
      <c r="E751" t="s">
        <v>67</v>
      </c>
      <c r="F751" t="s">
        <v>70</v>
      </c>
      <c r="G751" t="s">
        <v>52</v>
      </c>
      <c r="H751" t="s">
        <v>38</v>
      </c>
      <c r="I751">
        <v>3391</v>
      </c>
    </row>
    <row r="752" spans="1:9" ht="14.5" x14ac:dyDescent="0.35">
      <c r="A752">
        <v>4</v>
      </c>
      <c r="B752" t="s">
        <v>49</v>
      </c>
      <c r="C752" t="s">
        <v>59</v>
      </c>
      <c r="D752" t="s">
        <v>66</v>
      </c>
      <c r="E752" t="s">
        <v>67</v>
      </c>
      <c r="F752" t="s">
        <v>71</v>
      </c>
      <c r="G752" t="s">
        <v>52</v>
      </c>
      <c r="H752" t="s">
        <v>36</v>
      </c>
      <c r="I752">
        <v>1218</v>
      </c>
    </row>
    <row r="753" spans="1:9" ht="14.5" x14ac:dyDescent="0.35">
      <c r="A753">
        <v>4</v>
      </c>
      <c r="B753" t="s">
        <v>49</v>
      </c>
      <c r="C753" t="s">
        <v>59</v>
      </c>
      <c r="D753" t="s">
        <v>66</v>
      </c>
      <c r="E753" t="s">
        <v>67</v>
      </c>
      <c r="F753" t="s">
        <v>71</v>
      </c>
      <c r="G753" t="s">
        <v>52</v>
      </c>
      <c r="H753" t="s">
        <v>38</v>
      </c>
      <c r="I753">
        <v>4491</v>
      </c>
    </row>
    <row r="754" spans="1:9" ht="14.5" x14ac:dyDescent="0.35">
      <c r="A754">
        <v>4</v>
      </c>
      <c r="B754" t="s">
        <v>50</v>
      </c>
      <c r="C754" t="s">
        <v>59</v>
      </c>
      <c r="D754" t="s">
        <v>66</v>
      </c>
      <c r="E754" t="s">
        <v>67</v>
      </c>
      <c r="F754" t="s">
        <v>68</v>
      </c>
      <c r="G754" t="s">
        <v>52</v>
      </c>
      <c r="H754" t="s">
        <v>36</v>
      </c>
      <c r="I754">
        <v>1122</v>
      </c>
    </row>
    <row r="755" spans="1:9" ht="14.5" x14ac:dyDescent="0.35">
      <c r="A755">
        <v>4</v>
      </c>
      <c r="B755" t="s">
        <v>50</v>
      </c>
      <c r="C755" t="s">
        <v>59</v>
      </c>
      <c r="D755" t="s">
        <v>66</v>
      </c>
      <c r="E755" t="s">
        <v>67</v>
      </c>
      <c r="F755" t="s">
        <v>68</v>
      </c>
      <c r="G755" t="s">
        <v>52</v>
      </c>
      <c r="H755" t="s">
        <v>38</v>
      </c>
      <c r="I755">
        <v>3043</v>
      </c>
    </row>
    <row r="756" spans="1:9" ht="14.5" x14ac:dyDescent="0.35">
      <c r="A756">
        <v>4</v>
      </c>
      <c r="B756" t="s">
        <v>50</v>
      </c>
      <c r="C756" t="s">
        <v>59</v>
      </c>
      <c r="D756" t="s">
        <v>66</v>
      </c>
      <c r="E756" t="s">
        <v>67</v>
      </c>
      <c r="F756" t="s">
        <v>69</v>
      </c>
      <c r="G756" t="s">
        <v>52</v>
      </c>
      <c r="H756" t="s">
        <v>36</v>
      </c>
      <c r="I756">
        <v>4744</v>
      </c>
    </row>
    <row r="757" spans="1:9" ht="14.5" x14ac:dyDescent="0.35">
      <c r="A757">
        <v>4</v>
      </c>
      <c r="B757" t="s">
        <v>50</v>
      </c>
      <c r="C757" t="s">
        <v>59</v>
      </c>
      <c r="D757" t="s">
        <v>66</v>
      </c>
      <c r="E757" t="s">
        <v>67</v>
      </c>
      <c r="F757" t="s">
        <v>69</v>
      </c>
      <c r="G757" t="s">
        <v>52</v>
      </c>
      <c r="H757" t="s">
        <v>38</v>
      </c>
      <c r="I757">
        <v>1547</v>
      </c>
    </row>
    <row r="758" spans="1:9" ht="14.5" x14ac:dyDescent="0.35">
      <c r="A758">
        <v>4</v>
      </c>
      <c r="B758" t="s">
        <v>50</v>
      </c>
      <c r="C758" t="s">
        <v>59</v>
      </c>
      <c r="D758" t="s">
        <v>66</v>
      </c>
      <c r="E758" t="s">
        <v>67</v>
      </c>
      <c r="F758" t="s">
        <v>70</v>
      </c>
      <c r="G758" t="s">
        <v>52</v>
      </c>
      <c r="H758" t="s">
        <v>36</v>
      </c>
      <c r="I758">
        <v>4023</v>
      </c>
    </row>
    <row r="759" spans="1:9" ht="14.5" x14ac:dyDescent="0.35">
      <c r="A759">
        <v>4</v>
      </c>
      <c r="B759" t="s">
        <v>50</v>
      </c>
      <c r="C759" t="s">
        <v>59</v>
      </c>
      <c r="D759" t="s">
        <v>66</v>
      </c>
      <c r="E759" t="s">
        <v>67</v>
      </c>
      <c r="F759" t="s">
        <v>70</v>
      </c>
      <c r="G759" t="s">
        <v>52</v>
      </c>
      <c r="H759" t="s">
        <v>38</v>
      </c>
      <c r="I759">
        <v>4153</v>
      </c>
    </row>
    <row r="760" spans="1:9" ht="14.5" x14ac:dyDescent="0.35">
      <c r="A760">
        <v>4</v>
      </c>
      <c r="B760" t="s">
        <v>50</v>
      </c>
      <c r="C760" t="s">
        <v>59</v>
      </c>
      <c r="D760" t="s">
        <v>66</v>
      </c>
      <c r="E760" t="s">
        <v>67</v>
      </c>
      <c r="F760" t="s">
        <v>71</v>
      </c>
      <c r="G760" t="s">
        <v>52</v>
      </c>
      <c r="H760" t="s">
        <v>36</v>
      </c>
      <c r="I760">
        <v>4743</v>
      </c>
    </row>
    <row r="761" spans="1:9" ht="14.5" x14ac:dyDescent="0.35">
      <c r="A761">
        <v>4</v>
      </c>
      <c r="B761" t="s">
        <v>50</v>
      </c>
      <c r="C761" t="s">
        <v>59</v>
      </c>
      <c r="D761" t="s">
        <v>66</v>
      </c>
      <c r="E761" t="s">
        <v>67</v>
      </c>
      <c r="F761" t="s">
        <v>71</v>
      </c>
      <c r="G761" t="s">
        <v>52</v>
      </c>
      <c r="H761" t="s">
        <v>38</v>
      </c>
      <c r="I761">
        <v>2921</v>
      </c>
    </row>
    <row r="762" spans="1:9" ht="14.5" x14ac:dyDescent="0.35">
      <c r="A762">
        <v>4</v>
      </c>
      <c r="B762" t="s">
        <v>51</v>
      </c>
      <c r="C762" t="s">
        <v>59</v>
      </c>
      <c r="D762" t="s">
        <v>66</v>
      </c>
      <c r="E762" t="s">
        <v>67</v>
      </c>
      <c r="F762" t="s">
        <v>68</v>
      </c>
      <c r="G762" t="s">
        <v>52</v>
      </c>
      <c r="H762" t="s">
        <v>36</v>
      </c>
      <c r="I762">
        <v>2328</v>
      </c>
    </row>
    <row r="763" spans="1:9" ht="14.5" x14ac:dyDescent="0.35">
      <c r="A763">
        <v>4</v>
      </c>
      <c r="B763" t="s">
        <v>51</v>
      </c>
      <c r="C763" t="s">
        <v>59</v>
      </c>
      <c r="D763" t="s">
        <v>66</v>
      </c>
      <c r="E763" t="s">
        <v>67</v>
      </c>
      <c r="F763" t="s">
        <v>68</v>
      </c>
      <c r="G763" t="s">
        <v>52</v>
      </c>
      <c r="H763" t="s">
        <v>38</v>
      </c>
      <c r="I763">
        <v>2266</v>
      </c>
    </row>
    <row r="764" spans="1:9" ht="14.5" x14ac:dyDescent="0.35">
      <c r="A764">
        <v>4</v>
      </c>
      <c r="B764" t="s">
        <v>51</v>
      </c>
      <c r="C764" t="s">
        <v>59</v>
      </c>
      <c r="D764" t="s">
        <v>66</v>
      </c>
      <c r="E764" t="s">
        <v>67</v>
      </c>
      <c r="F764" t="s">
        <v>69</v>
      </c>
      <c r="G764" t="s">
        <v>52</v>
      </c>
      <c r="H764" t="s">
        <v>36</v>
      </c>
      <c r="I764">
        <v>2635</v>
      </c>
    </row>
    <row r="765" spans="1:9" ht="14.5" x14ac:dyDescent="0.35">
      <c r="A765">
        <v>4</v>
      </c>
      <c r="B765" t="s">
        <v>51</v>
      </c>
      <c r="C765" t="s">
        <v>59</v>
      </c>
      <c r="D765" t="s">
        <v>66</v>
      </c>
      <c r="E765" t="s">
        <v>67</v>
      </c>
      <c r="F765" t="s">
        <v>69</v>
      </c>
      <c r="G765" t="s">
        <v>52</v>
      </c>
      <c r="H765" t="s">
        <v>38</v>
      </c>
      <c r="I765">
        <v>1634</v>
      </c>
    </row>
    <row r="766" spans="1:9" ht="14.5" x14ac:dyDescent="0.35">
      <c r="A766">
        <v>4</v>
      </c>
      <c r="B766" t="s">
        <v>51</v>
      </c>
      <c r="C766" t="s">
        <v>59</v>
      </c>
      <c r="D766" t="s">
        <v>66</v>
      </c>
      <c r="E766" t="s">
        <v>67</v>
      </c>
      <c r="F766" t="s">
        <v>70</v>
      </c>
      <c r="G766" t="s">
        <v>52</v>
      </c>
      <c r="H766" t="s">
        <v>36</v>
      </c>
      <c r="I766">
        <v>2052</v>
      </c>
    </row>
    <row r="767" spans="1:9" ht="14.5" x14ac:dyDescent="0.35">
      <c r="A767">
        <v>4</v>
      </c>
      <c r="B767" t="s">
        <v>51</v>
      </c>
      <c r="C767" t="s">
        <v>59</v>
      </c>
      <c r="D767" t="s">
        <v>66</v>
      </c>
      <c r="E767" t="s">
        <v>67</v>
      </c>
      <c r="F767" t="s">
        <v>70</v>
      </c>
      <c r="G767" t="s">
        <v>52</v>
      </c>
      <c r="H767" t="s">
        <v>38</v>
      </c>
      <c r="I767">
        <v>4961</v>
      </c>
    </row>
    <row r="768" spans="1:9" ht="14.5" x14ac:dyDescent="0.35">
      <c r="A768">
        <v>4</v>
      </c>
      <c r="B768" t="s">
        <v>51</v>
      </c>
      <c r="C768" t="s">
        <v>59</v>
      </c>
      <c r="D768" t="s">
        <v>66</v>
      </c>
      <c r="E768" t="s">
        <v>67</v>
      </c>
      <c r="F768" t="s">
        <v>71</v>
      </c>
      <c r="G768" t="s">
        <v>52</v>
      </c>
      <c r="H768" t="s">
        <v>36</v>
      </c>
      <c r="I768">
        <v>1107</v>
      </c>
    </row>
    <row r="769" spans="1:9" ht="14.5" x14ac:dyDescent="0.35">
      <c r="A769">
        <v>4</v>
      </c>
      <c r="B769" t="s">
        <v>51</v>
      </c>
      <c r="C769" t="s">
        <v>59</v>
      </c>
      <c r="D769" t="s">
        <v>66</v>
      </c>
      <c r="E769" t="s">
        <v>67</v>
      </c>
      <c r="F769" t="s">
        <v>71</v>
      </c>
      <c r="G769" t="s">
        <v>52</v>
      </c>
      <c r="H769" t="s">
        <v>38</v>
      </c>
      <c r="I769">
        <v>2166</v>
      </c>
    </row>
    <row r="770" spans="1:9" ht="14.5" x14ac:dyDescent="0.35">
      <c r="A770">
        <v>1</v>
      </c>
      <c r="B770" t="s">
        <v>30</v>
      </c>
      <c r="C770" t="s">
        <v>72</v>
      </c>
      <c r="D770" t="s">
        <v>73</v>
      </c>
      <c r="E770" t="s">
        <v>74</v>
      </c>
      <c r="F770" t="s">
        <v>75</v>
      </c>
      <c r="G770" t="s">
        <v>35</v>
      </c>
      <c r="H770" t="s">
        <v>36</v>
      </c>
      <c r="I770">
        <v>4455</v>
      </c>
    </row>
    <row r="771" spans="1:9" ht="14.5" x14ac:dyDescent="0.35">
      <c r="A771">
        <v>1</v>
      </c>
      <c r="B771" t="s">
        <v>30</v>
      </c>
      <c r="C771" t="s">
        <v>72</v>
      </c>
      <c r="D771" t="s">
        <v>73</v>
      </c>
      <c r="E771" t="s">
        <v>74</v>
      </c>
      <c r="F771" t="s">
        <v>75</v>
      </c>
      <c r="G771" t="s">
        <v>35</v>
      </c>
      <c r="H771" t="s">
        <v>38</v>
      </c>
      <c r="I771">
        <v>4581</v>
      </c>
    </row>
    <row r="772" spans="1:9" ht="14.5" x14ac:dyDescent="0.35">
      <c r="A772">
        <v>1</v>
      </c>
      <c r="B772" t="s">
        <v>30</v>
      </c>
      <c r="C772" t="s">
        <v>72</v>
      </c>
      <c r="D772" t="s">
        <v>73</v>
      </c>
      <c r="E772" t="s">
        <v>74</v>
      </c>
      <c r="F772" t="s">
        <v>76</v>
      </c>
      <c r="G772" t="s">
        <v>35</v>
      </c>
      <c r="H772" t="s">
        <v>36</v>
      </c>
      <c r="I772">
        <v>4481</v>
      </c>
    </row>
    <row r="773" spans="1:9" ht="14.5" x14ac:dyDescent="0.35">
      <c r="A773">
        <v>1</v>
      </c>
      <c r="B773" t="s">
        <v>30</v>
      </c>
      <c r="C773" t="s">
        <v>72</v>
      </c>
      <c r="D773" t="s">
        <v>73</v>
      </c>
      <c r="E773" t="s">
        <v>74</v>
      </c>
      <c r="F773" t="s">
        <v>76</v>
      </c>
      <c r="G773" t="s">
        <v>35</v>
      </c>
      <c r="H773" t="s">
        <v>38</v>
      </c>
      <c r="I773">
        <v>3417</v>
      </c>
    </row>
    <row r="774" spans="1:9" ht="14.5" x14ac:dyDescent="0.35">
      <c r="A774">
        <v>1</v>
      </c>
      <c r="B774" t="s">
        <v>30</v>
      </c>
      <c r="C774" t="s">
        <v>72</v>
      </c>
      <c r="D774" t="s">
        <v>73</v>
      </c>
      <c r="E774" t="s">
        <v>74</v>
      </c>
      <c r="F774" t="s">
        <v>77</v>
      </c>
      <c r="G774" t="s">
        <v>35</v>
      </c>
      <c r="H774" t="s">
        <v>36</v>
      </c>
      <c r="I774">
        <v>3592</v>
      </c>
    </row>
    <row r="775" spans="1:9" ht="14.5" x14ac:dyDescent="0.35">
      <c r="A775">
        <v>1</v>
      </c>
      <c r="B775" t="s">
        <v>30</v>
      </c>
      <c r="C775" t="s">
        <v>72</v>
      </c>
      <c r="D775" t="s">
        <v>73</v>
      </c>
      <c r="E775" t="s">
        <v>74</v>
      </c>
      <c r="F775" t="s">
        <v>77</v>
      </c>
      <c r="G775" t="s">
        <v>35</v>
      </c>
      <c r="H775" t="s">
        <v>38</v>
      </c>
      <c r="I775">
        <v>1781</v>
      </c>
    </row>
    <row r="776" spans="1:9" ht="14.5" x14ac:dyDescent="0.35">
      <c r="A776">
        <v>1</v>
      </c>
      <c r="B776" t="s">
        <v>30</v>
      </c>
      <c r="C776" t="s">
        <v>72</v>
      </c>
      <c r="D776" t="s">
        <v>73</v>
      </c>
      <c r="E776" t="s">
        <v>74</v>
      </c>
      <c r="F776" t="s">
        <v>78</v>
      </c>
      <c r="G776" t="s">
        <v>35</v>
      </c>
      <c r="H776" t="s">
        <v>36</v>
      </c>
      <c r="I776">
        <v>3546</v>
      </c>
    </row>
    <row r="777" spans="1:9" ht="14.5" x14ac:dyDescent="0.35">
      <c r="A777">
        <v>1</v>
      </c>
      <c r="B777" t="s">
        <v>30</v>
      </c>
      <c r="C777" t="s">
        <v>72</v>
      </c>
      <c r="D777" t="s">
        <v>73</v>
      </c>
      <c r="E777" t="s">
        <v>74</v>
      </c>
      <c r="F777" t="s">
        <v>78</v>
      </c>
      <c r="G777" t="s">
        <v>35</v>
      </c>
      <c r="H777" t="s">
        <v>38</v>
      </c>
      <c r="I777">
        <v>2042</v>
      </c>
    </row>
    <row r="778" spans="1:9" ht="14.5" x14ac:dyDescent="0.35">
      <c r="A778">
        <v>1</v>
      </c>
      <c r="B778" t="s">
        <v>41</v>
      </c>
      <c r="C778" t="s">
        <v>72</v>
      </c>
      <c r="D778" t="s">
        <v>73</v>
      </c>
      <c r="E778" t="s">
        <v>74</v>
      </c>
      <c r="F778" t="s">
        <v>75</v>
      </c>
      <c r="G778" t="s">
        <v>35</v>
      </c>
      <c r="H778" t="s">
        <v>36</v>
      </c>
      <c r="I778">
        <v>2214</v>
      </c>
    </row>
    <row r="779" spans="1:9" ht="14.5" x14ac:dyDescent="0.35">
      <c r="A779">
        <v>1</v>
      </c>
      <c r="B779" t="s">
        <v>41</v>
      </c>
      <c r="C779" t="s">
        <v>72</v>
      </c>
      <c r="D779" t="s">
        <v>73</v>
      </c>
      <c r="E779" t="s">
        <v>74</v>
      </c>
      <c r="F779" t="s">
        <v>75</v>
      </c>
      <c r="G779" t="s">
        <v>35</v>
      </c>
      <c r="H779" t="s">
        <v>38</v>
      </c>
      <c r="I779">
        <v>1434</v>
      </c>
    </row>
    <row r="780" spans="1:9" ht="14.5" x14ac:dyDescent="0.35">
      <c r="A780">
        <v>1</v>
      </c>
      <c r="B780" t="s">
        <v>41</v>
      </c>
      <c r="C780" t="s">
        <v>72</v>
      </c>
      <c r="D780" t="s">
        <v>73</v>
      </c>
      <c r="E780" t="s">
        <v>74</v>
      </c>
      <c r="F780" t="s">
        <v>76</v>
      </c>
      <c r="G780" t="s">
        <v>35</v>
      </c>
      <c r="H780" t="s">
        <v>36</v>
      </c>
      <c r="I780">
        <v>1901</v>
      </c>
    </row>
    <row r="781" spans="1:9" ht="14.5" x14ac:dyDescent="0.35">
      <c r="A781">
        <v>1</v>
      </c>
      <c r="B781" t="s">
        <v>41</v>
      </c>
      <c r="C781" t="s">
        <v>72</v>
      </c>
      <c r="D781" t="s">
        <v>73</v>
      </c>
      <c r="E781" t="s">
        <v>74</v>
      </c>
      <c r="F781" t="s">
        <v>76</v>
      </c>
      <c r="G781" t="s">
        <v>35</v>
      </c>
      <c r="H781" t="s">
        <v>38</v>
      </c>
      <c r="I781">
        <v>2697</v>
      </c>
    </row>
    <row r="782" spans="1:9" ht="14.5" x14ac:dyDescent="0.35">
      <c r="A782">
        <v>1</v>
      </c>
      <c r="B782" t="s">
        <v>41</v>
      </c>
      <c r="C782" t="s">
        <v>72</v>
      </c>
      <c r="D782" t="s">
        <v>73</v>
      </c>
      <c r="E782" t="s">
        <v>74</v>
      </c>
      <c r="F782" t="s">
        <v>77</v>
      </c>
      <c r="G782" t="s">
        <v>35</v>
      </c>
      <c r="H782" t="s">
        <v>36</v>
      </c>
      <c r="I782">
        <v>2684</v>
      </c>
    </row>
    <row r="783" spans="1:9" ht="14.5" x14ac:dyDescent="0.35">
      <c r="A783">
        <v>1</v>
      </c>
      <c r="B783" t="s">
        <v>41</v>
      </c>
      <c r="C783" t="s">
        <v>72</v>
      </c>
      <c r="D783" t="s">
        <v>73</v>
      </c>
      <c r="E783" t="s">
        <v>74</v>
      </c>
      <c r="F783" t="s">
        <v>77</v>
      </c>
      <c r="G783" t="s">
        <v>35</v>
      </c>
      <c r="H783" t="s">
        <v>38</v>
      </c>
      <c r="I783">
        <v>2426</v>
      </c>
    </row>
    <row r="784" spans="1:9" ht="14.5" x14ac:dyDescent="0.35">
      <c r="A784">
        <v>1</v>
      </c>
      <c r="B784" t="s">
        <v>41</v>
      </c>
      <c r="C784" t="s">
        <v>72</v>
      </c>
      <c r="D784" t="s">
        <v>73</v>
      </c>
      <c r="E784" t="s">
        <v>74</v>
      </c>
      <c r="F784" t="s">
        <v>78</v>
      </c>
      <c r="G784" t="s">
        <v>35</v>
      </c>
      <c r="H784" t="s">
        <v>36</v>
      </c>
      <c r="I784">
        <v>4643</v>
      </c>
    </row>
    <row r="785" spans="1:9" ht="14.5" x14ac:dyDescent="0.35">
      <c r="A785">
        <v>1</v>
      </c>
      <c r="B785" t="s">
        <v>41</v>
      </c>
      <c r="C785" t="s">
        <v>72</v>
      </c>
      <c r="D785" t="s">
        <v>73</v>
      </c>
      <c r="E785" t="s">
        <v>74</v>
      </c>
      <c r="F785" t="s">
        <v>78</v>
      </c>
      <c r="G785" t="s">
        <v>35</v>
      </c>
      <c r="H785" t="s">
        <v>38</v>
      </c>
      <c r="I785">
        <v>4059</v>
      </c>
    </row>
    <row r="786" spans="1:9" ht="14.5" x14ac:dyDescent="0.35">
      <c r="A786">
        <v>1</v>
      </c>
      <c r="B786" t="s">
        <v>42</v>
      </c>
      <c r="C786" t="s">
        <v>72</v>
      </c>
      <c r="D786" t="s">
        <v>73</v>
      </c>
      <c r="E786" t="s">
        <v>74</v>
      </c>
      <c r="F786" t="s">
        <v>75</v>
      </c>
      <c r="G786" t="s">
        <v>35</v>
      </c>
      <c r="H786" t="s">
        <v>36</v>
      </c>
      <c r="I786">
        <v>4454</v>
      </c>
    </row>
    <row r="787" spans="1:9" ht="14.5" x14ac:dyDescent="0.35">
      <c r="A787">
        <v>1</v>
      </c>
      <c r="B787" t="s">
        <v>42</v>
      </c>
      <c r="C787" t="s">
        <v>72</v>
      </c>
      <c r="D787" t="s">
        <v>73</v>
      </c>
      <c r="E787" t="s">
        <v>74</v>
      </c>
      <c r="F787" t="s">
        <v>75</v>
      </c>
      <c r="G787" t="s">
        <v>35</v>
      </c>
      <c r="H787" t="s">
        <v>38</v>
      </c>
      <c r="I787">
        <v>1730</v>
      </c>
    </row>
    <row r="788" spans="1:9" ht="14.5" x14ac:dyDescent="0.35">
      <c r="A788">
        <v>1</v>
      </c>
      <c r="B788" t="s">
        <v>42</v>
      </c>
      <c r="C788" t="s">
        <v>72</v>
      </c>
      <c r="D788" t="s">
        <v>73</v>
      </c>
      <c r="E788" t="s">
        <v>74</v>
      </c>
      <c r="F788" t="s">
        <v>76</v>
      </c>
      <c r="G788" t="s">
        <v>35</v>
      </c>
      <c r="H788" t="s">
        <v>36</v>
      </c>
      <c r="I788">
        <v>4950</v>
      </c>
    </row>
    <row r="789" spans="1:9" ht="14.5" x14ac:dyDescent="0.35">
      <c r="A789">
        <v>1</v>
      </c>
      <c r="B789" t="s">
        <v>42</v>
      </c>
      <c r="C789" t="s">
        <v>72</v>
      </c>
      <c r="D789" t="s">
        <v>73</v>
      </c>
      <c r="E789" t="s">
        <v>74</v>
      </c>
      <c r="F789" t="s">
        <v>76</v>
      </c>
      <c r="G789" t="s">
        <v>35</v>
      </c>
      <c r="H789" t="s">
        <v>38</v>
      </c>
      <c r="I789">
        <v>1228</v>
      </c>
    </row>
    <row r="790" spans="1:9" ht="14.5" x14ac:dyDescent="0.35">
      <c r="A790">
        <v>1</v>
      </c>
      <c r="B790" t="s">
        <v>42</v>
      </c>
      <c r="C790" t="s">
        <v>72</v>
      </c>
      <c r="D790" t="s">
        <v>73</v>
      </c>
      <c r="E790" t="s">
        <v>74</v>
      </c>
      <c r="F790" t="s">
        <v>77</v>
      </c>
      <c r="G790" t="s">
        <v>35</v>
      </c>
      <c r="H790" t="s">
        <v>36</v>
      </c>
      <c r="I790">
        <v>2147</v>
      </c>
    </row>
    <row r="791" spans="1:9" ht="14.5" x14ac:dyDescent="0.35">
      <c r="A791">
        <v>1</v>
      </c>
      <c r="B791" t="s">
        <v>42</v>
      </c>
      <c r="C791" t="s">
        <v>72</v>
      </c>
      <c r="D791" t="s">
        <v>73</v>
      </c>
      <c r="E791" t="s">
        <v>74</v>
      </c>
      <c r="F791" t="s">
        <v>77</v>
      </c>
      <c r="G791" t="s">
        <v>35</v>
      </c>
      <c r="H791" t="s">
        <v>38</v>
      </c>
      <c r="I791">
        <v>2591</v>
      </c>
    </row>
    <row r="792" spans="1:9" ht="14.5" x14ac:dyDescent="0.35">
      <c r="A792">
        <v>1</v>
      </c>
      <c r="B792" t="s">
        <v>42</v>
      </c>
      <c r="C792" t="s">
        <v>72</v>
      </c>
      <c r="D792" t="s">
        <v>73</v>
      </c>
      <c r="E792" t="s">
        <v>74</v>
      </c>
      <c r="F792" t="s">
        <v>78</v>
      </c>
      <c r="G792" t="s">
        <v>35</v>
      </c>
      <c r="H792" t="s">
        <v>36</v>
      </c>
      <c r="I792">
        <v>1812</v>
      </c>
    </row>
    <row r="793" spans="1:9" ht="14.5" x14ac:dyDescent="0.35">
      <c r="A793">
        <v>1</v>
      </c>
      <c r="B793" t="s">
        <v>42</v>
      </c>
      <c r="C793" t="s">
        <v>72</v>
      </c>
      <c r="D793" t="s">
        <v>73</v>
      </c>
      <c r="E793" t="s">
        <v>74</v>
      </c>
      <c r="F793" t="s">
        <v>78</v>
      </c>
      <c r="G793" t="s">
        <v>35</v>
      </c>
      <c r="H793" t="s">
        <v>38</v>
      </c>
      <c r="I793">
        <v>2030</v>
      </c>
    </row>
    <row r="794" spans="1:9" ht="14.5" x14ac:dyDescent="0.35">
      <c r="A794">
        <v>2</v>
      </c>
      <c r="B794" t="s">
        <v>43</v>
      </c>
      <c r="C794" t="s">
        <v>72</v>
      </c>
      <c r="D794" t="s">
        <v>73</v>
      </c>
      <c r="E794" t="s">
        <v>74</v>
      </c>
      <c r="F794" t="s">
        <v>75</v>
      </c>
      <c r="G794" t="s">
        <v>35</v>
      </c>
      <c r="H794" t="s">
        <v>36</v>
      </c>
      <c r="I794">
        <v>1727</v>
      </c>
    </row>
    <row r="795" spans="1:9" ht="14.5" x14ac:dyDescent="0.35">
      <c r="A795">
        <v>2</v>
      </c>
      <c r="B795" t="s">
        <v>43</v>
      </c>
      <c r="C795" t="s">
        <v>72</v>
      </c>
      <c r="D795" t="s">
        <v>73</v>
      </c>
      <c r="E795" t="s">
        <v>74</v>
      </c>
      <c r="F795" t="s">
        <v>75</v>
      </c>
      <c r="G795" t="s">
        <v>35</v>
      </c>
      <c r="H795" t="s">
        <v>38</v>
      </c>
      <c r="I795">
        <v>1131</v>
      </c>
    </row>
    <row r="796" spans="1:9" ht="14.5" x14ac:dyDescent="0.35">
      <c r="A796">
        <v>2</v>
      </c>
      <c r="B796" t="s">
        <v>43</v>
      </c>
      <c r="C796" t="s">
        <v>72</v>
      </c>
      <c r="D796" t="s">
        <v>73</v>
      </c>
      <c r="E796" t="s">
        <v>74</v>
      </c>
      <c r="F796" t="s">
        <v>76</v>
      </c>
      <c r="G796" t="s">
        <v>35</v>
      </c>
      <c r="H796" t="s">
        <v>36</v>
      </c>
      <c r="I796">
        <v>1072</v>
      </c>
    </row>
    <row r="797" spans="1:9" ht="14.5" x14ac:dyDescent="0.35">
      <c r="A797">
        <v>2</v>
      </c>
      <c r="B797" t="s">
        <v>43</v>
      </c>
      <c r="C797" t="s">
        <v>72</v>
      </c>
      <c r="D797" t="s">
        <v>73</v>
      </c>
      <c r="E797" t="s">
        <v>74</v>
      </c>
      <c r="F797" t="s">
        <v>76</v>
      </c>
      <c r="G797" t="s">
        <v>35</v>
      </c>
      <c r="H797" t="s">
        <v>38</v>
      </c>
      <c r="I797">
        <v>4806</v>
      </c>
    </row>
    <row r="798" spans="1:9" ht="14.5" x14ac:dyDescent="0.35">
      <c r="A798">
        <v>2</v>
      </c>
      <c r="B798" t="s">
        <v>43</v>
      </c>
      <c r="C798" t="s">
        <v>72</v>
      </c>
      <c r="D798" t="s">
        <v>73</v>
      </c>
      <c r="E798" t="s">
        <v>74</v>
      </c>
      <c r="F798" t="s">
        <v>77</v>
      </c>
      <c r="G798" t="s">
        <v>35</v>
      </c>
      <c r="H798" t="s">
        <v>36</v>
      </c>
      <c r="I798">
        <v>3679</v>
      </c>
    </row>
    <row r="799" spans="1:9" ht="14.5" x14ac:dyDescent="0.35">
      <c r="A799">
        <v>2</v>
      </c>
      <c r="B799" t="s">
        <v>43</v>
      </c>
      <c r="C799" t="s">
        <v>72</v>
      </c>
      <c r="D799" t="s">
        <v>73</v>
      </c>
      <c r="E799" t="s">
        <v>74</v>
      </c>
      <c r="F799" t="s">
        <v>77</v>
      </c>
      <c r="G799" t="s">
        <v>35</v>
      </c>
      <c r="H799" t="s">
        <v>38</v>
      </c>
      <c r="I799">
        <v>4357</v>
      </c>
    </row>
    <row r="800" spans="1:9" ht="14.5" x14ac:dyDescent="0.35">
      <c r="A800">
        <v>2</v>
      </c>
      <c r="B800" t="s">
        <v>43</v>
      </c>
      <c r="C800" t="s">
        <v>72</v>
      </c>
      <c r="D800" t="s">
        <v>73</v>
      </c>
      <c r="E800" t="s">
        <v>74</v>
      </c>
      <c r="F800" t="s">
        <v>78</v>
      </c>
      <c r="G800" t="s">
        <v>35</v>
      </c>
      <c r="H800" t="s">
        <v>36</v>
      </c>
      <c r="I800">
        <v>2123</v>
      </c>
    </row>
    <row r="801" spans="1:9" ht="14.5" x14ac:dyDescent="0.35">
      <c r="A801">
        <v>2</v>
      </c>
      <c r="B801" t="s">
        <v>43</v>
      </c>
      <c r="C801" t="s">
        <v>72</v>
      </c>
      <c r="D801" t="s">
        <v>73</v>
      </c>
      <c r="E801" t="s">
        <v>74</v>
      </c>
      <c r="F801" t="s">
        <v>78</v>
      </c>
      <c r="G801" t="s">
        <v>35</v>
      </c>
      <c r="H801" t="s">
        <v>38</v>
      </c>
      <c r="I801">
        <v>1875</v>
      </c>
    </row>
    <row r="802" spans="1:9" ht="14.5" x14ac:dyDescent="0.35">
      <c r="A802">
        <v>2</v>
      </c>
      <c r="B802" t="s">
        <v>44</v>
      </c>
      <c r="C802" t="s">
        <v>72</v>
      </c>
      <c r="D802" t="s">
        <v>73</v>
      </c>
      <c r="E802" t="s">
        <v>74</v>
      </c>
      <c r="F802" t="s">
        <v>75</v>
      </c>
      <c r="G802" t="s">
        <v>35</v>
      </c>
      <c r="H802" t="s">
        <v>36</v>
      </c>
      <c r="I802">
        <v>1936</v>
      </c>
    </row>
    <row r="803" spans="1:9" ht="14.5" x14ac:dyDescent="0.35">
      <c r="A803">
        <v>2</v>
      </c>
      <c r="B803" t="s">
        <v>44</v>
      </c>
      <c r="C803" t="s">
        <v>72</v>
      </c>
      <c r="D803" t="s">
        <v>73</v>
      </c>
      <c r="E803" t="s">
        <v>74</v>
      </c>
      <c r="F803" t="s">
        <v>75</v>
      </c>
      <c r="G803" t="s">
        <v>35</v>
      </c>
      <c r="H803" t="s">
        <v>38</v>
      </c>
      <c r="I803">
        <v>2061</v>
      </c>
    </row>
    <row r="804" spans="1:9" ht="14.5" x14ac:dyDescent="0.35">
      <c r="A804">
        <v>2</v>
      </c>
      <c r="B804" t="s">
        <v>44</v>
      </c>
      <c r="C804" t="s">
        <v>72</v>
      </c>
      <c r="D804" t="s">
        <v>73</v>
      </c>
      <c r="E804" t="s">
        <v>74</v>
      </c>
      <c r="F804" t="s">
        <v>76</v>
      </c>
      <c r="G804" t="s">
        <v>35</v>
      </c>
      <c r="H804" t="s">
        <v>36</v>
      </c>
      <c r="I804">
        <v>3494</v>
      </c>
    </row>
    <row r="805" spans="1:9" ht="14.5" x14ac:dyDescent="0.35">
      <c r="A805">
        <v>2</v>
      </c>
      <c r="B805" t="s">
        <v>44</v>
      </c>
      <c r="C805" t="s">
        <v>72</v>
      </c>
      <c r="D805" t="s">
        <v>73</v>
      </c>
      <c r="E805" t="s">
        <v>74</v>
      </c>
      <c r="F805" t="s">
        <v>76</v>
      </c>
      <c r="G805" t="s">
        <v>35</v>
      </c>
      <c r="H805" t="s">
        <v>38</v>
      </c>
      <c r="I805">
        <v>1734</v>
      </c>
    </row>
    <row r="806" spans="1:9" ht="14.5" x14ac:dyDescent="0.35">
      <c r="A806">
        <v>2</v>
      </c>
      <c r="B806" t="s">
        <v>44</v>
      </c>
      <c r="C806" t="s">
        <v>72</v>
      </c>
      <c r="D806" t="s">
        <v>73</v>
      </c>
      <c r="E806" t="s">
        <v>74</v>
      </c>
      <c r="F806" t="s">
        <v>77</v>
      </c>
      <c r="G806" t="s">
        <v>35</v>
      </c>
      <c r="H806" t="s">
        <v>36</v>
      </c>
      <c r="I806">
        <v>1123</v>
      </c>
    </row>
    <row r="807" spans="1:9" ht="14.5" x14ac:dyDescent="0.35">
      <c r="A807">
        <v>2</v>
      </c>
      <c r="B807" t="s">
        <v>44</v>
      </c>
      <c r="C807" t="s">
        <v>72</v>
      </c>
      <c r="D807" t="s">
        <v>73</v>
      </c>
      <c r="E807" t="s">
        <v>74</v>
      </c>
      <c r="F807" t="s">
        <v>77</v>
      </c>
      <c r="G807" t="s">
        <v>35</v>
      </c>
      <c r="H807" t="s">
        <v>38</v>
      </c>
      <c r="I807">
        <v>2427</v>
      </c>
    </row>
    <row r="808" spans="1:9" ht="14.5" x14ac:dyDescent="0.35">
      <c r="A808">
        <v>2</v>
      </c>
      <c r="B808" t="s">
        <v>44</v>
      </c>
      <c r="C808" t="s">
        <v>72</v>
      </c>
      <c r="D808" t="s">
        <v>73</v>
      </c>
      <c r="E808" t="s">
        <v>74</v>
      </c>
      <c r="F808" t="s">
        <v>78</v>
      </c>
      <c r="G808" t="s">
        <v>35</v>
      </c>
      <c r="H808" t="s">
        <v>36</v>
      </c>
      <c r="I808">
        <v>3151</v>
      </c>
    </row>
    <row r="809" spans="1:9" ht="14.5" x14ac:dyDescent="0.35">
      <c r="A809">
        <v>2</v>
      </c>
      <c r="B809" t="s">
        <v>44</v>
      </c>
      <c r="C809" t="s">
        <v>72</v>
      </c>
      <c r="D809" t="s">
        <v>73</v>
      </c>
      <c r="E809" t="s">
        <v>74</v>
      </c>
      <c r="F809" t="s">
        <v>78</v>
      </c>
      <c r="G809" t="s">
        <v>35</v>
      </c>
      <c r="H809" t="s">
        <v>38</v>
      </c>
      <c r="I809">
        <v>2668</v>
      </c>
    </row>
    <row r="810" spans="1:9" ht="14.5" x14ac:dyDescent="0.35">
      <c r="A810">
        <v>2</v>
      </c>
      <c r="B810" t="s">
        <v>45</v>
      </c>
      <c r="C810" t="s">
        <v>72</v>
      </c>
      <c r="D810" t="s">
        <v>73</v>
      </c>
      <c r="E810" t="s">
        <v>74</v>
      </c>
      <c r="F810" t="s">
        <v>75</v>
      </c>
      <c r="G810" t="s">
        <v>35</v>
      </c>
      <c r="H810" t="s">
        <v>36</v>
      </c>
      <c r="I810">
        <v>2455</v>
      </c>
    </row>
    <row r="811" spans="1:9" ht="14.5" x14ac:dyDescent="0.35">
      <c r="A811">
        <v>2</v>
      </c>
      <c r="B811" t="s">
        <v>45</v>
      </c>
      <c r="C811" t="s">
        <v>72</v>
      </c>
      <c r="D811" t="s">
        <v>73</v>
      </c>
      <c r="E811" t="s">
        <v>74</v>
      </c>
      <c r="F811" t="s">
        <v>75</v>
      </c>
      <c r="G811" t="s">
        <v>35</v>
      </c>
      <c r="H811" t="s">
        <v>38</v>
      </c>
      <c r="I811">
        <v>2564</v>
      </c>
    </row>
    <row r="812" spans="1:9" ht="14.5" x14ac:dyDescent="0.35">
      <c r="A812">
        <v>2</v>
      </c>
      <c r="B812" t="s">
        <v>45</v>
      </c>
      <c r="C812" t="s">
        <v>72</v>
      </c>
      <c r="D812" t="s">
        <v>73</v>
      </c>
      <c r="E812" t="s">
        <v>74</v>
      </c>
      <c r="F812" t="s">
        <v>76</v>
      </c>
      <c r="G812" t="s">
        <v>35</v>
      </c>
      <c r="H812" t="s">
        <v>36</v>
      </c>
      <c r="I812">
        <v>3192</v>
      </c>
    </row>
    <row r="813" spans="1:9" ht="14.5" x14ac:dyDescent="0.35">
      <c r="A813">
        <v>2</v>
      </c>
      <c r="B813" t="s">
        <v>45</v>
      </c>
      <c r="C813" t="s">
        <v>72</v>
      </c>
      <c r="D813" t="s">
        <v>73</v>
      </c>
      <c r="E813" t="s">
        <v>74</v>
      </c>
      <c r="F813" t="s">
        <v>76</v>
      </c>
      <c r="G813" t="s">
        <v>35</v>
      </c>
      <c r="H813" t="s">
        <v>38</v>
      </c>
      <c r="I813">
        <v>1397</v>
      </c>
    </row>
    <row r="814" spans="1:9" ht="14.5" x14ac:dyDescent="0.35">
      <c r="A814">
        <v>2</v>
      </c>
      <c r="B814" t="s">
        <v>45</v>
      </c>
      <c r="C814" t="s">
        <v>72</v>
      </c>
      <c r="D814" t="s">
        <v>73</v>
      </c>
      <c r="E814" t="s">
        <v>74</v>
      </c>
      <c r="F814" t="s">
        <v>77</v>
      </c>
      <c r="G814" t="s">
        <v>35</v>
      </c>
      <c r="H814" t="s">
        <v>36</v>
      </c>
      <c r="I814">
        <v>3767</v>
      </c>
    </row>
    <row r="815" spans="1:9" ht="14.5" x14ac:dyDescent="0.35">
      <c r="A815">
        <v>2</v>
      </c>
      <c r="B815" t="s">
        <v>45</v>
      </c>
      <c r="C815" t="s">
        <v>72</v>
      </c>
      <c r="D815" t="s">
        <v>73</v>
      </c>
      <c r="E815" t="s">
        <v>74</v>
      </c>
      <c r="F815" t="s">
        <v>77</v>
      </c>
      <c r="G815" t="s">
        <v>35</v>
      </c>
      <c r="H815" t="s">
        <v>38</v>
      </c>
      <c r="I815">
        <v>2841</v>
      </c>
    </row>
    <row r="816" spans="1:9" ht="14.5" x14ac:dyDescent="0.35">
      <c r="A816">
        <v>2</v>
      </c>
      <c r="B816" t="s">
        <v>45</v>
      </c>
      <c r="C816" t="s">
        <v>72</v>
      </c>
      <c r="D816" t="s">
        <v>73</v>
      </c>
      <c r="E816" t="s">
        <v>74</v>
      </c>
      <c r="F816" t="s">
        <v>78</v>
      </c>
      <c r="G816" t="s">
        <v>35</v>
      </c>
      <c r="H816" t="s">
        <v>36</v>
      </c>
      <c r="I816">
        <v>4995</v>
      </c>
    </row>
    <row r="817" spans="1:9" ht="14.5" x14ac:dyDescent="0.35">
      <c r="A817">
        <v>2</v>
      </c>
      <c r="B817" t="s">
        <v>45</v>
      </c>
      <c r="C817" t="s">
        <v>72</v>
      </c>
      <c r="D817" t="s">
        <v>73</v>
      </c>
      <c r="E817" t="s">
        <v>74</v>
      </c>
      <c r="F817" t="s">
        <v>78</v>
      </c>
      <c r="G817" t="s">
        <v>35</v>
      </c>
      <c r="H817" t="s">
        <v>38</v>
      </c>
      <c r="I817">
        <v>3929</v>
      </c>
    </row>
    <row r="818" spans="1:9" ht="14.5" x14ac:dyDescent="0.35">
      <c r="A818">
        <v>3</v>
      </c>
      <c r="B818" t="s">
        <v>46</v>
      </c>
      <c r="C818" t="s">
        <v>72</v>
      </c>
      <c r="D818" t="s">
        <v>73</v>
      </c>
      <c r="E818" t="s">
        <v>74</v>
      </c>
      <c r="F818" t="s">
        <v>75</v>
      </c>
      <c r="G818" t="s">
        <v>35</v>
      </c>
      <c r="H818" t="s">
        <v>36</v>
      </c>
      <c r="I818">
        <v>3777</v>
      </c>
    </row>
    <row r="819" spans="1:9" ht="14.5" x14ac:dyDescent="0.35">
      <c r="A819">
        <v>3</v>
      </c>
      <c r="B819" t="s">
        <v>46</v>
      </c>
      <c r="C819" t="s">
        <v>72</v>
      </c>
      <c r="D819" t="s">
        <v>73</v>
      </c>
      <c r="E819" t="s">
        <v>74</v>
      </c>
      <c r="F819" t="s">
        <v>75</v>
      </c>
      <c r="G819" t="s">
        <v>35</v>
      </c>
      <c r="H819" t="s">
        <v>38</v>
      </c>
      <c r="I819">
        <v>4520</v>
      </c>
    </row>
    <row r="820" spans="1:9" ht="14.5" x14ac:dyDescent="0.35">
      <c r="A820">
        <v>3</v>
      </c>
      <c r="B820" t="s">
        <v>46</v>
      </c>
      <c r="C820" t="s">
        <v>72</v>
      </c>
      <c r="D820" t="s">
        <v>73</v>
      </c>
      <c r="E820" t="s">
        <v>74</v>
      </c>
      <c r="F820" t="s">
        <v>76</v>
      </c>
      <c r="G820" t="s">
        <v>35</v>
      </c>
      <c r="H820" t="s">
        <v>36</v>
      </c>
      <c r="I820">
        <v>4591</v>
      </c>
    </row>
    <row r="821" spans="1:9" ht="14.5" x14ac:dyDescent="0.35">
      <c r="A821">
        <v>3</v>
      </c>
      <c r="B821" t="s">
        <v>46</v>
      </c>
      <c r="C821" t="s">
        <v>72</v>
      </c>
      <c r="D821" t="s">
        <v>73</v>
      </c>
      <c r="E821" t="s">
        <v>74</v>
      </c>
      <c r="F821" t="s">
        <v>76</v>
      </c>
      <c r="G821" t="s">
        <v>35</v>
      </c>
      <c r="H821" t="s">
        <v>38</v>
      </c>
      <c r="I821">
        <v>1737</v>
      </c>
    </row>
    <row r="822" spans="1:9" ht="14.5" x14ac:dyDescent="0.35">
      <c r="A822">
        <v>3</v>
      </c>
      <c r="B822" t="s">
        <v>46</v>
      </c>
      <c r="C822" t="s">
        <v>72</v>
      </c>
      <c r="D822" t="s">
        <v>73</v>
      </c>
      <c r="E822" t="s">
        <v>74</v>
      </c>
      <c r="F822" t="s">
        <v>77</v>
      </c>
      <c r="G822" t="s">
        <v>35</v>
      </c>
      <c r="H822" t="s">
        <v>36</v>
      </c>
      <c r="I822">
        <v>2717</v>
      </c>
    </row>
    <row r="823" spans="1:9" ht="14.5" x14ac:dyDescent="0.35">
      <c r="A823">
        <v>3</v>
      </c>
      <c r="B823" t="s">
        <v>46</v>
      </c>
      <c r="C823" t="s">
        <v>72</v>
      </c>
      <c r="D823" t="s">
        <v>73</v>
      </c>
      <c r="E823" t="s">
        <v>74</v>
      </c>
      <c r="F823" t="s">
        <v>77</v>
      </c>
      <c r="G823" t="s">
        <v>35</v>
      </c>
      <c r="H823" t="s">
        <v>38</v>
      </c>
      <c r="I823">
        <v>3630</v>
      </c>
    </row>
    <row r="824" spans="1:9" ht="14.5" x14ac:dyDescent="0.35">
      <c r="A824">
        <v>3</v>
      </c>
      <c r="B824" t="s">
        <v>46</v>
      </c>
      <c r="C824" t="s">
        <v>72</v>
      </c>
      <c r="D824" t="s">
        <v>73</v>
      </c>
      <c r="E824" t="s">
        <v>74</v>
      </c>
      <c r="F824" t="s">
        <v>78</v>
      </c>
      <c r="G824" t="s">
        <v>35</v>
      </c>
      <c r="H824" t="s">
        <v>36</v>
      </c>
      <c r="I824">
        <v>1485</v>
      </c>
    </row>
    <row r="825" spans="1:9" ht="14.5" x14ac:dyDescent="0.35">
      <c r="A825">
        <v>3</v>
      </c>
      <c r="B825" t="s">
        <v>46</v>
      </c>
      <c r="C825" t="s">
        <v>72</v>
      </c>
      <c r="D825" t="s">
        <v>73</v>
      </c>
      <c r="E825" t="s">
        <v>74</v>
      </c>
      <c r="F825" t="s">
        <v>78</v>
      </c>
      <c r="G825" t="s">
        <v>35</v>
      </c>
      <c r="H825" t="s">
        <v>38</v>
      </c>
      <c r="I825">
        <v>1691</v>
      </c>
    </row>
    <row r="826" spans="1:9" ht="14.5" x14ac:dyDescent="0.35">
      <c r="A826">
        <v>3</v>
      </c>
      <c r="B826" t="s">
        <v>47</v>
      </c>
      <c r="C826" t="s">
        <v>72</v>
      </c>
      <c r="D826" t="s">
        <v>73</v>
      </c>
      <c r="E826" t="s">
        <v>74</v>
      </c>
      <c r="F826" t="s">
        <v>75</v>
      </c>
      <c r="G826" t="s">
        <v>35</v>
      </c>
      <c r="H826" t="s">
        <v>36</v>
      </c>
      <c r="I826">
        <v>1720</v>
      </c>
    </row>
    <row r="827" spans="1:9" ht="14.5" x14ac:dyDescent="0.35">
      <c r="A827">
        <v>3</v>
      </c>
      <c r="B827" t="s">
        <v>47</v>
      </c>
      <c r="C827" t="s">
        <v>72</v>
      </c>
      <c r="D827" t="s">
        <v>73</v>
      </c>
      <c r="E827" t="s">
        <v>74</v>
      </c>
      <c r="F827" t="s">
        <v>75</v>
      </c>
      <c r="G827" t="s">
        <v>35</v>
      </c>
      <c r="H827" t="s">
        <v>38</v>
      </c>
      <c r="I827">
        <v>4389</v>
      </c>
    </row>
    <row r="828" spans="1:9" ht="14.5" x14ac:dyDescent="0.35">
      <c r="A828">
        <v>3</v>
      </c>
      <c r="B828" t="s">
        <v>47</v>
      </c>
      <c r="C828" t="s">
        <v>72</v>
      </c>
      <c r="D828" t="s">
        <v>73</v>
      </c>
      <c r="E828" t="s">
        <v>74</v>
      </c>
      <c r="F828" t="s">
        <v>76</v>
      </c>
      <c r="G828" t="s">
        <v>35</v>
      </c>
      <c r="H828" t="s">
        <v>36</v>
      </c>
      <c r="I828">
        <v>4983</v>
      </c>
    </row>
    <row r="829" spans="1:9" ht="14.5" x14ac:dyDescent="0.35">
      <c r="A829">
        <v>3</v>
      </c>
      <c r="B829" t="s">
        <v>47</v>
      </c>
      <c r="C829" t="s">
        <v>72</v>
      </c>
      <c r="D829" t="s">
        <v>73</v>
      </c>
      <c r="E829" t="s">
        <v>74</v>
      </c>
      <c r="F829" t="s">
        <v>76</v>
      </c>
      <c r="G829" t="s">
        <v>35</v>
      </c>
      <c r="H829" t="s">
        <v>38</v>
      </c>
      <c r="I829">
        <v>2789</v>
      </c>
    </row>
    <row r="830" spans="1:9" ht="14.5" x14ac:dyDescent="0.35">
      <c r="A830">
        <v>3</v>
      </c>
      <c r="B830" t="s">
        <v>47</v>
      </c>
      <c r="C830" t="s">
        <v>72</v>
      </c>
      <c r="D830" t="s">
        <v>73</v>
      </c>
      <c r="E830" t="s">
        <v>74</v>
      </c>
      <c r="F830" t="s">
        <v>77</v>
      </c>
      <c r="G830" t="s">
        <v>35</v>
      </c>
      <c r="H830" t="s">
        <v>36</v>
      </c>
      <c r="I830">
        <v>4147</v>
      </c>
    </row>
    <row r="831" spans="1:9" ht="14.5" x14ac:dyDescent="0.35">
      <c r="A831">
        <v>3</v>
      </c>
      <c r="B831" t="s">
        <v>47</v>
      </c>
      <c r="C831" t="s">
        <v>72</v>
      </c>
      <c r="D831" t="s">
        <v>73</v>
      </c>
      <c r="E831" t="s">
        <v>74</v>
      </c>
      <c r="F831" t="s">
        <v>77</v>
      </c>
      <c r="G831" t="s">
        <v>35</v>
      </c>
      <c r="H831" t="s">
        <v>38</v>
      </c>
      <c r="I831">
        <v>2814</v>
      </c>
    </row>
    <row r="832" spans="1:9" ht="14.5" x14ac:dyDescent="0.35">
      <c r="A832">
        <v>3</v>
      </c>
      <c r="B832" t="s">
        <v>47</v>
      </c>
      <c r="C832" t="s">
        <v>72</v>
      </c>
      <c r="D832" t="s">
        <v>73</v>
      </c>
      <c r="E832" t="s">
        <v>74</v>
      </c>
      <c r="F832" t="s">
        <v>78</v>
      </c>
      <c r="G832" t="s">
        <v>35</v>
      </c>
      <c r="H832" t="s">
        <v>36</v>
      </c>
      <c r="I832">
        <v>4175</v>
      </c>
    </row>
    <row r="833" spans="1:9" ht="14.5" x14ac:dyDescent="0.35">
      <c r="A833">
        <v>3</v>
      </c>
      <c r="B833" t="s">
        <v>47</v>
      </c>
      <c r="C833" t="s">
        <v>72</v>
      </c>
      <c r="D833" t="s">
        <v>73</v>
      </c>
      <c r="E833" t="s">
        <v>74</v>
      </c>
      <c r="F833" t="s">
        <v>78</v>
      </c>
      <c r="G833" t="s">
        <v>35</v>
      </c>
      <c r="H833" t="s">
        <v>38</v>
      </c>
      <c r="I833">
        <v>2056</v>
      </c>
    </row>
    <row r="834" spans="1:9" ht="14.5" x14ac:dyDescent="0.35">
      <c r="A834">
        <v>3</v>
      </c>
      <c r="B834" t="s">
        <v>48</v>
      </c>
      <c r="C834" t="s">
        <v>72</v>
      </c>
      <c r="D834" t="s">
        <v>73</v>
      </c>
      <c r="E834" t="s">
        <v>74</v>
      </c>
      <c r="F834" t="s">
        <v>75</v>
      </c>
      <c r="G834" t="s">
        <v>35</v>
      </c>
      <c r="H834" t="s">
        <v>36</v>
      </c>
      <c r="I834">
        <v>4927</v>
      </c>
    </row>
    <row r="835" spans="1:9" ht="14.5" x14ac:dyDescent="0.35">
      <c r="A835">
        <v>3</v>
      </c>
      <c r="B835" t="s">
        <v>48</v>
      </c>
      <c r="C835" t="s">
        <v>72</v>
      </c>
      <c r="D835" t="s">
        <v>73</v>
      </c>
      <c r="E835" t="s">
        <v>74</v>
      </c>
      <c r="F835" t="s">
        <v>75</v>
      </c>
      <c r="G835" t="s">
        <v>35</v>
      </c>
      <c r="H835" t="s">
        <v>38</v>
      </c>
      <c r="I835">
        <v>1175</v>
      </c>
    </row>
    <row r="836" spans="1:9" ht="14.5" x14ac:dyDescent="0.35">
      <c r="A836">
        <v>3</v>
      </c>
      <c r="B836" t="s">
        <v>48</v>
      </c>
      <c r="C836" t="s">
        <v>72</v>
      </c>
      <c r="D836" t="s">
        <v>73</v>
      </c>
      <c r="E836" t="s">
        <v>74</v>
      </c>
      <c r="F836" t="s">
        <v>76</v>
      </c>
      <c r="G836" t="s">
        <v>35</v>
      </c>
      <c r="H836" t="s">
        <v>36</v>
      </c>
      <c r="I836">
        <v>1911</v>
      </c>
    </row>
    <row r="837" spans="1:9" ht="14.5" x14ac:dyDescent="0.35">
      <c r="A837">
        <v>3</v>
      </c>
      <c r="B837" t="s">
        <v>48</v>
      </c>
      <c r="C837" t="s">
        <v>72</v>
      </c>
      <c r="D837" t="s">
        <v>73</v>
      </c>
      <c r="E837" t="s">
        <v>74</v>
      </c>
      <c r="F837" t="s">
        <v>76</v>
      </c>
      <c r="G837" t="s">
        <v>35</v>
      </c>
      <c r="H837" t="s">
        <v>38</v>
      </c>
      <c r="I837">
        <v>2724</v>
      </c>
    </row>
    <row r="838" spans="1:9" ht="14.5" x14ac:dyDescent="0.35">
      <c r="A838">
        <v>3</v>
      </c>
      <c r="B838" t="s">
        <v>48</v>
      </c>
      <c r="C838" t="s">
        <v>72</v>
      </c>
      <c r="D838" t="s">
        <v>73</v>
      </c>
      <c r="E838" t="s">
        <v>74</v>
      </c>
      <c r="F838" t="s">
        <v>77</v>
      </c>
      <c r="G838" t="s">
        <v>35</v>
      </c>
      <c r="H838" t="s">
        <v>36</v>
      </c>
      <c r="I838">
        <v>1755</v>
      </c>
    </row>
    <row r="839" spans="1:9" ht="14.5" x14ac:dyDescent="0.35">
      <c r="A839">
        <v>3</v>
      </c>
      <c r="B839" t="s">
        <v>48</v>
      </c>
      <c r="C839" t="s">
        <v>72</v>
      </c>
      <c r="D839" t="s">
        <v>73</v>
      </c>
      <c r="E839" t="s">
        <v>74</v>
      </c>
      <c r="F839" t="s">
        <v>77</v>
      </c>
      <c r="G839" t="s">
        <v>35</v>
      </c>
      <c r="H839" t="s">
        <v>38</v>
      </c>
      <c r="I839">
        <v>4893</v>
      </c>
    </row>
    <row r="840" spans="1:9" ht="14.5" x14ac:dyDescent="0.35">
      <c r="A840">
        <v>3</v>
      </c>
      <c r="B840" t="s">
        <v>48</v>
      </c>
      <c r="C840" t="s">
        <v>72</v>
      </c>
      <c r="D840" t="s">
        <v>73</v>
      </c>
      <c r="E840" t="s">
        <v>74</v>
      </c>
      <c r="F840" t="s">
        <v>78</v>
      </c>
      <c r="G840" t="s">
        <v>35</v>
      </c>
      <c r="H840" t="s">
        <v>36</v>
      </c>
      <c r="I840">
        <v>2549</v>
      </c>
    </row>
    <row r="841" spans="1:9" ht="14.5" x14ac:dyDescent="0.35">
      <c r="A841">
        <v>3</v>
      </c>
      <c r="B841" t="s">
        <v>48</v>
      </c>
      <c r="C841" t="s">
        <v>72</v>
      </c>
      <c r="D841" t="s">
        <v>73</v>
      </c>
      <c r="E841" t="s">
        <v>74</v>
      </c>
      <c r="F841" t="s">
        <v>78</v>
      </c>
      <c r="G841" t="s">
        <v>35</v>
      </c>
      <c r="H841" t="s">
        <v>38</v>
      </c>
      <c r="I841">
        <v>4538</v>
      </c>
    </row>
    <row r="842" spans="1:9" ht="14.5" x14ac:dyDescent="0.35">
      <c r="A842">
        <v>4</v>
      </c>
      <c r="B842" t="s">
        <v>49</v>
      </c>
      <c r="C842" t="s">
        <v>72</v>
      </c>
      <c r="D842" t="s">
        <v>73</v>
      </c>
      <c r="E842" t="s">
        <v>74</v>
      </c>
      <c r="F842" t="s">
        <v>75</v>
      </c>
      <c r="G842" t="s">
        <v>35</v>
      </c>
      <c r="H842" t="s">
        <v>36</v>
      </c>
      <c r="I842">
        <v>4498</v>
      </c>
    </row>
    <row r="843" spans="1:9" ht="14.5" x14ac:dyDescent="0.35">
      <c r="A843">
        <v>4</v>
      </c>
      <c r="B843" t="s">
        <v>49</v>
      </c>
      <c r="C843" t="s">
        <v>72</v>
      </c>
      <c r="D843" t="s">
        <v>73</v>
      </c>
      <c r="E843" t="s">
        <v>74</v>
      </c>
      <c r="F843" t="s">
        <v>75</v>
      </c>
      <c r="G843" t="s">
        <v>35</v>
      </c>
      <c r="H843" t="s">
        <v>38</v>
      </c>
      <c r="I843">
        <v>3437</v>
      </c>
    </row>
    <row r="844" spans="1:9" ht="14.5" x14ac:dyDescent="0.35">
      <c r="A844">
        <v>4</v>
      </c>
      <c r="B844" t="s">
        <v>49</v>
      </c>
      <c r="C844" t="s">
        <v>72</v>
      </c>
      <c r="D844" t="s">
        <v>73</v>
      </c>
      <c r="E844" t="s">
        <v>74</v>
      </c>
      <c r="F844" t="s">
        <v>76</v>
      </c>
      <c r="G844" t="s">
        <v>35</v>
      </c>
      <c r="H844" t="s">
        <v>36</v>
      </c>
      <c r="I844">
        <v>2670</v>
      </c>
    </row>
    <row r="845" spans="1:9" ht="14.5" x14ac:dyDescent="0.35">
      <c r="A845">
        <v>4</v>
      </c>
      <c r="B845" t="s">
        <v>49</v>
      </c>
      <c r="C845" t="s">
        <v>72</v>
      </c>
      <c r="D845" t="s">
        <v>73</v>
      </c>
      <c r="E845" t="s">
        <v>74</v>
      </c>
      <c r="F845" t="s">
        <v>76</v>
      </c>
      <c r="G845" t="s">
        <v>35</v>
      </c>
      <c r="H845" t="s">
        <v>38</v>
      </c>
      <c r="I845">
        <v>1878</v>
      </c>
    </row>
    <row r="846" spans="1:9" ht="14.5" x14ac:dyDescent="0.35">
      <c r="A846">
        <v>4</v>
      </c>
      <c r="B846" t="s">
        <v>49</v>
      </c>
      <c r="C846" t="s">
        <v>72</v>
      </c>
      <c r="D846" t="s">
        <v>73</v>
      </c>
      <c r="E846" t="s">
        <v>74</v>
      </c>
      <c r="F846" t="s">
        <v>77</v>
      </c>
      <c r="G846" t="s">
        <v>35</v>
      </c>
      <c r="H846" t="s">
        <v>36</v>
      </c>
      <c r="I846">
        <v>3302</v>
      </c>
    </row>
    <row r="847" spans="1:9" ht="14.5" x14ac:dyDescent="0.35">
      <c r="A847">
        <v>4</v>
      </c>
      <c r="B847" t="s">
        <v>49</v>
      </c>
      <c r="C847" t="s">
        <v>72</v>
      </c>
      <c r="D847" t="s">
        <v>73</v>
      </c>
      <c r="E847" t="s">
        <v>74</v>
      </c>
      <c r="F847" t="s">
        <v>77</v>
      </c>
      <c r="G847" t="s">
        <v>35</v>
      </c>
      <c r="H847" t="s">
        <v>38</v>
      </c>
      <c r="I847">
        <v>1098</v>
      </c>
    </row>
    <row r="848" spans="1:9" ht="14.5" x14ac:dyDescent="0.35">
      <c r="A848">
        <v>4</v>
      </c>
      <c r="B848" t="s">
        <v>49</v>
      </c>
      <c r="C848" t="s">
        <v>72</v>
      </c>
      <c r="D848" t="s">
        <v>73</v>
      </c>
      <c r="E848" t="s">
        <v>74</v>
      </c>
      <c r="F848" t="s">
        <v>78</v>
      </c>
      <c r="G848" t="s">
        <v>35</v>
      </c>
      <c r="H848" t="s">
        <v>36</v>
      </c>
      <c r="I848">
        <v>1649</v>
      </c>
    </row>
    <row r="849" spans="1:9" ht="14.5" x14ac:dyDescent="0.35">
      <c r="A849">
        <v>4</v>
      </c>
      <c r="B849" t="s">
        <v>49</v>
      </c>
      <c r="C849" t="s">
        <v>72</v>
      </c>
      <c r="D849" t="s">
        <v>73</v>
      </c>
      <c r="E849" t="s">
        <v>74</v>
      </c>
      <c r="F849" t="s">
        <v>78</v>
      </c>
      <c r="G849" t="s">
        <v>35</v>
      </c>
      <c r="H849" t="s">
        <v>38</v>
      </c>
      <c r="I849">
        <v>3307</v>
      </c>
    </row>
    <row r="850" spans="1:9" ht="14.5" x14ac:dyDescent="0.35">
      <c r="A850">
        <v>4</v>
      </c>
      <c r="B850" t="s">
        <v>50</v>
      </c>
      <c r="C850" t="s">
        <v>72</v>
      </c>
      <c r="D850" t="s">
        <v>73</v>
      </c>
      <c r="E850" t="s">
        <v>74</v>
      </c>
      <c r="F850" t="s">
        <v>75</v>
      </c>
      <c r="G850" t="s">
        <v>35</v>
      </c>
      <c r="H850" t="s">
        <v>36</v>
      </c>
      <c r="I850">
        <v>2366</v>
      </c>
    </row>
    <row r="851" spans="1:9" ht="14.5" x14ac:dyDescent="0.35">
      <c r="A851">
        <v>4</v>
      </c>
      <c r="B851" t="s">
        <v>50</v>
      </c>
      <c r="C851" t="s">
        <v>72</v>
      </c>
      <c r="D851" t="s">
        <v>73</v>
      </c>
      <c r="E851" t="s">
        <v>74</v>
      </c>
      <c r="F851" t="s">
        <v>75</v>
      </c>
      <c r="G851" t="s">
        <v>35</v>
      </c>
      <c r="H851" t="s">
        <v>38</v>
      </c>
      <c r="I851">
        <v>2121</v>
      </c>
    </row>
    <row r="852" spans="1:9" ht="14.5" x14ac:dyDescent="0.35">
      <c r="A852">
        <v>4</v>
      </c>
      <c r="B852" t="s">
        <v>50</v>
      </c>
      <c r="C852" t="s">
        <v>72</v>
      </c>
      <c r="D852" t="s">
        <v>73</v>
      </c>
      <c r="E852" t="s">
        <v>74</v>
      </c>
      <c r="F852" t="s">
        <v>76</v>
      </c>
      <c r="G852" t="s">
        <v>35</v>
      </c>
      <c r="H852" t="s">
        <v>36</v>
      </c>
      <c r="I852">
        <v>4326</v>
      </c>
    </row>
    <row r="853" spans="1:9" ht="14.5" x14ac:dyDescent="0.35">
      <c r="A853">
        <v>4</v>
      </c>
      <c r="B853" t="s">
        <v>50</v>
      </c>
      <c r="C853" t="s">
        <v>72</v>
      </c>
      <c r="D853" t="s">
        <v>73</v>
      </c>
      <c r="E853" t="s">
        <v>74</v>
      </c>
      <c r="F853" t="s">
        <v>76</v>
      </c>
      <c r="G853" t="s">
        <v>35</v>
      </c>
      <c r="H853" t="s">
        <v>38</v>
      </c>
      <c r="I853">
        <v>1455</v>
      </c>
    </row>
    <row r="854" spans="1:9" ht="14.5" x14ac:dyDescent="0.35">
      <c r="A854">
        <v>4</v>
      </c>
      <c r="B854" t="s">
        <v>50</v>
      </c>
      <c r="C854" t="s">
        <v>72</v>
      </c>
      <c r="D854" t="s">
        <v>73</v>
      </c>
      <c r="E854" t="s">
        <v>74</v>
      </c>
      <c r="F854" t="s">
        <v>77</v>
      </c>
      <c r="G854" t="s">
        <v>35</v>
      </c>
      <c r="H854" t="s">
        <v>36</v>
      </c>
      <c r="I854">
        <v>3578</v>
      </c>
    </row>
    <row r="855" spans="1:9" ht="14.5" x14ac:dyDescent="0.35">
      <c r="A855">
        <v>4</v>
      </c>
      <c r="B855" t="s">
        <v>50</v>
      </c>
      <c r="C855" t="s">
        <v>72</v>
      </c>
      <c r="D855" t="s">
        <v>73</v>
      </c>
      <c r="E855" t="s">
        <v>74</v>
      </c>
      <c r="F855" t="s">
        <v>77</v>
      </c>
      <c r="G855" t="s">
        <v>35</v>
      </c>
      <c r="H855" t="s">
        <v>38</v>
      </c>
      <c r="I855">
        <v>3157</v>
      </c>
    </row>
    <row r="856" spans="1:9" ht="14.5" x14ac:dyDescent="0.35">
      <c r="A856">
        <v>4</v>
      </c>
      <c r="B856" t="s">
        <v>50</v>
      </c>
      <c r="C856" t="s">
        <v>72</v>
      </c>
      <c r="D856" t="s">
        <v>73</v>
      </c>
      <c r="E856" t="s">
        <v>74</v>
      </c>
      <c r="F856" t="s">
        <v>78</v>
      </c>
      <c r="G856" t="s">
        <v>35</v>
      </c>
      <c r="H856" t="s">
        <v>36</v>
      </c>
      <c r="I856">
        <v>4257</v>
      </c>
    </row>
    <row r="857" spans="1:9" ht="14.5" x14ac:dyDescent="0.35">
      <c r="A857">
        <v>4</v>
      </c>
      <c r="B857" t="s">
        <v>50</v>
      </c>
      <c r="C857" t="s">
        <v>72</v>
      </c>
      <c r="D857" t="s">
        <v>73</v>
      </c>
      <c r="E857" t="s">
        <v>74</v>
      </c>
      <c r="F857" t="s">
        <v>78</v>
      </c>
      <c r="G857" t="s">
        <v>35</v>
      </c>
      <c r="H857" t="s">
        <v>38</v>
      </c>
      <c r="I857">
        <v>4279</v>
      </c>
    </row>
    <row r="858" spans="1:9" ht="14.5" x14ac:dyDescent="0.35">
      <c r="A858">
        <v>4</v>
      </c>
      <c r="B858" t="s">
        <v>51</v>
      </c>
      <c r="C858" t="s">
        <v>72</v>
      </c>
      <c r="D858" t="s">
        <v>73</v>
      </c>
      <c r="E858" t="s">
        <v>74</v>
      </c>
      <c r="F858" t="s">
        <v>75</v>
      </c>
      <c r="G858" t="s">
        <v>35</v>
      </c>
      <c r="H858" t="s">
        <v>36</v>
      </c>
      <c r="I858">
        <v>3140</v>
      </c>
    </row>
    <row r="859" spans="1:9" ht="14.5" x14ac:dyDescent="0.35">
      <c r="A859">
        <v>4</v>
      </c>
      <c r="B859" t="s">
        <v>51</v>
      </c>
      <c r="C859" t="s">
        <v>72</v>
      </c>
      <c r="D859" t="s">
        <v>73</v>
      </c>
      <c r="E859" t="s">
        <v>74</v>
      </c>
      <c r="F859" t="s">
        <v>75</v>
      </c>
      <c r="G859" t="s">
        <v>35</v>
      </c>
      <c r="H859" t="s">
        <v>38</v>
      </c>
      <c r="I859">
        <v>4744</v>
      </c>
    </row>
    <row r="860" spans="1:9" ht="14.5" x14ac:dyDescent="0.35">
      <c r="A860">
        <v>4</v>
      </c>
      <c r="B860" t="s">
        <v>51</v>
      </c>
      <c r="C860" t="s">
        <v>72</v>
      </c>
      <c r="D860" t="s">
        <v>73</v>
      </c>
      <c r="E860" t="s">
        <v>74</v>
      </c>
      <c r="F860" t="s">
        <v>76</v>
      </c>
      <c r="G860" t="s">
        <v>35</v>
      </c>
      <c r="H860" t="s">
        <v>36</v>
      </c>
      <c r="I860">
        <v>4618</v>
      </c>
    </row>
    <row r="861" spans="1:9" ht="14.5" x14ac:dyDescent="0.35">
      <c r="A861">
        <v>4</v>
      </c>
      <c r="B861" t="s">
        <v>51</v>
      </c>
      <c r="C861" t="s">
        <v>72</v>
      </c>
      <c r="D861" t="s">
        <v>73</v>
      </c>
      <c r="E861" t="s">
        <v>74</v>
      </c>
      <c r="F861" t="s">
        <v>76</v>
      </c>
      <c r="G861" t="s">
        <v>35</v>
      </c>
      <c r="H861" t="s">
        <v>38</v>
      </c>
      <c r="I861">
        <v>3868</v>
      </c>
    </row>
    <row r="862" spans="1:9" ht="14.5" x14ac:dyDescent="0.35">
      <c r="A862">
        <v>4</v>
      </c>
      <c r="B862" t="s">
        <v>51</v>
      </c>
      <c r="C862" t="s">
        <v>72</v>
      </c>
      <c r="D862" t="s">
        <v>73</v>
      </c>
      <c r="E862" t="s">
        <v>74</v>
      </c>
      <c r="F862" t="s">
        <v>77</v>
      </c>
      <c r="G862" t="s">
        <v>35</v>
      </c>
      <c r="H862" t="s">
        <v>36</v>
      </c>
      <c r="I862">
        <v>4138</v>
      </c>
    </row>
    <row r="863" spans="1:9" ht="14.5" x14ac:dyDescent="0.35">
      <c r="A863">
        <v>4</v>
      </c>
      <c r="B863" t="s">
        <v>51</v>
      </c>
      <c r="C863" t="s">
        <v>72</v>
      </c>
      <c r="D863" t="s">
        <v>73</v>
      </c>
      <c r="E863" t="s">
        <v>74</v>
      </c>
      <c r="F863" t="s">
        <v>77</v>
      </c>
      <c r="G863" t="s">
        <v>35</v>
      </c>
      <c r="H863" t="s">
        <v>38</v>
      </c>
      <c r="I863">
        <v>2468</v>
      </c>
    </row>
    <row r="864" spans="1:9" ht="14.5" x14ac:dyDescent="0.35">
      <c r="A864">
        <v>4</v>
      </c>
      <c r="B864" t="s">
        <v>51</v>
      </c>
      <c r="C864" t="s">
        <v>72</v>
      </c>
      <c r="D864" t="s">
        <v>73</v>
      </c>
      <c r="E864" t="s">
        <v>74</v>
      </c>
      <c r="F864" t="s">
        <v>78</v>
      </c>
      <c r="G864" t="s">
        <v>35</v>
      </c>
      <c r="H864" t="s">
        <v>36</v>
      </c>
      <c r="I864">
        <v>4489</v>
      </c>
    </row>
    <row r="865" spans="1:9" ht="14.5" x14ac:dyDescent="0.35">
      <c r="A865">
        <v>4</v>
      </c>
      <c r="B865" t="s">
        <v>51</v>
      </c>
      <c r="C865" t="s">
        <v>72</v>
      </c>
      <c r="D865" t="s">
        <v>73</v>
      </c>
      <c r="E865" t="s">
        <v>74</v>
      </c>
      <c r="F865" t="s">
        <v>78</v>
      </c>
      <c r="G865" t="s">
        <v>35</v>
      </c>
      <c r="H865" t="s">
        <v>38</v>
      </c>
      <c r="I865">
        <v>1587</v>
      </c>
    </row>
    <row r="866" spans="1:9" ht="14.5" x14ac:dyDescent="0.35">
      <c r="A866">
        <v>1</v>
      </c>
      <c r="B866" t="s">
        <v>30</v>
      </c>
      <c r="C866" t="s">
        <v>72</v>
      </c>
      <c r="D866" t="s">
        <v>73</v>
      </c>
      <c r="E866" t="s">
        <v>74</v>
      </c>
      <c r="F866" t="s">
        <v>75</v>
      </c>
      <c r="G866" t="s">
        <v>52</v>
      </c>
      <c r="H866" t="s">
        <v>38</v>
      </c>
      <c r="I866">
        <v>2730</v>
      </c>
    </row>
    <row r="867" spans="1:9" ht="14.5" x14ac:dyDescent="0.35">
      <c r="A867">
        <v>1</v>
      </c>
      <c r="B867" t="s">
        <v>30</v>
      </c>
      <c r="C867" t="s">
        <v>72</v>
      </c>
      <c r="D867" t="s">
        <v>73</v>
      </c>
      <c r="E867" t="s">
        <v>74</v>
      </c>
      <c r="F867" t="s">
        <v>78</v>
      </c>
      <c r="G867" t="s">
        <v>52</v>
      </c>
      <c r="H867" t="s">
        <v>38</v>
      </c>
      <c r="I867">
        <v>3395</v>
      </c>
    </row>
    <row r="868" spans="1:9" ht="14.5" x14ac:dyDescent="0.35">
      <c r="A868">
        <v>1</v>
      </c>
      <c r="B868" t="s">
        <v>30</v>
      </c>
      <c r="C868" t="s">
        <v>72</v>
      </c>
      <c r="D868" t="s">
        <v>73</v>
      </c>
      <c r="E868" t="s">
        <v>74</v>
      </c>
      <c r="F868" t="s">
        <v>77</v>
      </c>
      <c r="G868" t="s">
        <v>52</v>
      </c>
      <c r="H868" t="s">
        <v>38</v>
      </c>
      <c r="I868">
        <v>3248</v>
      </c>
    </row>
    <row r="869" spans="1:9" ht="14.5" x14ac:dyDescent="0.35">
      <c r="A869">
        <v>1</v>
      </c>
      <c r="B869" t="s">
        <v>30</v>
      </c>
      <c r="C869" t="s">
        <v>72</v>
      </c>
      <c r="D869" t="s">
        <v>73</v>
      </c>
      <c r="E869" t="s">
        <v>74</v>
      </c>
      <c r="F869" t="s">
        <v>75</v>
      </c>
      <c r="G869" t="s">
        <v>52</v>
      </c>
      <c r="H869" t="s">
        <v>36</v>
      </c>
      <c r="I869">
        <v>4888</v>
      </c>
    </row>
    <row r="870" spans="1:9" ht="14.5" x14ac:dyDescent="0.35">
      <c r="A870">
        <v>1</v>
      </c>
      <c r="B870" t="s">
        <v>30</v>
      </c>
      <c r="C870" t="s">
        <v>72</v>
      </c>
      <c r="D870" t="s">
        <v>73</v>
      </c>
      <c r="E870" t="s">
        <v>74</v>
      </c>
      <c r="F870" t="s">
        <v>76</v>
      </c>
      <c r="G870" t="s">
        <v>52</v>
      </c>
      <c r="H870" t="s">
        <v>36</v>
      </c>
      <c r="I870">
        <v>1110</v>
      </c>
    </row>
    <row r="871" spans="1:9" ht="14.5" x14ac:dyDescent="0.35">
      <c r="A871">
        <v>1</v>
      </c>
      <c r="B871" t="s">
        <v>30</v>
      </c>
      <c r="C871" t="s">
        <v>72</v>
      </c>
      <c r="D871" t="s">
        <v>73</v>
      </c>
      <c r="E871" t="s">
        <v>74</v>
      </c>
      <c r="F871" t="s">
        <v>76</v>
      </c>
      <c r="G871" t="s">
        <v>52</v>
      </c>
      <c r="H871" t="s">
        <v>38</v>
      </c>
      <c r="I871">
        <v>2382</v>
      </c>
    </row>
    <row r="872" spans="1:9" ht="14.5" x14ac:dyDescent="0.35">
      <c r="A872">
        <v>1</v>
      </c>
      <c r="B872" t="s">
        <v>30</v>
      </c>
      <c r="C872" t="s">
        <v>72</v>
      </c>
      <c r="D872" t="s">
        <v>73</v>
      </c>
      <c r="E872" t="s">
        <v>74</v>
      </c>
      <c r="F872" t="s">
        <v>77</v>
      </c>
      <c r="G872" t="s">
        <v>52</v>
      </c>
      <c r="H872" t="s">
        <v>36</v>
      </c>
      <c r="I872">
        <v>4924</v>
      </c>
    </row>
    <row r="873" spans="1:9" ht="14.5" x14ac:dyDescent="0.35">
      <c r="A873">
        <v>1</v>
      </c>
      <c r="B873" t="s">
        <v>30</v>
      </c>
      <c r="C873" t="s">
        <v>72</v>
      </c>
      <c r="D873" t="s">
        <v>73</v>
      </c>
      <c r="E873" t="s">
        <v>74</v>
      </c>
      <c r="F873" t="s">
        <v>78</v>
      </c>
      <c r="G873" t="s">
        <v>52</v>
      </c>
      <c r="H873" t="s">
        <v>36</v>
      </c>
      <c r="I873">
        <v>2060</v>
      </c>
    </row>
    <row r="874" spans="1:9" ht="14.5" x14ac:dyDescent="0.35">
      <c r="A874">
        <v>1</v>
      </c>
      <c r="B874" t="s">
        <v>41</v>
      </c>
      <c r="C874" t="s">
        <v>72</v>
      </c>
      <c r="D874" t="s">
        <v>73</v>
      </c>
      <c r="E874" t="s">
        <v>74</v>
      </c>
      <c r="F874" t="s">
        <v>75</v>
      </c>
      <c r="G874" t="s">
        <v>52</v>
      </c>
      <c r="H874" t="s">
        <v>36</v>
      </c>
      <c r="I874">
        <v>4878</v>
      </c>
    </row>
    <row r="875" spans="1:9" ht="14.5" x14ac:dyDescent="0.35">
      <c r="A875">
        <v>1</v>
      </c>
      <c r="B875" t="s">
        <v>41</v>
      </c>
      <c r="C875" t="s">
        <v>72</v>
      </c>
      <c r="D875" t="s">
        <v>73</v>
      </c>
      <c r="E875" t="s">
        <v>74</v>
      </c>
      <c r="F875" t="s">
        <v>75</v>
      </c>
      <c r="G875" t="s">
        <v>52</v>
      </c>
      <c r="H875" t="s">
        <v>38</v>
      </c>
      <c r="I875">
        <v>3350</v>
      </c>
    </row>
    <row r="876" spans="1:9" ht="14.5" x14ac:dyDescent="0.35">
      <c r="A876">
        <v>1</v>
      </c>
      <c r="B876" t="s">
        <v>41</v>
      </c>
      <c r="C876" t="s">
        <v>72</v>
      </c>
      <c r="D876" t="s">
        <v>73</v>
      </c>
      <c r="E876" t="s">
        <v>74</v>
      </c>
      <c r="F876" t="s">
        <v>76</v>
      </c>
      <c r="G876" t="s">
        <v>52</v>
      </c>
      <c r="H876" t="s">
        <v>36</v>
      </c>
      <c r="I876">
        <v>1923</v>
      </c>
    </row>
    <row r="877" spans="1:9" ht="14.5" x14ac:dyDescent="0.35">
      <c r="A877">
        <v>1</v>
      </c>
      <c r="B877" t="s">
        <v>41</v>
      </c>
      <c r="C877" t="s">
        <v>72</v>
      </c>
      <c r="D877" t="s">
        <v>73</v>
      </c>
      <c r="E877" t="s">
        <v>74</v>
      </c>
      <c r="F877" t="s">
        <v>76</v>
      </c>
      <c r="G877" t="s">
        <v>52</v>
      </c>
      <c r="H877" t="s">
        <v>38</v>
      </c>
      <c r="I877">
        <v>2383</v>
      </c>
    </row>
    <row r="878" spans="1:9" ht="14.5" x14ac:dyDescent="0.35">
      <c r="A878">
        <v>1</v>
      </c>
      <c r="B878" t="s">
        <v>41</v>
      </c>
      <c r="C878" t="s">
        <v>72</v>
      </c>
      <c r="D878" t="s">
        <v>73</v>
      </c>
      <c r="E878" t="s">
        <v>74</v>
      </c>
      <c r="F878" t="s">
        <v>77</v>
      </c>
      <c r="G878" t="s">
        <v>52</v>
      </c>
      <c r="H878" t="s">
        <v>36</v>
      </c>
      <c r="I878">
        <v>2477</v>
      </c>
    </row>
    <row r="879" spans="1:9" ht="14.5" x14ac:dyDescent="0.35">
      <c r="A879">
        <v>1</v>
      </c>
      <c r="B879" t="s">
        <v>41</v>
      </c>
      <c r="C879" t="s">
        <v>72</v>
      </c>
      <c r="D879" t="s">
        <v>73</v>
      </c>
      <c r="E879" t="s">
        <v>74</v>
      </c>
      <c r="F879" t="s">
        <v>77</v>
      </c>
      <c r="G879" t="s">
        <v>52</v>
      </c>
      <c r="H879" t="s">
        <v>38</v>
      </c>
      <c r="I879">
        <v>3451</v>
      </c>
    </row>
    <row r="880" spans="1:9" ht="14.5" x14ac:dyDescent="0.35">
      <c r="A880">
        <v>1</v>
      </c>
      <c r="B880" t="s">
        <v>41</v>
      </c>
      <c r="C880" t="s">
        <v>72</v>
      </c>
      <c r="D880" t="s">
        <v>73</v>
      </c>
      <c r="E880" t="s">
        <v>74</v>
      </c>
      <c r="F880" t="s">
        <v>78</v>
      </c>
      <c r="G880" t="s">
        <v>52</v>
      </c>
      <c r="H880" t="s">
        <v>36</v>
      </c>
      <c r="I880">
        <v>2370</v>
      </c>
    </row>
    <row r="881" spans="1:9" ht="14.5" x14ac:dyDescent="0.35">
      <c r="A881">
        <v>1</v>
      </c>
      <c r="B881" t="s">
        <v>41</v>
      </c>
      <c r="C881" t="s">
        <v>72</v>
      </c>
      <c r="D881" t="s">
        <v>73</v>
      </c>
      <c r="E881" t="s">
        <v>74</v>
      </c>
      <c r="F881" t="s">
        <v>78</v>
      </c>
      <c r="G881" t="s">
        <v>52</v>
      </c>
      <c r="H881" t="s">
        <v>38</v>
      </c>
      <c r="I881">
        <v>3384</v>
      </c>
    </row>
    <row r="882" spans="1:9" ht="14.5" x14ac:dyDescent="0.35">
      <c r="A882">
        <v>1</v>
      </c>
      <c r="B882" t="s">
        <v>42</v>
      </c>
      <c r="C882" t="s">
        <v>72</v>
      </c>
      <c r="D882" t="s">
        <v>73</v>
      </c>
      <c r="E882" t="s">
        <v>74</v>
      </c>
      <c r="F882" t="s">
        <v>75</v>
      </c>
      <c r="G882" t="s">
        <v>52</v>
      </c>
      <c r="H882" t="s">
        <v>36</v>
      </c>
      <c r="I882">
        <v>4971</v>
      </c>
    </row>
    <row r="883" spans="1:9" ht="14.5" x14ac:dyDescent="0.35">
      <c r="A883">
        <v>1</v>
      </c>
      <c r="B883" t="s">
        <v>42</v>
      </c>
      <c r="C883" t="s">
        <v>72</v>
      </c>
      <c r="D883" t="s">
        <v>73</v>
      </c>
      <c r="E883" t="s">
        <v>74</v>
      </c>
      <c r="F883" t="s">
        <v>75</v>
      </c>
      <c r="G883" t="s">
        <v>52</v>
      </c>
      <c r="H883" t="s">
        <v>38</v>
      </c>
      <c r="I883">
        <v>1934</v>
      </c>
    </row>
    <row r="884" spans="1:9" ht="14.5" x14ac:dyDescent="0.35">
      <c r="A884">
        <v>1</v>
      </c>
      <c r="B884" t="s">
        <v>42</v>
      </c>
      <c r="C884" t="s">
        <v>72</v>
      </c>
      <c r="D884" t="s">
        <v>73</v>
      </c>
      <c r="E884" t="s">
        <v>74</v>
      </c>
      <c r="F884" t="s">
        <v>76</v>
      </c>
      <c r="G884" t="s">
        <v>52</v>
      </c>
      <c r="H884" t="s">
        <v>36</v>
      </c>
      <c r="I884">
        <v>1643</v>
      </c>
    </row>
    <row r="885" spans="1:9" ht="14.5" x14ac:dyDescent="0.35">
      <c r="A885">
        <v>1</v>
      </c>
      <c r="B885" t="s">
        <v>42</v>
      </c>
      <c r="C885" t="s">
        <v>72</v>
      </c>
      <c r="D885" t="s">
        <v>73</v>
      </c>
      <c r="E885" t="s">
        <v>74</v>
      </c>
      <c r="F885" t="s">
        <v>76</v>
      </c>
      <c r="G885" t="s">
        <v>52</v>
      </c>
      <c r="H885" t="s">
        <v>38</v>
      </c>
      <c r="I885">
        <v>4489</v>
      </c>
    </row>
    <row r="886" spans="1:9" ht="14.5" x14ac:dyDescent="0.35">
      <c r="A886">
        <v>1</v>
      </c>
      <c r="B886" t="s">
        <v>42</v>
      </c>
      <c r="C886" t="s">
        <v>72</v>
      </c>
      <c r="D886" t="s">
        <v>73</v>
      </c>
      <c r="E886" t="s">
        <v>74</v>
      </c>
      <c r="F886" t="s">
        <v>77</v>
      </c>
      <c r="G886" t="s">
        <v>52</v>
      </c>
      <c r="H886" t="s">
        <v>36</v>
      </c>
      <c r="I886">
        <v>1167</v>
      </c>
    </row>
    <row r="887" spans="1:9" ht="14.5" x14ac:dyDescent="0.35">
      <c r="A887">
        <v>1</v>
      </c>
      <c r="B887" t="s">
        <v>42</v>
      </c>
      <c r="C887" t="s">
        <v>72</v>
      </c>
      <c r="D887" t="s">
        <v>73</v>
      </c>
      <c r="E887" t="s">
        <v>74</v>
      </c>
      <c r="F887" t="s">
        <v>77</v>
      </c>
      <c r="G887" t="s">
        <v>52</v>
      </c>
      <c r="H887" t="s">
        <v>38</v>
      </c>
      <c r="I887">
        <v>1832</v>
      </c>
    </row>
    <row r="888" spans="1:9" ht="14.5" x14ac:dyDescent="0.35">
      <c r="A888">
        <v>1</v>
      </c>
      <c r="B888" t="s">
        <v>42</v>
      </c>
      <c r="C888" t="s">
        <v>72</v>
      </c>
      <c r="D888" t="s">
        <v>73</v>
      </c>
      <c r="E888" t="s">
        <v>74</v>
      </c>
      <c r="F888" t="s">
        <v>78</v>
      </c>
      <c r="G888" t="s">
        <v>52</v>
      </c>
      <c r="H888" t="s">
        <v>36</v>
      </c>
      <c r="I888">
        <v>3288</v>
      </c>
    </row>
    <row r="889" spans="1:9" ht="14.5" x14ac:dyDescent="0.35">
      <c r="A889">
        <v>1</v>
      </c>
      <c r="B889" t="s">
        <v>42</v>
      </c>
      <c r="C889" t="s">
        <v>72</v>
      </c>
      <c r="D889" t="s">
        <v>73</v>
      </c>
      <c r="E889" t="s">
        <v>74</v>
      </c>
      <c r="F889" t="s">
        <v>78</v>
      </c>
      <c r="G889" t="s">
        <v>52</v>
      </c>
      <c r="H889" t="s">
        <v>38</v>
      </c>
      <c r="I889">
        <v>3352</v>
      </c>
    </row>
    <row r="890" spans="1:9" ht="14.5" x14ac:dyDescent="0.35">
      <c r="A890">
        <v>2</v>
      </c>
      <c r="B890" t="s">
        <v>43</v>
      </c>
      <c r="C890" t="s">
        <v>72</v>
      </c>
      <c r="D890" t="s">
        <v>73</v>
      </c>
      <c r="E890" t="s">
        <v>74</v>
      </c>
      <c r="F890" t="s">
        <v>75</v>
      </c>
      <c r="G890" t="s">
        <v>52</v>
      </c>
      <c r="H890" t="s">
        <v>36</v>
      </c>
      <c r="I890">
        <v>1432</v>
      </c>
    </row>
    <row r="891" spans="1:9" ht="14.5" x14ac:dyDescent="0.35">
      <c r="A891">
        <v>2</v>
      </c>
      <c r="B891" t="s">
        <v>43</v>
      </c>
      <c r="C891" t="s">
        <v>72</v>
      </c>
      <c r="D891" t="s">
        <v>73</v>
      </c>
      <c r="E891" t="s">
        <v>74</v>
      </c>
      <c r="F891" t="s">
        <v>75</v>
      </c>
      <c r="G891" t="s">
        <v>52</v>
      </c>
      <c r="H891" t="s">
        <v>38</v>
      </c>
      <c r="I891">
        <v>2284</v>
      </c>
    </row>
    <row r="892" spans="1:9" ht="14.5" x14ac:dyDescent="0.35">
      <c r="A892">
        <v>2</v>
      </c>
      <c r="B892" t="s">
        <v>43</v>
      </c>
      <c r="C892" t="s">
        <v>72</v>
      </c>
      <c r="D892" t="s">
        <v>73</v>
      </c>
      <c r="E892" t="s">
        <v>74</v>
      </c>
      <c r="F892" t="s">
        <v>76</v>
      </c>
      <c r="G892" t="s">
        <v>52</v>
      </c>
      <c r="H892" t="s">
        <v>36</v>
      </c>
      <c r="I892">
        <v>3580</v>
      </c>
    </row>
    <row r="893" spans="1:9" ht="14.5" x14ac:dyDescent="0.35">
      <c r="A893">
        <v>2</v>
      </c>
      <c r="B893" t="s">
        <v>43</v>
      </c>
      <c r="C893" t="s">
        <v>72</v>
      </c>
      <c r="D893" t="s">
        <v>73</v>
      </c>
      <c r="E893" t="s">
        <v>74</v>
      </c>
      <c r="F893" t="s">
        <v>76</v>
      </c>
      <c r="G893" t="s">
        <v>52</v>
      </c>
      <c r="H893" t="s">
        <v>38</v>
      </c>
      <c r="I893">
        <v>1431</v>
      </c>
    </row>
    <row r="894" spans="1:9" ht="14.5" x14ac:dyDescent="0.35">
      <c r="A894">
        <v>2</v>
      </c>
      <c r="B894" t="s">
        <v>43</v>
      </c>
      <c r="C894" t="s">
        <v>72</v>
      </c>
      <c r="D894" t="s">
        <v>73</v>
      </c>
      <c r="E894" t="s">
        <v>74</v>
      </c>
      <c r="F894" t="s">
        <v>77</v>
      </c>
      <c r="G894" t="s">
        <v>52</v>
      </c>
      <c r="H894" t="s">
        <v>36</v>
      </c>
      <c r="I894">
        <v>4953</v>
      </c>
    </row>
    <row r="895" spans="1:9" ht="14.5" x14ac:dyDescent="0.35">
      <c r="A895">
        <v>2</v>
      </c>
      <c r="B895" t="s">
        <v>43</v>
      </c>
      <c r="C895" t="s">
        <v>72</v>
      </c>
      <c r="D895" t="s">
        <v>73</v>
      </c>
      <c r="E895" t="s">
        <v>74</v>
      </c>
      <c r="F895" t="s">
        <v>77</v>
      </c>
      <c r="G895" t="s">
        <v>52</v>
      </c>
      <c r="H895" t="s">
        <v>38</v>
      </c>
      <c r="I895">
        <v>3215</v>
      </c>
    </row>
    <row r="896" spans="1:9" ht="14.5" x14ac:dyDescent="0.35">
      <c r="A896">
        <v>2</v>
      </c>
      <c r="B896" t="s">
        <v>43</v>
      </c>
      <c r="C896" t="s">
        <v>72</v>
      </c>
      <c r="D896" t="s">
        <v>73</v>
      </c>
      <c r="E896" t="s">
        <v>74</v>
      </c>
      <c r="F896" t="s">
        <v>78</v>
      </c>
      <c r="G896" t="s">
        <v>52</v>
      </c>
      <c r="H896" t="s">
        <v>36</v>
      </c>
      <c r="I896">
        <v>1644</v>
      </c>
    </row>
    <row r="897" spans="1:9" ht="14.5" x14ac:dyDescent="0.35">
      <c r="A897">
        <v>2</v>
      </c>
      <c r="B897" t="s">
        <v>43</v>
      </c>
      <c r="C897" t="s">
        <v>72</v>
      </c>
      <c r="D897" t="s">
        <v>73</v>
      </c>
      <c r="E897" t="s">
        <v>74</v>
      </c>
      <c r="F897" t="s">
        <v>78</v>
      </c>
      <c r="G897" t="s">
        <v>52</v>
      </c>
      <c r="H897" t="s">
        <v>38</v>
      </c>
      <c r="I897">
        <v>3369</v>
      </c>
    </row>
    <row r="898" spans="1:9" ht="14.5" x14ac:dyDescent="0.35">
      <c r="A898">
        <v>2</v>
      </c>
      <c r="B898" t="s">
        <v>44</v>
      </c>
      <c r="C898" t="s">
        <v>72</v>
      </c>
      <c r="D898" t="s">
        <v>73</v>
      </c>
      <c r="E898" t="s">
        <v>74</v>
      </c>
      <c r="F898" t="s">
        <v>75</v>
      </c>
      <c r="G898" t="s">
        <v>52</v>
      </c>
      <c r="H898" t="s">
        <v>36</v>
      </c>
      <c r="I898">
        <v>3258</v>
      </c>
    </row>
    <row r="899" spans="1:9" ht="14.5" x14ac:dyDescent="0.35">
      <c r="A899">
        <v>2</v>
      </c>
      <c r="B899" t="s">
        <v>44</v>
      </c>
      <c r="C899" t="s">
        <v>72</v>
      </c>
      <c r="D899" t="s">
        <v>73</v>
      </c>
      <c r="E899" t="s">
        <v>74</v>
      </c>
      <c r="F899" t="s">
        <v>75</v>
      </c>
      <c r="G899" t="s">
        <v>52</v>
      </c>
      <c r="H899" t="s">
        <v>38</v>
      </c>
      <c r="I899">
        <v>4052</v>
      </c>
    </row>
    <row r="900" spans="1:9" ht="14.5" x14ac:dyDescent="0.35">
      <c r="A900">
        <v>2</v>
      </c>
      <c r="B900" t="s">
        <v>44</v>
      </c>
      <c r="C900" t="s">
        <v>72</v>
      </c>
      <c r="D900" t="s">
        <v>73</v>
      </c>
      <c r="E900" t="s">
        <v>74</v>
      </c>
      <c r="F900" t="s">
        <v>76</v>
      </c>
      <c r="G900" t="s">
        <v>52</v>
      </c>
      <c r="H900" t="s">
        <v>36</v>
      </c>
      <c r="I900">
        <v>2510</v>
      </c>
    </row>
    <row r="901" spans="1:9" ht="14.5" x14ac:dyDescent="0.35">
      <c r="A901">
        <v>2</v>
      </c>
      <c r="B901" t="s">
        <v>44</v>
      </c>
      <c r="C901" t="s">
        <v>72</v>
      </c>
      <c r="D901" t="s">
        <v>73</v>
      </c>
      <c r="E901" t="s">
        <v>74</v>
      </c>
      <c r="F901" t="s">
        <v>76</v>
      </c>
      <c r="G901" t="s">
        <v>52</v>
      </c>
      <c r="H901" t="s">
        <v>38</v>
      </c>
      <c r="I901">
        <v>2483</v>
      </c>
    </row>
    <row r="902" spans="1:9" ht="14.5" x14ac:dyDescent="0.35">
      <c r="A902">
        <v>2</v>
      </c>
      <c r="B902" t="s">
        <v>44</v>
      </c>
      <c r="C902" t="s">
        <v>72</v>
      </c>
      <c r="D902" t="s">
        <v>73</v>
      </c>
      <c r="E902" t="s">
        <v>74</v>
      </c>
      <c r="F902" t="s">
        <v>77</v>
      </c>
      <c r="G902" t="s">
        <v>52</v>
      </c>
      <c r="H902" t="s">
        <v>36</v>
      </c>
      <c r="I902">
        <v>1633</v>
      </c>
    </row>
    <row r="903" spans="1:9" ht="14.5" x14ac:dyDescent="0.35">
      <c r="A903">
        <v>2</v>
      </c>
      <c r="B903" t="s">
        <v>44</v>
      </c>
      <c r="C903" t="s">
        <v>72</v>
      </c>
      <c r="D903" t="s">
        <v>73</v>
      </c>
      <c r="E903" t="s">
        <v>74</v>
      </c>
      <c r="F903" t="s">
        <v>77</v>
      </c>
      <c r="G903" t="s">
        <v>52</v>
      </c>
      <c r="H903" t="s">
        <v>38</v>
      </c>
      <c r="I903">
        <v>4252</v>
      </c>
    </row>
    <row r="904" spans="1:9" ht="14.5" x14ac:dyDescent="0.35">
      <c r="A904">
        <v>2</v>
      </c>
      <c r="B904" t="s">
        <v>44</v>
      </c>
      <c r="C904" t="s">
        <v>72</v>
      </c>
      <c r="D904" t="s">
        <v>73</v>
      </c>
      <c r="E904" t="s">
        <v>74</v>
      </c>
      <c r="F904" t="s">
        <v>78</v>
      </c>
      <c r="G904" t="s">
        <v>52</v>
      </c>
      <c r="H904" t="s">
        <v>36</v>
      </c>
      <c r="I904">
        <v>3495</v>
      </c>
    </row>
    <row r="905" spans="1:9" ht="14.5" x14ac:dyDescent="0.35">
      <c r="A905">
        <v>2</v>
      </c>
      <c r="B905" t="s">
        <v>44</v>
      </c>
      <c r="C905" t="s">
        <v>72</v>
      </c>
      <c r="D905" t="s">
        <v>73</v>
      </c>
      <c r="E905" t="s">
        <v>74</v>
      </c>
      <c r="F905" t="s">
        <v>78</v>
      </c>
      <c r="G905" t="s">
        <v>52</v>
      </c>
      <c r="H905" t="s">
        <v>38</v>
      </c>
      <c r="I905">
        <v>4084</v>
      </c>
    </row>
    <row r="906" spans="1:9" ht="14.5" x14ac:dyDescent="0.35">
      <c r="A906">
        <v>2</v>
      </c>
      <c r="B906" t="s">
        <v>45</v>
      </c>
      <c r="C906" t="s">
        <v>72</v>
      </c>
      <c r="D906" t="s">
        <v>73</v>
      </c>
      <c r="E906" t="s">
        <v>74</v>
      </c>
      <c r="F906" t="s">
        <v>75</v>
      </c>
      <c r="G906" t="s">
        <v>52</v>
      </c>
      <c r="H906" t="s">
        <v>36</v>
      </c>
      <c r="I906">
        <v>1514</v>
      </c>
    </row>
    <row r="907" spans="1:9" ht="14.5" x14ac:dyDescent="0.35">
      <c r="A907">
        <v>2</v>
      </c>
      <c r="B907" t="s">
        <v>45</v>
      </c>
      <c r="C907" t="s">
        <v>72</v>
      </c>
      <c r="D907" t="s">
        <v>73</v>
      </c>
      <c r="E907" t="s">
        <v>74</v>
      </c>
      <c r="F907" t="s">
        <v>75</v>
      </c>
      <c r="G907" t="s">
        <v>52</v>
      </c>
      <c r="H907" t="s">
        <v>38</v>
      </c>
      <c r="I907">
        <v>4528</v>
      </c>
    </row>
    <row r="908" spans="1:9" ht="14.5" x14ac:dyDescent="0.35">
      <c r="A908">
        <v>2</v>
      </c>
      <c r="B908" t="s">
        <v>45</v>
      </c>
      <c r="C908" t="s">
        <v>72</v>
      </c>
      <c r="D908" t="s">
        <v>73</v>
      </c>
      <c r="E908" t="s">
        <v>74</v>
      </c>
      <c r="F908" t="s">
        <v>76</v>
      </c>
      <c r="G908" t="s">
        <v>52</v>
      </c>
      <c r="H908" t="s">
        <v>36</v>
      </c>
      <c r="I908">
        <v>1720</v>
      </c>
    </row>
    <row r="909" spans="1:9" ht="14.5" x14ac:dyDescent="0.35">
      <c r="A909">
        <v>2</v>
      </c>
      <c r="B909" t="s">
        <v>45</v>
      </c>
      <c r="C909" t="s">
        <v>72</v>
      </c>
      <c r="D909" t="s">
        <v>73</v>
      </c>
      <c r="E909" t="s">
        <v>74</v>
      </c>
      <c r="F909" t="s">
        <v>76</v>
      </c>
      <c r="G909" t="s">
        <v>52</v>
      </c>
      <c r="H909" t="s">
        <v>38</v>
      </c>
      <c r="I909">
        <v>1766</v>
      </c>
    </row>
    <row r="910" spans="1:9" ht="14.5" x14ac:dyDescent="0.35">
      <c r="A910">
        <v>2</v>
      </c>
      <c r="B910" t="s">
        <v>45</v>
      </c>
      <c r="C910" t="s">
        <v>72</v>
      </c>
      <c r="D910" t="s">
        <v>73</v>
      </c>
      <c r="E910" t="s">
        <v>74</v>
      </c>
      <c r="F910" t="s">
        <v>77</v>
      </c>
      <c r="G910" t="s">
        <v>52</v>
      </c>
      <c r="H910" t="s">
        <v>36</v>
      </c>
      <c r="I910">
        <v>1878</v>
      </c>
    </row>
    <row r="911" spans="1:9" ht="14.5" x14ac:dyDescent="0.35">
      <c r="A911">
        <v>2</v>
      </c>
      <c r="B911" t="s">
        <v>45</v>
      </c>
      <c r="C911" t="s">
        <v>72</v>
      </c>
      <c r="D911" t="s">
        <v>73</v>
      </c>
      <c r="E911" t="s">
        <v>74</v>
      </c>
      <c r="F911" t="s">
        <v>77</v>
      </c>
      <c r="G911" t="s">
        <v>52</v>
      </c>
      <c r="H911" t="s">
        <v>38</v>
      </c>
      <c r="I911">
        <v>2433</v>
      </c>
    </row>
    <row r="912" spans="1:9" ht="14.5" x14ac:dyDescent="0.35">
      <c r="A912">
        <v>2</v>
      </c>
      <c r="B912" t="s">
        <v>45</v>
      </c>
      <c r="C912" t="s">
        <v>72</v>
      </c>
      <c r="D912" t="s">
        <v>73</v>
      </c>
      <c r="E912" t="s">
        <v>74</v>
      </c>
      <c r="F912" t="s">
        <v>78</v>
      </c>
      <c r="G912" t="s">
        <v>52</v>
      </c>
      <c r="H912" t="s">
        <v>36</v>
      </c>
      <c r="I912">
        <v>4916</v>
      </c>
    </row>
    <row r="913" spans="1:9" ht="14.5" x14ac:dyDescent="0.35">
      <c r="A913">
        <v>2</v>
      </c>
      <c r="B913" t="s">
        <v>45</v>
      </c>
      <c r="C913" t="s">
        <v>72</v>
      </c>
      <c r="D913" t="s">
        <v>73</v>
      </c>
      <c r="E913" t="s">
        <v>74</v>
      </c>
      <c r="F913" t="s">
        <v>78</v>
      </c>
      <c r="G913" t="s">
        <v>52</v>
      </c>
      <c r="H913" t="s">
        <v>38</v>
      </c>
      <c r="I913">
        <v>4089</v>
      </c>
    </row>
    <row r="914" spans="1:9" ht="14.5" x14ac:dyDescent="0.35">
      <c r="A914">
        <v>3</v>
      </c>
      <c r="B914" t="s">
        <v>46</v>
      </c>
      <c r="C914" t="s">
        <v>72</v>
      </c>
      <c r="D914" t="s">
        <v>73</v>
      </c>
      <c r="E914" t="s">
        <v>74</v>
      </c>
      <c r="F914" t="s">
        <v>75</v>
      </c>
      <c r="G914" t="s">
        <v>52</v>
      </c>
      <c r="H914" t="s">
        <v>36</v>
      </c>
      <c r="I914">
        <v>1872</v>
      </c>
    </row>
    <row r="915" spans="1:9" ht="14.5" x14ac:dyDescent="0.35">
      <c r="A915">
        <v>3</v>
      </c>
      <c r="B915" t="s">
        <v>46</v>
      </c>
      <c r="C915" t="s">
        <v>72</v>
      </c>
      <c r="D915" t="s">
        <v>73</v>
      </c>
      <c r="E915" t="s">
        <v>74</v>
      </c>
      <c r="F915" t="s">
        <v>75</v>
      </c>
      <c r="G915" t="s">
        <v>52</v>
      </c>
      <c r="H915" t="s">
        <v>38</v>
      </c>
      <c r="I915">
        <v>1765</v>
      </c>
    </row>
    <row r="916" spans="1:9" ht="14.5" x14ac:dyDescent="0.35">
      <c r="A916">
        <v>3</v>
      </c>
      <c r="B916" t="s">
        <v>46</v>
      </c>
      <c r="C916" t="s">
        <v>72</v>
      </c>
      <c r="D916" t="s">
        <v>73</v>
      </c>
      <c r="E916" t="s">
        <v>74</v>
      </c>
      <c r="F916" t="s">
        <v>76</v>
      </c>
      <c r="G916" t="s">
        <v>52</v>
      </c>
      <c r="H916" t="s">
        <v>36</v>
      </c>
      <c r="I916">
        <v>4523</v>
      </c>
    </row>
    <row r="917" spans="1:9" ht="14.5" x14ac:dyDescent="0.35">
      <c r="A917">
        <v>3</v>
      </c>
      <c r="B917" t="s">
        <v>46</v>
      </c>
      <c r="C917" t="s">
        <v>72</v>
      </c>
      <c r="D917" t="s">
        <v>73</v>
      </c>
      <c r="E917" t="s">
        <v>74</v>
      </c>
      <c r="F917" t="s">
        <v>76</v>
      </c>
      <c r="G917" t="s">
        <v>52</v>
      </c>
      <c r="H917" t="s">
        <v>38</v>
      </c>
      <c r="I917">
        <v>4433</v>
      </c>
    </row>
    <row r="918" spans="1:9" ht="14.5" x14ac:dyDescent="0.35">
      <c r="A918">
        <v>3</v>
      </c>
      <c r="B918" t="s">
        <v>46</v>
      </c>
      <c r="C918" t="s">
        <v>72</v>
      </c>
      <c r="D918" t="s">
        <v>73</v>
      </c>
      <c r="E918" t="s">
        <v>74</v>
      </c>
      <c r="F918" t="s">
        <v>77</v>
      </c>
      <c r="G918" t="s">
        <v>52</v>
      </c>
      <c r="H918" t="s">
        <v>36</v>
      </c>
      <c r="I918">
        <v>2613</v>
      </c>
    </row>
    <row r="919" spans="1:9" ht="14.5" x14ac:dyDescent="0.35">
      <c r="A919">
        <v>3</v>
      </c>
      <c r="B919" t="s">
        <v>46</v>
      </c>
      <c r="C919" t="s">
        <v>72</v>
      </c>
      <c r="D919" t="s">
        <v>73</v>
      </c>
      <c r="E919" t="s">
        <v>74</v>
      </c>
      <c r="F919" t="s">
        <v>77</v>
      </c>
      <c r="G919" t="s">
        <v>52</v>
      </c>
      <c r="H919" t="s">
        <v>38</v>
      </c>
      <c r="I919">
        <v>1065</v>
      </c>
    </row>
    <row r="920" spans="1:9" ht="14.5" x14ac:dyDescent="0.35">
      <c r="A920">
        <v>3</v>
      </c>
      <c r="B920" t="s">
        <v>46</v>
      </c>
      <c r="C920" t="s">
        <v>72</v>
      </c>
      <c r="D920" t="s">
        <v>73</v>
      </c>
      <c r="E920" t="s">
        <v>74</v>
      </c>
      <c r="F920" t="s">
        <v>78</v>
      </c>
      <c r="G920" t="s">
        <v>52</v>
      </c>
      <c r="H920" t="s">
        <v>36</v>
      </c>
      <c r="I920">
        <v>1550</v>
      </c>
    </row>
    <row r="921" spans="1:9" ht="14.5" x14ac:dyDescent="0.35">
      <c r="A921">
        <v>3</v>
      </c>
      <c r="B921" t="s">
        <v>46</v>
      </c>
      <c r="C921" t="s">
        <v>72</v>
      </c>
      <c r="D921" t="s">
        <v>73</v>
      </c>
      <c r="E921" t="s">
        <v>74</v>
      </c>
      <c r="F921" t="s">
        <v>78</v>
      </c>
      <c r="G921" t="s">
        <v>52</v>
      </c>
      <c r="H921" t="s">
        <v>38</v>
      </c>
      <c r="I921">
        <v>2428</v>
      </c>
    </row>
    <row r="922" spans="1:9" ht="14.5" x14ac:dyDescent="0.35">
      <c r="A922">
        <v>3</v>
      </c>
      <c r="B922" t="s">
        <v>47</v>
      </c>
      <c r="C922" t="s">
        <v>72</v>
      </c>
      <c r="D922" t="s">
        <v>73</v>
      </c>
      <c r="E922" t="s">
        <v>74</v>
      </c>
      <c r="F922" t="s">
        <v>75</v>
      </c>
      <c r="G922" t="s">
        <v>52</v>
      </c>
      <c r="H922" t="s">
        <v>36</v>
      </c>
      <c r="I922">
        <v>3805</v>
      </c>
    </row>
    <row r="923" spans="1:9" ht="14.5" x14ac:dyDescent="0.35">
      <c r="A923">
        <v>3</v>
      </c>
      <c r="B923" t="s">
        <v>47</v>
      </c>
      <c r="C923" t="s">
        <v>72</v>
      </c>
      <c r="D923" t="s">
        <v>73</v>
      </c>
      <c r="E923" t="s">
        <v>74</v>
      </c>
      <c r="F923" t="s">
        <v>75</v>
      </c>
      <c r="G923" t="s">
        <v>52</v>
      </c>
      <c r="H923" t="s">
        <v>38</v>
      </c>
      <c r="I923">
        <v>2703</v>
      </c>
    </row>
    <row r="924" spans="1:9" ht="14.5" x14ac:dyDescent="0.35">
      <c r="A924">
        <v>3</v>
      </c>
      <c r="B924" t="s">
        <v>47</v>
      </c>
      <c r="C924" t="s">
        <v>72</v>
      </c>
      <c r="D924" t="s">
        <v>73</v>
      </c>
      <c r="E924" t="s">
        <v>74</v>
      </c>
      <c r="F924" t="s">
        <v>76</v>
      </c>
      <c r="G924" t="s">
        <v>52</v>
      </c>
      <c r="H924" t="s">
        <v>36</v>
      </c>
      <c r="I924">
        <v>4616</v>
      </c>
    </row>
    <row r="925" spans="1:9" ht="14.5" x14ac:dyDescent="0.35">
      <c r="A925">
        <v>3</v>
      </c>
      <c r="B925" t="s">
        <v>47</v>
      </c>
      <c r="C925" t="s">
        <v>72</v>
      </c>
      <c r="D925" t="s">
        <v>73</v>
      </c>
      <c r="E925" t="s">
        <v>74</v>
      </c>
      <c r="F925" t="s">
        <v>76</v>
      </c>
      <c r="G925" t="s">
        <v>52</v>
      </c>
      <c r="H925" t="s">
        <v>38</v>
      </c>
      <c r="I925">
        <v>4925</v>
      </c>
    </row>
    <row r="926" spans="1:9" ht="14.5" x14ac:dyDescent="0.35">
      <c r="A926">
        <v>3</v>
      </c>
      <c r="B926" t="s">
        <v>47</v>
      </c>
      <c r="C926" t="s">
        <v>72</v>
      </c>
      <c r="D926" t="s">
        <v>73</v>
      </c>
      <c r="E926" t="s">
        <v>74</v>
      </c>
      <c r="F926" t="s">
        <v>77</v>
      </c>
      <c r="G926" t="s">
        <v>52</v>
      </c>
      <c r="H926" t="s">
        <v>36</v>
      </c>
      <c r="I926">
        <v>3336</v>
      </c>
    </row>
    <row r="927" spans="1:9" ht="14.5" x14ac:dyDescent="0.35">
      <c r="A927">
        <v>3</v>
      </c>
      <c r="B927" t="s">
        <v>47</v>
      </c>
      <c r="C927" t="s">
        <v>72</v>
      </c>
      <c r="D927" t="s">
        <v>73</v>
      </c>
      <c r="E927" t="s">
        <v>74</v>
      </c>
      <c r="F927" t="s">
        <v>77</v>
      </c>
      <c r="G927" t="s">
        <v>52</v>
      </c>
      <c r="H927" t="s">
        <v>38</v>
      </c>
      <c r="I927">
        <v>1282</v>
      </c>
    </row>
    <row r="928" spans="1:9" ht="14.5" x14ac:dyDescent="0.35">
      <c r="A928">
        <v>3</v>
      </c>
      <c r="B928" t="s">
        <v>47</v>
      </c>
      <c r="C928" t="s">
        <v>72</v>
      </c>
      <c r="D928" t="s">
        <v>73</v>
      </c>
      <c r="E928" t="s">
        <v>74</v>
      </c>
      <c r="F928" t="s">
        <v>78</v>
      </c>
      <c r="G928" t="s">
        <v>52</v>
      </c>
      <c r="H928" t="s">
        <v>36</v>
      </c>
      <c r="I928">
        <v>2903</v>
      </c>
    </row>
    <row r="929" spans="1:9" ht="14.5" x14ac:dyDescent="0.35">
      <c r="A929">
        <v>3</v>
      </c>
      <c r="B929" t="s">
        <v>47</v>
      </c>
      <c r="C929" t="s">
        <v>72</v>
      </c>
      <c r="D929" t="s">
        <v>73</v>
      </c>
      <c r="E929" t="s">
        <v>74</v>
      </c>
      <c r="F929" t="s">
        <v>78</v>
      </c>
      <c r="G929" t="s">
        <v>52</v>
      </c>
      <c r="H929" t="s">
        <v>38</v>
      </c>
      <c r="I929">
        <v>2566</v>
      </c>
    </row>
    <row r="930" spans="1:9" ht="14.5" x14ac:dyDescent="0.35">
      <c r="A930">
        <v>3</v>
      </c>
      <c r="B930" t="s">
        <v>48</v>
      </c>
      <c r="C930" t="s">
        <v>72</v>
      </c>
      <c r="D930" t="s">
        <v>73</v>
      </c>
      <c r="E930" t="s">
        <v>74</v>
      </c>
      <c r="F930" t="s">
        <v>75</v>
      </c>
      <c r="G930" t="s">
        <v>52</v>
      </c>
      <c r="H930" t="s">
        <v>36</v>
      </c>
      <c r="I930">
        <v>1330</v>
      </c>
    </row>
    <row r="931" spans="1:9" ht="14.5" x14ac:dyDescent="0.35">
      <c r="A931">
        <v>3</v>
      </c>
      <c r="B931" t="s">
        <v>48</v>
      </c>
      <c r="C931" t="s">
        <v>72</v>
      </c>
      <c r="D931" t="s">
        <v>73</v>
      </c>
      <c r="E931" t="s">
        <v>74</v>
      </c>
      <c r="F931" t="s">
        <v>75</v>
      </c>
      <c r="G931" t="s">
        <v>52</v>
      </c>
      <c r="H931" t="s">
        <v>38</v>
      </c>
      <c r="I931">
        <v>4276</v>
      </c>
    </row>
    <row r="932" spans="1:9" ht="14.5" x14ac:dyDescent="0.35">
      <c r="A932">
        <v>3</v>
      </c>
      <c r="B932" t="s">
        <v>48</v>
      </c>
      <c r="C932" t="s">
        <v>72</v>
      </c>
      <c r="D932" t="s">
        <v>73</v>
      </c>
      <c r="E932" t="s">
        <v>74</v>
      </c>
      <c r="F932" t="s">
        <v>76</v>
      </c>
      <c r="G932" t="s">
        <v>52</v>
      </c>
      <c r="H932" t="s">
        <v>36</v>
      </c>
      <c r="I932">
        <v>4415</v>
      </c>
    </row>
    <row r="933" spans="1:9" ht="14.5" x14ac:dyDescent="0.35">
      <c r="A933">
        <v>3</v>
      </c>
      <c r="B933" t="s">
        <v>48</v>
      </c>
      <c r="C933" t="s">
        <v>72</v>
      </c>
      <c r="D933" t="s">
        <v>73</v>
      </c>
      <c r="E933" t="s">
        <v>74</v>
      </c>
      <c r="F933" t="s">
        <v>76</v>
      </c>
      <c r="G933" t="s">
        <v>52</v>
      </c>
      <c r="H933" t="s">
        <v>38</v>
      </c>
      <c r="I933">
        <v>1049</v>
      </c>
    </row>
    <row r="934" spans="1:9" ht="14.5" x14ac:dyDescent="0.35">
      <c r="A934">
        <v>3</v>
      </c>
      <c r="B934" t="s">
        <v>48</v>
      </c>
      <c r="C934" t="s">
        <v>72</v>
      </c>
      <c r="D934" t="s">
        <v>73</v>
      </c>
      <c r="E934" t="s">
        <v>74</v>
      </c>
      <c r="F934" t="s">
        <v>77</v>
      </c>
      <c r="G934" t="s">
        <v>52</v>
      </c>
      <c r="H934" t="s">
        <v>36</v>
      </c>
      <c r="I934">
        <v>1204</v>
      </c>
    </row>
    <row r="935" spans="1:9" ht="14.5" x14ac:dyDescent="0.35">
      <c r="A935">
        <v>3</v>
      </c>
      <c r="B935" t="s">
        <v>48</v>
      </c>
      <c r="C935" t="s">
        <v>72</v>
      </c>
      <c r="D935" t="s">
        <v>73</v>
      </c>
      <c r="E935" t="s">
        <v>74</v>
      </c>
      <c r="F935" t="s">
        <v>77</v>
      </c>
      <c r="G935" t="s">
        <v>52</v>
      </c>
      <c r="H935" t="s">
        <v>38</v>
      </c>
      <c r="I935">
        <v>4115</v>
      </c>
    </row>
    <row r="936" spans="1:9" ht="14.5" x14ac:dyDescent="0.35">
      <c r="A936">
        <v>3</v>
      </c>
      <c r="B936" t="s">
        <v>48</v>
      </c>
      <c r="C936" t="s">
        <v>72</v>
      </c>
      <c r="D936" t="s">
        <v>73</v>
      </c>
      <c r="E936" t="s">
        <v>74</v>
      </c>
      <c r="F936" t="s">
        <v>78</v>
      </c>
      <c r="G936" t="s">
        <v>52</v>
      </c>
      <c r="H936" t="s">
        <v>36</v>
      </c>
      <c r="I936">
        <v>1337</v>
      </c>
    </row>
    <row r="937" spans="1:9" ht="14.5" x14ac:dyDescent="0.35">
      <c r="A937">
        <v>3</v>
      </c>
      <c r="B937" t="s">
        <v>48</v>
      </c>
      <c r="C937" t="s">
        <v>72</v>
      </c>
      <c r="D937" t="s">
        <v>73</v>
      </c>
      <c r="E937" t="s">
        <v>74</v>
      </c>
      <c r="F937" t="s">
        <v>78</v>
      </c>
      <c r="G937" t="s">
        <v>52</v>
      </c>
      <c r="H937" t="s">
        <v>38</v>
      </c>
      <c r="I937">
        <v>2005</v>
      </c>
    </row>
    <row r="938" spans="1:9" ht="14.5" x14ac:dyDescent="0.35">
      <c r="A938">
        <v>4</v>
      </c>
      <c r="B938" t="s">
        <v>49</v>
      </c>
      <c r="C938" t="s">
        <v>72</v>
      </c>
      <c r="D938" t="s">
        <v>73</v>
      </c>
      <c r="E938" t="s">
        <v>74</v>
      </c>
      <c r="F938" t="s">
        <v>75</v>
      </c>
      <c r="G938" t="s">
        <v>52</v>
      </c>
      <c r="H938" t="s">
        <v>36</v>
      </c>
      <c r="I938">
        <v>1207</v>
      </c>
    </row>
    <row r="939" spans="1:9" ht="14.5" x14ac:dyDescent="0.35">
      <c r="A939">
        <v>4</v>
      </c>
      <c r="B939" t="s">
        <v>49</v>
      </c>
      <c r="C939" t="s">
        <v>72</v>
      </c>
      <c r="D939" t="s">
        <v>73</v>
      </c>
      <c r="E939" t="s">
        <v>74</v>
      </c>
      <c r="F939" t="s">
        <v>75</v>
      </c>
      <c r="G939" t="s">
        <v>52</v>
      </c>
      <c r="H939" t="s">
        <v>38</v>
      </c>
      <c r="I939">
        <v>2375</v>
      </c>
    </row>
    <row r="940" spans="1:9" ht="14.5" x14ac:dyDescent="0.35">
      <c r="A940">
        <v>4</v>
      </c>
      <c r="B940" t="s">
        <v>49</v>
      </c>
      <c r="C940" t="s">
        <v>72</v>
      </c>
      <c r="D940" t="s">
        <v>73</v>
      </c>
      <c r="E940" t="s">
        <v>74</v>
      </c>
      <c r="F940" t="s">
        <v>76</v>
      </c>
      <c r="G940" t="s">
        <v>52</v>
      </c>
      <c r="H940" t="s">
        <v>36</v>
      </c>
      <c r="I940">
        <v>1895</v>
      </c>
    </row>
    <row r="941" spans="1:9" ht="14.5" x14ac:dyDescent="0.35">
      <c r="A941">
        <v>4</v>
      </c>
      <c r="B941" t="s">
        <v>49</v>
      </c>
      <c r="C941" t="s">
        <v>72</v>
      </c>
      <c r="D941" t="s">
        <v>73</v>
      </c>
      <c r="E941" t="s">
        <v>74</v>
      </c>
      <c r="F941" t="s">
        <v>76</v>
      </c>
      <c r="G941" t="s">
        <v>52</v>
      </c>
      <c r="H941" t="s">
        <v>38</v>
      </c>
      <c r="I941">
        <v>3443</v>
      </c>
    </row>
    <row r="942" spans="1:9" ht="14.5" x14ac:dyDescent="0.35">
      <c r="A942">
        <v>4</v>
      </c>
      <c r="B942" t="s">
        <v>49</v>
      </c>
      <c r="C942" t="s">
        <v>72</v>
      </c>
      <c r="D942" t="s">
        <v>73</v>
      </c>
      <c r="E942" t="s">
        <v>74</v>
      </c>
      <c r="F942" t="s">
        <v>77</v>
      </c>
      <c r="G942" t="s">
        <v>52</v>
      </c>
      <c r="H942" t="s">
        <v>36</v>
      </c>
      <c r="I942">
        <v>1682</v>
      </c>
    </row>
    <row r="943" spans="1:9" ht="14.5" x14ac:dyDescent="0.35">
      <c r="A943">
        <v>4</v>
      </c>
      <c r="B943" t="s">
        <v>49</v>
      </c>
      <c r="C943" t="s">
        <v>72</v>
      </c>
      <c r="D943" t="s">
        <v>73</v>
      </c>
      <c r="E943" t="s">
        <v>74</v>
      </c>
      <c r="F943" t="s">
        <v>77</v>
      </c>
      <c r="G943" t="s">
        <v>52</v>
      </c>
      <c r="H943" t="s">
        <v>38</v>
      </c>
      <c r="I943">
        <v>3607</v>
      </c>
    </row>
    <row r="944" spans="1:9" ht="14.5" x14ac:dyDescent="0.35">
      <c r="A944">
        <v>4</v>
      </c>
      <c r="B944" t="s">
        <v>49</v>
      </c>
      <c r="C944" t="s">
        <v>72</v>
      </c>
      <c r="D944" t="s">
        <v>73</v>
      </c>
      <c r="E944" t="s">
        <v>74</v>
      </c>
      <c r="F944" t="s">
        <v>78</v>
      </c>
      <c r="G944" t="s">
        <v>52</v>
      </c>
      <c r="H944" t="s">
        <v>36</v>
      </c>
      <c r="I944">
        <v>3419</v>
      </c>
    </row>
    <row r="945" spans="1:9" ht="14.5" x14ac:dyDescent="0.35">
      <c r="A945">
        <v>4</v>
      </c>
      <c r="B945" t="s">
        <v>49</v>
      </c>
      <c r="C945" t="s">
        <v>72</v>
      </c>
      <c r="D945" t="s">
        <v>73</v>
      </c>
      <c r="E945" t="s">
        <v>74</v>
      </c>
      <c r="F945" t="s">
        <v>78</v>
      </c>
      <c r="G945" t="s">
        <v>52</v>
      </c>
      <c r="H945" t="s">
        <v>38</v>
      </c>
      <c r="I945">
        <v>1421</v>
      </c>
    </row>
    <row r="946" spans="1:9" ht="14.5" x14ac:dyDescent="0.35">
      <c r="A946">
        <v>4</v>
      </c>
      <c r="B946" t="s">
        <v>50</v>
      </c>
      <c r="C946" t="s">
        <v>72</v>
      </c>
      <c r="D946" t="s">
        <v>73</v>
      </c>
      <c r="E946" t="s">
        <v>74</v>
      </c>
      <c r="F946" t="s">
        <v>75</v>
      </c>
      <c r="G946" t="s">
        <v>52</v>
      </c>
      <c r="H946" t="s">
        <v>36</v>
      </c>
      <c r="I946">
        <v>4873</v>
      </c>
    </row>
    <row r="947" spans="1:9" ht="14.5" x14ac:dyDescent="0.35">
      <c r="A947">
        <v>4</v>
      </c>
      <c r="B947" t="s">
        <v>50</v>
      </c>
      <c r="C947" t="s">
        <v>72</v>
      </c>
      <c r="D947" t="s">
        <v>73</v>
      </c>
      <c r="E947" t="s">
        <v>74</v>
      </c>
      <c r="F947" t="s">
        <v>75</v>
      </c>
      <c r="G947" t="s">
        <v>52</v>
      </c>
      <c r="H947" t="s">
        <v>38</v>
      </c>
      <c r="I947">
        <v>1314</v>
      </c>
    </row>
    <row r="948" spans="1:9" ht="14.5" x14ac:dyDescent="0.35">
      <c r="A948">
        <v>4</v>
      </c>
      <c r="B948" t="s">
        <v>50</v>
      </c>
      <c r="C948" t="s">
        <v>72</v>
      </c>
      <c r="D948" t="s">
        <v>73</v>
      </c>
      <c r="E948" t="s">
        <v>74</v>
      </c>
      <c r="F948" t="s">
        <v>76</v>
      </c>
      <c r="G948" t="s">
        <v>52</v>
      </c>
      <c r="H948" t="s">
        <v>36</v>
      </c>
      <c r="I948">
        <v>2236</v>
      </c>
    </row>
    <row r="949" spans="1:9" ht="14.5" x14ac:dyDescent="0.35">
      <c r="A949">
        <v>4</v>
      </c>
      <c r="B949" t="s">
        <v>50</v>
      </c>
      <c r="C949" t="s">
        <v>72</v>
      </c>
      <c r="D949" t="s">
        <v>73</v>
      </c>
      <c r="E949" t="s">
        <v>74</v>
      </c>
      <c r="F949" t="s">
        <v>76</v>
      </c>
      <c r="G949" t="s">
        <v>52</v>
      </c>
      <c r="H949" t="s">
        <v>38</v>
      </c>
      <c r="I949">
        <v>3225</v>
      </c>
    </row>
    <row r="950" spans="1:9" ht="14.5" x14ac:dyDescent="0.35">
      <c r="A950">
        <v>4</v>
      </c>
      <c r="B950" t="s">
        <v>50</v>
      </c>
      <c r="C950" t="s">
        <v>72</v>
      </c>
      <c r="D950" t="s">
        <v>73</v>
      </c>
      <c r="E950" t="s">
        <v>74</v>
      </c>
      <c r="F950" t="s">
        <v>77</v>
      </c>
      <c r="G950" t="s">
        <v>52</v>
      </c>
      <c r="H950" t="s">
        <v>36</v>
      </c>
      <c r="I950">
        <v>2806</v>
      </c>
    </row>
    <row r="951" spans="1:9" ht="14.5" x14ac:dyDescent="0.35">
      <c r="A951">
        <v>4</v>
      </c>
      <c r="B951" t="s">
        <v>50</v>
      </c>
      <c r="C951" t="s">
        <v>72</v>
      </c>
      <c r="D951" t="s">
        <v>73</v>
      </c>
      <c r="E951" t="s">
        <v>74</v>
      </c>
      <c r="F951" t="s">
        <v>77</v>
      </c>
      <c r="G951" t="s">
        <v>52</v>
      </c>
      <c r="H951" t="s">
        <v>38</v>
      </c>
      <c r="I951">
        <v>4862</v>
      </c>
    </row>
    <row r="952" spans="1:9" ht="14.5" x14ac:dyDescent="0.35">
      <c r="A952">
        <v>4</v>
      </c>
      <c r="B952" t="s">
        <v>50</v>
      </c>
      <c r="C952" t="s">
        <v>72</v>
      </c>
      <c r="D952" t="s">
        <v>73</v>
      </c>
      <c r="E952" t="s">
        <v>74</v>
      </c>
      <c r="F952" t="s">
        <v>78</v>
      </c>
      <c r="G952" t="s">
        <v>52</v>
      </c>
      <c r="H952" t="s">
        <v>36</v>
      </c>
      <c r="I952">
        <v>4899</v>
      </c>
    </row>
    <row r="953" spans="1:9" ht="14.5" x14ac:dyDescent="0.35">
      <c r="A953">
        <v>4</v>
      </c>
      <c r="B953" t="s">
        <v>50</v>
      </c>
      <c r="C953" t="s">
        <v>72</v>
      </c>
      <c r="D953" t="s">
        <v>73</v>
      </c>
      <c r="E953" t="s">
        <v>74</v>
      </c>
      <c r="F953" t="s">
        <v>78</v>
      </c>
      <c r="G953" t="s">
        <v>52</v>
      </c>
      <c r="H953" t="s">
        <v>38</v>
      </c>
      <c r="I953">
        <v>3748</v>
      </c>
    </row>
    <row r="954" spans="1:9" ht="14.5" x14ac:dyDescent="0.35">
      <c r="A954">
        <v>4</v>
      </c>
      <c r="B954" t="s">
        <v>51</v>
      </c>
      <c r="C954" t="s">
        <v>72</v>
      </c>
      <c r="D954" t="s">
        <v>73</v>
      </c>
      <c r="E954" t="s">
        <v>74</v>
      </c>
      <c r="F954" t="s">
        <v>75</v>
      </c>
      <c r="G954" t="s">
        <v>52</v>
      </c>
      <c r="H954" t="s">
        <v>36</v>
      </c>
      <c r="I954">
        <v>1581</v>
      </c>
    </row>
    <row r="955" spans="1:9" ht="14.5" x14ac:dyDescent="0.35">
      <c r="A955">
        <v>4</v>
      </c>
      <c r="B955" t="s">
        <v>51</v>
      </c>
      <c r="C955" t="s">
        <v>72</v>
      </c>
      <c r="D955" t="s">
        <v>73</v>
      </c>
      <c r="E955" t="s">
        <v>74</v>
      </c>
      <c r="F955" t="s">
        <v>75</v>
      </c>
      <c r="G955" t="s">
        <v>52</v>
      </c>
      <c r="H955" t="s">
        <v>38</v>
      </c>
      <c r="I955">
        <v>4979</v>
      </c>
    </row>
    <row r="956" spans="1:9" ht="14.5" x14ac:dyDescent="0.35">
      <c r="A956">
        <v>4</v>
      </c>
      <c r="B956" t="s">
        <v>51</v>
      </c>
      <c r="C956" t="s">
        <v>72</v>
      </c>
      <c r="D956" t="s">
        <v>73</v>
      </c>
      <c r="E956" t="s">
        <v>74</v>
      </c>
      <c r="F956" t="s">
        <v>76</v>
      </c>
      <c r="G956" t="s">
        <v>52</v>
      </c>
      <c r="H956" t="s">
        <v>36</v>
      </c>
      <c r="I956">
        <v>3861</v>
      </c>
    </row>
    <row r="957" spans="1:9" ht="14.5" x14ac:dyDescent="0.35">
      <c r="A957">
        <v>4</v>
      </c>
      <c r="B957" t="s">
        <v>51</v>
      </c>
      <c r="C957" t="s">
        <v>72</v>
      </c>
      <c r="D957" t="s">
        <v>73</v>
      </c>
      <c r="E957" t="s">
        <v>74</v>
      </c>
      <c r="F957" t="s">
        <v>76</v>
      </c>
      <c r="G957" t="s">
        <v>52</v>
      </c>
      <c r="H957" t="s">
        <v>38</v>
      </c>
      <c r="I957">
        <v>1272</v>
      </c>
    </row>
    <row r="958" spans="1:9" ht="14.5" x14ac:dyDescent="0.35">
      <c r="A958">
        <v>4</v>
      </c>
      <c r="B958" t="s">
        <v>51</v>
      </c>
      <c r="C958" t="s">
        <v>72</v>
      </c>
      <c r="D958" t="s">
        <v>73</v>
      </c>
      <c r="E958" t="s">
        <v>74</v>
      </c>
      <c r="F958" t="s">
        <v>77</v>
      </c>
      <c r="G958" t="s">
        <v>52</v>
      </c>
      <c r="H958" t="s">
        <v>36</v>
      </c>
      <c r="I958">
        <v>2786</v>
      </c>
    </row>
    <row r="959" spans="1:9" ht="14.5" x14ac:dyDescent="0.35">
      <c r="A959">
        <v>4</v>
      </c>
      <c r="B959" t="s">
        <v>51</v>
      </c>
      <c r="C959" t="s">
        <v>72</v>
      </c>
      <c r="D959" t="s">
        <v>73</v>
      </c>
      <c r="E959" t="s">
        <v>74</v>
      </c>
      <c r="F959" t="s">
        <v>77</v>
      </c>
      <c r="G959" t="s">
        <v>52</v>
      </c>
      <c r="H959" t="s">
        <v>38</v>
      </c>
      <c r="I959">
        <v>2756</v>
      </c>
    </row>
    <row r="960" spans="1:9" ht="14.5" x14ac:dyDescent="0.35">
      <c r="A960">
        <v>4</v>
      </c>
      <c r="B960" t="s">
        <v>51</v>
      </c>
      <c r="C960" t="s">
        <v>72</v>
      </c>
      <c r="D960" t="s">
        <v>73</v>
      </c>
      <c r="E960" t="s">
        <v>74</v>
      </c>
      <c r="F960" t="s">
        <v>78</v>
      </c>
      <c r="G960" t="s">
        <v>52</v>
      </c>
      <c r="H960" t="s">
        <v>36</v>
      </c>
      <c r="I960">
        <v>1807</v>
      </c>
    </row>
    <row r="961" spans="1:9" ht="14.5" x14ac:dyDescent="0.35">
      <c r="A961">
        <v>4</v>
      </c>
      <c r="B961" t="s">
        <v>51</v>
      </c>
      <c r="C961" t="s">
        <v>72</v>
      </c>
      <c r="D961" t="s">
        <v>73</v>
      </c>
      <c r="E961" t="s">
        <v>74</v>
      </c>
      <c r="F961" t="s">
        <v>78</v>
      </c>
      <c r="G961" t="s">
        <v>52</v>
      </c>
      <c r="H961" t="s">
        <v>38</v>
      </c>
      <c r="I961">
        <v>2069</v>
      </c>
    </row>
    <row r="962" spans="1:9" ht="14.5" x14ac:dyDescent="0.35">
      <c r="A962">
        <v>1</v>
      </c>
      <c r="B962" t="s">
        <v>30</v>
      </c>
      <c r="C962" t="s">
        <v>72</v>
      </c>
      <c r="D962" t="s">
        <v>79</v>
      </c>
      <c r="E962" t="s">
        <v>80</v>
      </c>
      <c r="F962" t="s">
        <v>81</v>
      </c>
      <c r="G962" t="s">
        <v>35</v>
      </c>
      <c r="H962" t="s">
        <v>36</v>
      </c>
      <c r="I962">
        <v>1114</v>
      </c>
    </row>
    <row r="963" spans="1:9" ht="14.5" x14ac:dyDescent="0.35">
      <c r="A963">
        <v>1</v>
      </c>
      <c r="B963" t="s">
        <v>30</v>
      </c>
      <c r="C963" t="s">
        <v>72</v>
      </c>
      <c r="D963" t="s">
        <v>79</v>
      </c>
      <c r="E963" t="s">
        <v>80</v>
      </c>
      <c r="F963" t="s">
        <v>81</v>
      </c>
      <c r="G963" t="s">
        <v>35</v>
      </c>
      <c r="H963" t="s">
        <v>38</v>
      </c>
      <c r="I963">
        <v>1914</v>
      </c>
    </row>
    <row r="964" spans="1:9" ht="14.5" x14ac:dyDescent="0.35">
      <c r="A964">
        <v>1</v>
      </c>
      <c r="B964" t="s">
        <v>30</v>
      </c>
      <c r="C964" t="s">
        <v>72</v>
      </c>
      <c r="D964" t="s">
        <v>79</v>
      </c>
      <c r="E964" t="s">
        <v>80</v>
      </c>
      <c r="F964" t="s">
        <v>82</v>
      </c>
      <c r="G964" t="s">
        <v>35</v>
      </c>
      <c r="H964" t="s">
        <v>36</v>
      </c>
      <c r="I964">
        <v>1370</v>
      </c>
    </row>
    <row r="965" spans="1:9" ht="14.5" x14ac:dyDescent="0.35">
      <c r="A965">
        <v>1</v>
      </c>
      <c r="B965" t="s">
        <v>30</v>
      </c>
      <c r="C965" t="s">
        <v>72</v>
      </c>
      <c r="D965" t="s">
        <v>79</v>
      </c>
      <c r="E965" t="s">
        <v>80</v>
      </c>
      <c r="F965" t="s">
        <v>82</v>
      </c>
      <c r="G965" t="s">
        <v>35</v>
      </c>
      <c r="H965" t="s">
        <v>38</v>
      </c>
      <c r="I965">
        <v>1308</v>
      </c>
    </row>
    <row r="966" spans="1:9" ht="14.5" x14ac:dyDescent="0.35">
      <c r="A966">
        <v>1</v>
      </c>
      <c r="B966" t="s">
        <v>30</v>
      </c>
      <c r="C966" t="s">
        <v>72</v>
      </c>
      <c r="D966" t="s">
        <v>79</v>
      </c>
      <c r="E966" t="s">
        <v>80</v>
      </c>
      <c r="F966" t="s">
        <v>83</v>
      </c>
      <c r="G966" t="s">
        <v>35</v>
      </c>
      <c r="H966" t="s">
        <v>36</v>
      </c>
      <c r="I966">
        <v>1903</v>
      </c>
    </row>
    <row r="967" spans="1:9" ht="14.5" x14ac:dyDescent="0.35">
      <c r="A967">
        <v>1</v>
      </c>
      <c r="B967" t="s">
        <v>30</v>
      </c>
      <c r="C967" t="s">
        <v>72</v>
      </c>
      <c r="D967" t="s">
        <v>79</v>
      </c>
      <c r="E967" t="s">
        <v>80</v>
      </c>
      <c r="F967" t="s">
        <v>83</v>
      </c>
      <c r="G967" t="s">
        <v>35</v>
      </c>
      <c r="H967" t="s">
        <v>38</v>
      </c>
      <c r="I967">
        <v>1269</v>
      </c>
    </row>
    <row r="968" spans="1:9" ht="14.5" x14ac:dyDescent="0.35">
      <c r="A968">
        <v>1</v>
      </c>
      <c r="B968" t="s">
        <v>30</v>
      </c>
      <c r="C968" t="s">
        <v>72</v>
      </c>
      <c r="D968" t="s">
        <v>79</v>
      </c>
      <c r="E968" t="s">
        <v>80</v>
      </c>
      <c r="F968" t="s">
        <v>84</v>
      </c>
      <c r="G968" t="s">
        <v>35</v>
      </c>
      <c r="H968" t="s">
        <v>36</v>
      </c>
      <c r="I968">
        <v>2609</v>
      </c>
    </row>
    <row r="969" spans="1:9" ht="14.5" x14ac:dyDescent="0.35">
      <c r="A969">
        <v>1</v>
      </c>
      <c r="B969" t="s">
        <v>30</v>
      </c>
      <c r="C969" t="s">
        <v>72</v>
      </c>
      <c r="D969" t="s">
        <v>79</v>
      </c>
      <c r="E969" t="s">
        <v>80</v>
      </c>
      <c r="F969" t="s">
        <v>84</v>
      </c>
      <c r="G969" t="s">
        <v>35</v>
      </c>
      <c r="H969" t="s">
        <v>38</v>
      </c>
      <c r="I969">
        <v>1583</v>
      </c>
    </row>
    <row r="970" spans="1:9" ht="14.5" x14ac:dyDescent="0.35">
      <c r="A970">
        <v>1</v>
      </c>
      <c r="B970" t="s">
        <v>41</v>
      </c>
      <c r="C970" t="s">
        <v>72</v>
      </c>
      <c r="D970" t="s">
        <v>79</v>
      </c>
      <c r="E970" t="s">
        <v>80</v>
      </c>
      <c r="F970" t="s">
        <v>81</v>
      </c>
      <c r="G970" t="s">
        <v>35</v>
      </c>
      <c r="H970" t="s">
        <v>36</v>
      </c>
      <c r="I970">
        <v>2088</v>
      </c>
    </row>
    <row r="971" spans="1:9" ht="14.5" x14ac:dyDescent="0.35">
      <c r="A971">
        <v>1</v>
      </c>
      <c r="B971" t="s">
        <v>41</v>
      </c>
      <c r="C971" t="s">
        <v>72</v>
      </c>
      <c r="D971" t="s">
        <v>79</v>
      </c>
      <c r="E971" t="s">
        <v>80</v>
      </c>
      <c r="F971" t="s">
        <v>81</v>
      </c>
      <c r="G971" t="s">
        <v>35</v>
      </c>
      <c r="H971" t="s">
        <v>38</v>
      </c>
      <c r="I971">
        <v>4786</v>
      </c>
    </row>
    <row r="972" spans="1:9" ht="14.5" x14ac:dyDescent="0.35">
      <c r="A972">
        <v>1</v>
      </c>
      <c r="B972" t="s">
        <v>41</v>
      </c>
      <c r="C972" t="s">
        <v>72</v>
      </c>
      <c r="D972" t="s">
        <v>79</v>
      </c>
      <c r="E972" t="s">
        <v>80</v>
      </c>
      <c r="F972" t="s">
        <v>82</v>
      </c>
      <c r="G972" t="s">
        <v>35</v>
      </c>
      <c r="H972" t="s">
        <v>36</v>
      </c>
      <c r="I972">
        <v>4481</v>
      </c>
    </row>
    <row r="973" spans="1:9" ht="14.5" x14ac:dyDescent="0.35">
      <c r="A973">
        <v>1</v>
      </c>
      <c r="B973" t="s">
        <v>41</v>
      </c>
      <c r="C973" t="s">
        <v>72</v>
      </c>
      <c r="D973" t="s">
        <v>79</v>
      </c>
      <c r="E973" t="s">
        <v>80</v>
      </c>
      <c r="F973" t="s">
        <v>82</v>
      </c>
      <c r="G973" t="s">
        <v>35</v>
      </c>
      <c r="H973" t="s">
        <v>38</v>
      </c>
      <c r="I973">
        <v>3538</v>
      </c>
    </row>
    <row r="974" spans="1:9" ht="14.5" x14ac:dyDescent="0.35">
      <c r="A974">
        <v>1</v>
      </c>
      <c r="B974" t="s">
        <v>41</v>
      </c>
      <c r="C974" t="s">
        <v>72</v>
      </c>
      <c r="D974" t="s">
        <v>79</v>
      </c>
      <c r="E974" t="s">
        <v>80</v>
      </c>
      <c r="F974" t="s">
        <v>83</v>
      </c>
      <c r="G974" t="s">
        <v>35</v>
      </c>
      <c r="H974" t="s">
        <v>36</v>
      </c>
      <c r="I974">
        <v>4491</v>
      </c>
    </row>
    <row r="975" spans="1:9" ht="14.5" x14ac:dyDescent="0.35">
      <c r="A975">
        <v>1</v>
      </c>
      <c r="B975" t="s">
        <v>41</v>
      </c>
      <c r="C975" t="s">
        <v>72</v>
      </c>
      <c r="D975" t="s">
        <v>79</v>
      </c>
      <c r="E975" t="s">
        <v>80</v>
      </c>
      <c r="F975" t="s">
        <v>83</v>
      </c>
      <c r="G975" t="s">
        <v>35</v>
      </c>
      <c r="H975" t="s">
        <v>38</v>
      </c>
      <c r="I975">
        <v>3035</v>
      </c>
    </row>
    <row r="976" spans="1:9" ht="14.5" x14ac:dyDescent="0.35">
      <c r="A976">
        <v>1</v>
      </c>
      <c r="B976" t="s">
        <v>41</v>
      </c>
      <c r="C976" t="s">
        <v>72</v>
      </c>
      <c r="D976" t="s">
        <v>79</v>
      </c>
      <c r="E976" t="s">
        <v>80</v>
      </c>
      <c r="F976" t="s">
        <v>84</v>
      </c>
      <c r="G976" t="s">
        <v>35</v>
      </c>
      <c r="H976" t="s">
        <v>36</v>
      </c>
      <c r="I976">
        <v>4633</v>
      </c>
    </row>
    <row r="977" spans="1:9" ht="14.5" x14ac:dyDescent="0.35">
      <c r="A977">
        <v>1</v>
      </c>
      <c r="B977" t="s">
        <v>41</v>
      </c>
      <c r="C977" t="s">
        <v>72</v>
      </c>
      <c r="D977" t="s">
        <v>79</v>
      </c>
      <c r="E977" t="s">
        <v>80</v>
      </c>
      <c r="F977" t="s">
        <v>84</v>
      </c>
      <c r="G977" t="s">
        <v>35</v>
      </c>
      <c r="H977" t="s">
        <v>38</v>
      </c>
      <c r="I977">
        <v>1226</v>
      </c>
    </row>
    <row r="978" spans="1:9" ht="14.5" x14ac:dyDescent="0.35">
      <c r="A978">
        <v>1</v>
      </c>
      <c r="B978" t="s">
        <v>42</v>
      </c>
      <c r="C978" t="s">
        <v>72</v>
      </c>
      <c r="D978" t="s">
        <v>79</v>
      </c>
      <c r="E978" t="s">
        <v>80</v>
      </c>
      <c r="F978" t="s">
        <v>81</v>
      </c>
      <c r="G978" t="s">
        <v>35</v>
      </c>
      <c r="H978" t="s">
        <v>36</v>
      </c>
      <c r="I978">
        <v>1580</v>
      </c>
    </row>
    <row r="979" spans="1:9" ht="14.5" x14ac:dyDescent="0.35">
      <c r="A979">
        <v>1</v>
      </c>
      <c r="B979" t="s">
        <v>42</v>
      </c>
      <c r="C979" t="s">
        <v>72</v>
      </c>
      <c r="D979" t="s">
        <v>79</v>
      </c>
      <c r="E979" t="s">
        <v>80</v>
      </c>
      <c r="F979" t="s">
        <v>81</v>
      </c>
      <c r="G979" t="s">
        <v>35</v>
      </c>
      <c r="H979" t="s">
        <v>38</v>
      </c>
      <c r="I979">
        <v>4166</v>
      </c>
    </row>
    <row r="980" spans="1:9" ht="14.5" x14ac:dyDescent="0.35">
      <c r="A980">
        <v>1</v>
      </c>
      <c r="B980" t="s">
        <v>42</v>
      </c>
      <c r="C980" t="s">
        <v>72</v>
      </c>
      <c r="D980" t="s">
        <v>79</v>
      </c>
      <c r="E980" t="s">
        <v>80</v>
      </c>
      <c r="F980" t="s">
        <v>82</v>
      </c>
      <c r="G980" t="s">
        <v>35</v>
      </c>
      <c r="H980" t="s">
        <v>36</v>
      </c>
      <c r="I980">
        <v>4077</v>
      </c>
    </row>
    <row r="981" spans="1:9" ht="14.5" x14ac:dyDescent="0.35">
      <c r="A981">
        <v>1</v>
      </c>
      <c r="B981" t="s">
        <v>42</v>
      </c>
      <c r="C981" t="s">
        <v>72</v>
      </c>
      <c r="D981" t="s">
        <v>79</v>
      </c>
      <c r="E981" t="s">
        <v>80</v>
      </c>
      <c r="F981" t="s">
        <v>82</v>
      </c>
      <c r="G981" t="s">
        <v>35</v>
      </c>
      <c r="H981" t="s">
        <v>38</v>
      </c>
      <c r="I981">
        <v>1585</v>
      </c>
    </row>
    <row r="982" spans="1:9" ht="14.5" x14ac:dyDescent="0.35">
      <c r="A982">
        <v>1</v>
      </c>
      <c r="B982" t="s">
        <v>42</v>
      </c>
      <c r="C982" t="s">
        <v>72</v>
      </c>
      <c r="D982" t="s">
        <v>79</v>
      </c>
      <c r="E982" t="s">
        <v>80</v>
      </c>
      <c r="F982" t="s">
        <v>83</v>
      </c>
      <c r="G982" t="s">
        <v>35</v>
      </c>
      <c r="H982" t="s">
        <v>36</v>
      </c>
      <c r="I982">
        <v>1013</v>
      </c>
    </row>
    <row r="983" spans="1:9" ht="14.5" x14ac:dyDescent="0.35">
      <c r="A983">
        <v>1</v>
      </c>
      <c r="B983" t="s">
        <v>42</v>
      </c>
      <c r="C983" t="s">
        <v>72</v>
      </c>
      <c r="D983" t="s">
        <v>79</v>
      </c>
      <c r="E983" t="s">
        <v>80</v>
      </c>
      <c r="F983" t="s">
        <v>83</v>
      </c>
      <c r="G983" t="s">
        <v>35</v>
      </c>
      <c r="H983" t="s">
        <v>38</v>
      </c>
      <c r="I983">
        <v>4896</v>
      </c>
    </row>
    <row r="984" spans="1:9" ht="14.5" x14ac:dyDescent="0.35">
      <c r="A984">
        <v>1</v>
      </c>
      <c r="B984" t="s">
        <v>42</v>
      </c>
      <c r="C984" t="s">
        <v>72</v>
      </c>
      <c r="D984" t="s">
        <v>79</v>
      </c>
      <c r="E984" t="s">
        <v>80</v>
      </c>
      <c r="F984" t="s">
        <v>84</v>
      </c>
      <c r="G984" t="s">
        <v>35</v>
      </c>
      <c r="H984" t="s">
        <v>36</v>
      </c>
      <c r="I984">
        <v>2769</v>
      </c>
    </row>
    <row r="985" spans="1:9" ht="14.5" x14ac:dyDescent="0.35">
      <c r="A985">
        <v>1</v>
      </c>
      <c r="B985" t="s">
        <v>42</v>
      </c>
      <c r="C985" t="s">
        <v>72</v>
      </c>
      <c r="D985" t="s">
        <v>79</v>
      </c>
      <c r="E985" t="s">
        <v>80</v>
      </c>
      <c r="F985" t="s">
        <v>84</v>
      </c>
      <c r="G985" t="s">
        <v>35</v>
      </c>
      <c r="H985" t="s">
        <v>38</v>
      </c>
      <c r="I985">
        <v>2406</v>
      </c>
    </row>
    <row r="986" spans="1:9" ht="14.5" x14ac:dyDescent="0.35">
      <c r="A986">
        <v>2</v>
      </c>
      <c r="B986" t="s">
        <v>43</v>
      </c>
      <c r="C986" t="s">
        <v>72</v>
      </c>
      <c r="D986" t="s">
        <v>79</v>
      </c>
      <c r="E986" t="s">
        <v>80</v>
      </c>
      <c r="F986" t="s">
        <v>81</v>
      </c>
      <c r="G986" t="s">
        <v>35</v>
      </c>
      <c r="H986" t="s">
        <v>36</v>
      </c>
      <c r="I986">
        <v>3923</v>
      </c>
    </row>
    <row r="987" spans="1:9" ht="14.5" x14ac:dyDescent="0.35">
      <c r="A987">
        <v>2</v>
      </c>
      <c r="B987" t="s">
        <v>43</v>
      </c>
      <c r="C987" t="s">
        <v>72</v>
      </c>
      <c r="D987" t="s">
        <v>79</v>
      </c>
      <c r="E987" t="s">
        <v>80</v>
      </c>
      <c r="F987" t="s">
        <v>81</v>
      </c>
      <c r="G987" t="s">
        <v>35</v>
      </c>
      <c r="H987" t="s">
        <v>38</v>
      </c>
      <c r="I987">
        <v>3618</v>
      </c>
    </row>
    <row r="988" spans="1:9" ht="14.5" x14ac:dyDescent="0.35">
      <c r="A988">
        <v>2</v>
      </c>
      <c r="B988" t="s">
        <v>43</v>
      </c>
      <c r="C988" t="s">
        <v>72</v>
      </c>
      <c r="D988" t="s">
        <v>79</v>
      </c>
      <c r="E988" t="s">
        <v>80</v>
      </c>
      <c r="F988" t="s">
        <v>82</v>
      </c>
      <c r="G988" t="s">
        <v>35</v>
      </c>
      <c r="H988" t="s">
        <v>36</v>
      </c>
      <c r="I988">
        <v>3309</v>
      </c>
    </row>
    <row r="989" spans="1:9" ht="14.5" x14ac:dyDescent="0.35">
      <c r="A989">
        <v>2</v>
      </c>
      <c r="B989" t="s">
        <v>43</v>
      </c>
      <c r="C989" t="s">
        <v>72</v>
      </c>
      <c r="D989" t="s">
        <v>79</v>
      </c>
      <c r="E989" t="s">
        <v>80</v>
      </c>
      <c r="F989" t="s">
        <v>82</v>
      </c>
      <c r="G989" t="s">
        <v>35</v>
      </c>
      <c r="H989" t="s">
        <v>38</v>
      </c>
      <c r="I989">
        <v>3355</v>
      </c>
    </row>
    <row r="990" spans="1:9" ht="14.5" x14ac:dyDescent="0.35">
      <c r="A990">
        <v>2</v>
      </c>
      <c r="B990" t="s">
        <v>43</v>
      </c>
      <c r="C990" t="s">
        <v>72</v>
      </c>
      <c r="D990" t="s">
        <v>79</v>
      </c>
      <c r="E990" t="s">
        <v>80</v>
      </c>
      <c r="F990" t="s">
        <v>83</v>
      </c>
      <c r="G990" t="s">
        <v>35</v>
      </c>
      <c r="H990" t="s">
        <v>36</v>
      </c>
      <c r="I990">
        <v>1342</v>
      </c>
    </row>
    <row r="991" spans="1:9" ht="14.5" x14ac:dyDescent="0.35">
      <c r="A991">
        <v>2</v>
      </c>
      <c r="B991" t="s">
        <v>43</v>
      </c>
      <c r="C991" t="s">
        <v>72</v>
      </c>
      <c r="D991" t="s">
        <v>79</v>
      </c>
      <c r="E991" t="s">
        <v>80</v>
      </c>
      <c r="F991" t="s">
        <v>83</v>
      </c>
      <c r="G991" t="s">
        <v>35</v>
      </c>
      <c r="H991" t="s">
        <v>38</v>
      </c>
      <c r="I991">
        <v>2909</v>
      </c>
    </row>
    <row r="992" spans="1:9" ht="14.5" x14ac:dyDescent="0.35">
      <c r="A992">
        <v>2</v>
      </c>
      <c r="B992" t="s">
        <v>43</v>
      </c>
      <c r="C992" t="s">
        <v>72</v>
      </c>
      <c r="D992" t="s">
        <v>79</v>
      </c>
      <c r="E992" t="s">
        <v>80</v>
      </c>
      <c r="F992" t="s">
        <v>84</v>
      </c>
      <c r="G992" t="s">
        <v>35</v>
      </c>
      <c r="H992" t="s">
        <v>36</v>
      </c>
      <c r="I992">
        <v>3841</v>
      </c>
    </row>
    <row r="993" spans="1:9" ht="14.5" x14ac:dyDescent="0.35">
      <c r="A993">
        <v>2</v>
      </c>
      <c r="B993" t="s">
        <v>43</v>
      </c>
      <c r="C993" t="s">
        <v>72</v>
      </c>
      <c r="D993" t="s">
        <v>79</v>
      </c>
      <c r="E993" t="s">
        <v>80</v>
      </c>
      <c r="F993" t="s">
        <v>84</v>
      </c>
      <c r="G993" t="s">
        <v>35</v>
      </c>
      <c r="H993" t="s">
        <v>38</v>
      </c>
      <c r="I993">
        <v>4931</v>
      </c>
    </row>
    <row r="994" spans="1:9" ht="14.5" x14ac:dyDescent="0.35">
      <c r="A994">
        <v>2</v>
      </c>
      <c r="B994" t="s">
        <v>44</v>
      </c>
      <c r="C994" t="s">
        <v>72</v>
      </c>
      <c r="D994" t="s">
        <v>79</v>
      </c>
      <c r="E994" t="s">
        <v>80</v>
      </c>
      <c r="F994" t="s">
        <v>81</v>
      </c>
      <c r="G994" t="s">
        <v>35</v>
      </c>
      <c r="H994" t="s">
        <v>36</v>
      </c>
      <c r="I994">
        <v>4066</v>
      </c>
    </row>
    <row r="995" spans="1:9" ht="14.5" x14ac:dyDescent="0.35">
      <c r="A995">
        <v>2</v>
      </c>
      <c r="B995" t="s">
        <v>44</v>
      </c>
      <c r="C995" t="s">
        <v>72</v>
      </c>
      <c r="D995" t="s">
        <v>79</v>
      </c>
      <c r="E995" t="s">
        <v>80</v>
      </c>
      <c r="F995" t="s">
        <v>81</v>
      </c>
      <c r="G995" t="s">
        <v>35</v>
      </c>
      <c r="H995" t="s">
        <v>38</v>
      </c>
      <c r="I995">
        <v>3488</v>
      </c>
    </row>
    <row r="996" spans="1:9" ht="14.5" x14ac:dyDescent="0.35">
      <c r="A996">
        <v>2</v>
      </c>
      <c r="B996" t="s">
        <v>44</v>
      </c>
      <c r="C996" t="s">
        <v>72</v>
      </c>
      <c r="D996" t="s">
        <v>79</v>
      </c>
      <c r="E996" t="s">
        <v>80</v>
      </c>
      <c r="F996" t="s">
        <v>82</v>
      </c>
      <c r="G996" t="s">
        <v>35</v>
      </c>
      <c r="H996" t="s">
        <v>36</v>
      </c>
      <c r="I996">
        <v>1481</v>
      </c>
    </row>
    <row r="997" spans="1:9" ht="14.5" x14ac:dyDescent="0.35">
      <c r="A997">
        <v>2</v>
      </c>
      <c r="B997" t="s">
        <v>44</v>
      </c>
      <c r="C997" t="s">
        <v>72</v>
      </c>
      <c r="D997" t="s">
        <v>79</v>
      </c>
      <c r="E997" t="s">
        <v>80</v>
      </c>
      <c r="F997" t="s">
        <v>82</v>
      </c>
      <c r="G997" t="s">
        <v>35</v>
      </c>
      <c r="H997" t="s">
        <v>38</v>
      </c>
      <c r="I997">
        <v>4860</v>
      </c>
    </row>
    <row r="998" spans="1:9" ht="14.5" x14ac:dyDescent="0.35">
      <c r="A998">
        <v>2</v>
      </c>
      <c r="B998" t="s">
        <v>44</v>
      </c>
      <c r="C998" t="s">
        <v>72</v>
      </c>
      <c r="D998" t="s">
        <v>79</v>
      </c>
      <c r="E998" t="s">
        <v>80</v>
      </c>
      <c r="F998" t="s">
        <v>83</v>
      </c>
      <c r="G998" t="s">
        <v>35</v>
      </c>
      <c r="H998" t="s">
        <v>36</v>
      </c>
      <c r="I998">
        <v>4138</v>
      </c>
    </row>
    <row r="999" spans="1:9" ht="14.5" x14ac:dyDescent="0.35">
      <c r="A999">
        <v>2</v>
      </c>
      <c r="B999" t="s">
        <v>44</v>
      </c>
      <c r="C999" t="s">
        <v>72</v>
      </c>
      <c r="D999" t="s">
        <v>79</v>
      </c>
      <c r="E999" t="s">
        <v>80</v>
      </c>
      <c r="F999" t="s">
        <v>83</v>
      </c>
      <c r="G999" t="s">
        <v>35</v>
      </c>
      <c r="H999" t="s">
        <v>38</v>
      </c>
      <c r="I999">
        <v>4175</v>
      </c>
    </row>
    <row r="1000" spans="1:9" ht="14.5" x14ac:dyDescent="0.35">
      <c r="A1000">
        <v>2</v>
      </c>
      <c r="B1000" t="s">
        <v>44</v>
      </c>
      <c r="C1000" t="s">
        <v>72</v>
      </c>
      <c r="D1000" t="s">
        <v>79</v>
      </c>
      <c r="E1000" t="s">
        <v>80</v>
      </c>
      <c r="F1000" t="s">
        <v>84</v>
      </c>
      <c r="G1000" t="s">
        <v>35</v>
      </c>
      <c r="H1000" t="s">
        <v>36</v>
      </c>
      <c r="I1000">
        <v>3434</v>
      </c>
    </row>
    <row r="1001" spans="1:9" ht="14.5" x14ac:dyDescent="0.35">
      <c r="A1001">
        <v>2</v>
      </c>
      <c r="B1001" t="s">
        <v>44</v>
      </c>
      <c r="C1001" t="s">
        <v>72</v>
      </c>
      <c r="D1001" t="s">
        <v>79</v>
      </c>
      <c r="E1001" t="s">
        <v>80</v>
      </c>
      <c r="F1001" t="s">
        <v>84</v>
      </c>
      <c r="G1001" t="s">
        <v>35</v>
      </c>
      <c r="H1001" t="s">
        <v>38</v>
      </c>
      <c r="I1001">
        <v>2581</v>
      </c>
    </row>
    <row r="1002" spans="1:9" ht="14.5" x14ac:dyDescent="0.35">
      <c r="A1002">
        <v>2</v>
      </c>
      <c r="B1002" t="s">
        <v>45</v>
      </c>
      <c r="C1002" t="s">
        <v>72</v>
      </c>
      <c r="D1002" t="s">
        <v>79</v>
      </c>
      <c r="E1002" t="s">
        <v>80</v>
      </c>
      <c r="F1002" t="s">
        <v>81</v>
      </c>
      <c r="G1002" t="s">
        <v>35</v>
      </c>
      <c r="H1002" t="s">
        <v>36</v>
      </c>
      <c r="I1002">
        <v>4188</v>
      </c>
    </row>
    <row r="1003" spans="1:9" ht="14.5" x14ac:dyDescent="0.35">
      <c r="A1003">
        <v>2</v>
      </c>
      <c r="B1003" t="s">
        <v>45</v>
      </c>
      <c r="C1003" t="s">
        <v>72</v>
      </c>
      <c r="D1003" t="s">
        <v>79</v>
      </c>
      <c r="E1003" t="s">
        <v>80</v>
      </c>
      <c r="F1003" t="s">
        <v>81</v>
      </c>
      <c r="G1003" t="s">
        <v>35</v>
      </c>
      <c r="H1003" t="s">
        <v>38</v>
      </c>
      <c r="I1003">
        <v>1161</v>
      </c>
    </row>
    <row r="1004" spans="1:9" ht="14.5" x14ac:dyDescent="0.35">
      <c r="A1004">
        <v>2</v>
      </c>
      <c r="B1004" t="s">
        <v>45</v>
      </c>
      <c r="C1004" t="s">
        <v>72</v>
      </c>
      <c r="D1004" t="s">
        <v>79</v>
      </c>
      <c r="E1004" t="s">
        <v>80</v>
      </c>
      <c r="F1004" t="s">
        <v>82</v>
      </c>
      <c r="G1004" t="s">
        <v>35</v>
      </c>
      <c r="H1004" t="s">
        <v>36</v>
      </c>
      <c r="I1004">
        <v>4224</v>
      </c>
    </row>
    <row r="1005" spans="1:9" ht="14.5" x14ac:dyDescent="0.35">
      <c r="A1005">
        <v>2</v>
      </c>
      <c r="B1005" t="s">
        <v>45</v>
      </c>
      <c r="C1005" t="s">
        <v>72</v>
      </c>
      <c r="D1005" t="s">
        <v>79</v>
      </c>
      <c r="E1005" t="s">
        <v>80</v>
      </c>
      <c r="F1005" t="s">
        <v>82</v>
      </c>
      <c r="G1005" t="s">
        <v>35</v>
      </c>
      <c r="H1005" t="s">
        <v>38</v>
      </c>
      <c r="I1005">
        <v>1991</v>
      </c>
    </row>
    <row r="1006" spans="1:9" ht="14.5" x14ac:dyDescent="0.35">
      <c r="A1006">
        <v>2</v>
      </c>
      <c r="B1006" t="s">
        <v>45</v>
      </c>
      <c r="C1006" t="s">
        <v>72</v>
      </c>
      <c r="D1006" t="s">
        <v>79</v>
      </c>
      <c r="E1006" t="s">
        <v>80</v>
      </c>
      <c r="F1006" t="s">
        <v>83</v>
      </c>
      <c r="G1006" t="s">
        <v>35</v>
      </c>
      <c r="H1006" t="s">
        <v>36</v>
      </c>
      <c r="I1006">
        <v>4012</v>
      </c>
    </row>
    <row r="1007" spans="1:9" ht="14.5" x14ac:dyDescent="0.35">
      <c r="A1007">
        <v>2</v>
      </c>
      <c r="B1007" t="s">
        <v>45</v>
      </c>
      <c r="C1007" t="s">
        <v>72</v>
      </c>
      <c r="D1007" t="s">
        <v>79</v>
      </c>
      <c r="E1007" t="s">
        <v>80</v>
      </c>
      <c r="F1007" t="s">
        <v>83</v>
      </c>
      <c r="G1007" t="s">
        <v>35</v>
      </c>
      <c r="H1007" t="s">
        <v>38</v>
      </c>
      <c r="I1007">
        <v>2075</v>
      </c>
    </row>
    <row r="1008" spans="1:9" ht="14.5" x14ac:dyDescent="0.35">
      <c r="A1008">
        <v>2</v>
      </c>
      <c r="B1008" t="s">
        <v>45</v>
      </c>
      <c r="C1008" t="s">
        <v>72</v>
      </c>
      <c r="D1008" t="s">
        <v>79</v>
      </c>
      <c r="E1008" t="s">
        <v>80</v>
      </c>
      <c r="F1008" t="s">
        <v>84</v>
      </c>
      <c r="G1008" t="s">
        <v>35</v>
      </c>
      <c r="H1008" t="s">
        <v>36</v>
      </c>
      <c r="I1008">
        <v>1600</v>
      </c>
    </row>
    <row r="1009" spans="1:9" ht="14.5" x14ac:dyDescent="0.35">
      <c r="A1009">
        <v>2</v>
      </c>
      <c r="B1009" t="s">
        <v>45</v>
      </c>
      <c r="C1009" t="s">
        <v>72</v>
      </c>
      <c r="D1009" t="s">
        <v>79</v>
      </c>
      <c r="E1009" t="s">
        <v>80</v>
      </c>
      <c r="F1009" t="s">
        <v>84</v>
      </c>
      <c r="G1009" t="s">
        <v>35</v>
      </c>
      <c r="H1009" t="s">
        <v>38</v>
      </c>
      <c r="I1009">
        <v>4939</v>
      </c>
    </row>
    <row r="1010" spans="1:9" ht="14.5" x14ac:dyDescent="0.35">
      <c r="A1010">
        <v>3</v>
      </c>
      <c r="B1010" t="s">
        <v>46</v>
      </c>
      <c r="C1010" t="s">
        <v>72</v>
      </c>
      <c r="D1010" t="s">
        <v>79</v>
      </c>
      <c r="E1010" t="s">
        <v>80</v>
      </c>
      <c r="F1010" t="s">
        <v>81</v>
      </c>
      <c r="G1010" t="s">
        <v>35</v>
      </c>
      <c r="H1010" t="s">
        <v>36</v>
      </c>
      <c r="I1010">
        <v>2988</v>
      </c>
    </row>
    <row r="1011" spans="1:9" ht="14.5" x14ac:dyDescent="0.35">
      <c r="A1011">
        <v>3</v>
      </c>
      <c r="B1011" t="s">
        <v>46</v>
      </c>
      <c r="C1011" t="s">
        <v>72</v>
      </c>
      <c r="D1011" t="s">
        <v>79</v>
      </c>
      <c r="E1011" t="s">
        <v>80</v>
      </c>
      <c r="F1011" t="s">
        <v>81</v>
      </c>
      <c r="G1011" t="s">
        <v>35</v>
      </c>
      <c r="H1011" t="s">
        <v>38</v>
      </c>
      <c r="I1011">
        <v>1588</v>
      </c>
    </row>
    <row r="1012" spans="1:9" ht="14.5" x14ac:dyDescent="0.35">
      <c r="A1012">
        <v>3</v>
      </c>
      <c r="B1012" t="s">
        <v>46</v>
      </c>
      <c r="C1012" t="s">
        <v>72</v>
      </c>
      <c r="D1012" t="s">
        <v>79</v>
      </c>
      <c r="E1012" t="s">
        <v>80</v>
      </c>
      <c r="F1012" t="s">
        <v>82</v>
      </c>
      <c r="G1012" t="s">
        <v>35</v>
      </c>
      <c r="H1012" t="s">
        <v>36</v>
      </c>
      <c r="I1012">
        <v>4983</v>
      </c>
    </row>
    <row r="1013" spans="1:9" ht="14.5" x14ac:dyDescent="0.35">
      <c r="A1013">
        <v>3</v>
      </c>
      <c r="B1013" t="s">
        <v>46</v>
      </c>
      <c r="C1013" t="s">
        <v>72</v>
      </c>
      <c r="D1013" t="s">
        <v>79</v>
      </c>
      <c r="E1013" t="s">
        <v>80</v>
      </c>
      <c r="F1013" t="s">
        <v>82</v>
      </c>
      <c r="G1013" t="s">
        <v>35</v>
      </c>
      <c r="H1013" t="s">
        <v>38</v>
      </c>
      <c r="I1013">
        <v>3537</v>
      </c>
    </row>
    <row r="1014" spans="1:9" ht="14.5" x14ac:dyDescent="0.35">
      <c r="A1014">
        <v>3</v>
      </c>
      <c r="B1014" t="s">
        <v>46</v>
      </c>
      <c r="C1014" t="s">
        <v>72</v>
      </c>
      <c r="D1014" t="s">
        <v>79</v>
      </c>
      <c r="E1014" t="s">
        <v>80</v>
      </c>
      <c r="F1014" t="s">
        <v>83</v>
      </c>
      <c r="G1014" t="s">
        <v>35</v>
      </c>
      <c r="H1014" t="s">
        <v>36</v>
      </c>
      <c r="I1014">
        <v>2206</v>
      </c>
    </row>
    <row r="1015" spans="1:9" ht="14.5" x14ac:dyDescent="0.35">
      <c r="A1015">
        <v>3</v>
      </c>
      <c r="B1015" t="s">
        <v>46</v>
      </c>
      <c r="C1015" t="s">
        <v>72</v>
      </c>
      <c r="D1015" t="s">
        <v>79</v>
      </c>
      <c r="E1015" t="s">
        <v>80</v>
      </c>
      <c r="F1015" t="s">
        <v>83</v>
      </c>
      <c r="G1015" t="s">
        <v>35</v>
      </c>
      <c r="H1015" t="s">
        <v>38</v>
      </c>
      <c r="I1015">
        <v>2644</v>
      </c>
    </row>
    <row r="1016" spans="1:9" ht="14.5" x14ac:dyDescent="0.35">
      <c r="A1016">
        <v>3</v>
      </c>
      <c r="B1016" t="s">
        <v>46</v>
      </c>
      <c r="C1016" t="s">
        <v>72</v>
      </c>
      <c r="D1016" t="s">
        <v>79</v>
      </c>
      <c r="E1016" t="s">
        <v>80</v>
      </c>
      <c r="F1016" t="s">
        <v>84</v>
      </c>
      <c r="G1016" t="s">
        <v>35</v>
      </c>
      <c r="H1016" t="s">
        <v>36</v>
      </c>
      <c r="I1016">
        <v>1243</v>
      </c>
    </row>
    <row r="1017" spans="1:9" ht="14.5" x14ac:dyDescent="0.35">
      <c r="A1017">
        <v>3</v>
      </c>
      <c r="B1017" t="s">
        <v>46</v>
      </c>
      <c r="C1017" t="s">
        <v>72</v>
      </c>
      <c r="D1017" t="s">
        <v>79</v>
      </c>
      <c r="E1017" t="s">
        <v>80</v>
      </c>
      <c r="F1017" t="s">
        <v>84</v>
      </c>
      <c r="G1017" t="s">
        <v>35</v>
      </c>
      <c r="H1017" t="s">
        <v>38</v>
      </c>
      <c r="I1017">
        <v>1779</v>
      </c>
    </row>
    <row r="1018" spans="1:9" ht="14.5" x14ac:dyDescent="0.35">
      <c r="A1018">
        <v>3</v>
      </c>
      <c r="B1018" t="s">
        <v>47</v>
      </c>
      <c r="C1018" t="s">
        <v>72</v>
      </c>
      <c r="D1018" t="s">
        <v>79</v>
      </c>
      <c r="E1018" t="s">
        <v>80</v>
      </c>
      <c r="F1018" t="s">
        <v>81</v>
      </c>
      <c r="G1018" t="s">
        <v>35</v>
      </c>
      <c r="H1018" t="s">
        <v>36</v>
      </c>
      <c r="I1018">
        <v>4779</v>
      </c>
    </row>
    <row r="1019" spans="1:9" ht="14.5" x14ac:dyDescent="0.35">
      <c r="A1019">
        <v>3</v>
      </c>
      <c r="B1019" t="s">
        <v>47</v>
      </c>
      <c r="C1019" t="s">
        <v>72</v>
      </c>
      <c r="D1019" t="s">
        <v>79</v>
      </c>
      <c r="E1019" t="s">
        <v>80</v>
      </c>
      <c r="F1019" t="s">
        <v>81</v>
      </c>
      <c r="G1019" t="s">
        <v>35</v>
      </c>
      <c r="H1019" t="s">
        <v>38</v>
      </c>
      <c r="I1019">
        <v>4487</v>
      </c>
    </row>
    <row r="1020" spans="1:9" ht="14.5" x14ac:dyDescent="0.35">
      <c r="A1020">
        <v>3</v>
      </c>
      <c r="B1020" t="s">
        <v>47</v>
      </c>
      <c r="C1020" t="s">
        <v>72</v>
      </c>
      <c r="D1020" t="s">
        <v>79</v>
      </c>
      <c r="E1020" t="s">
        <v>80</v>
      </c>
      <c r="F1020" t="s">
        <v>82</v>
      </c>
      <c r="G1020" t="s">
        <v>35</v>
      </c>
      <c r="H1020" t="s">
        <v>36</v>
      </c>
      <c r="I1020">
        <v>2334</v>
      </c>
    </row>
    <row r="1021" spans="1:9" ht="14.5" x14ac:dyDescent="0.35">
      <c r="A1021">
        <v>3</v>
      </c>
      <c r="B1021" t="s">
        <v>47</v>
      </c>
      <c r="C1021" t="s">
        <v>72</v>
      </c>
      <c r="D1021" t="s">
        <v>79</v>
      </c>
      <c r="E1021" t="s">
        <v>80</v>
      </c>
      <c r="F1021" t="s">
        <v>82</v>
      </c>
      <c r="G1021" t="s">
        <v>35</v>
      </c>
      <c r="H1021" t="s">
        <v>38</v>
      </c>
      <c r="I1021">
        <v>2800</v>
      </c>
    </row>
    <row r="1022" spans="1:9" ht="14.5" x14ac:dyDescent="0.35">
      <c r="A1022">
        <v>3</v>
      </c>
      <c r="B1022" t="s">
        <v>47</v>
      </c>
      <c r="C1022" t="s">
        <v>72</v>
      </c>
      <c r="D1022" t="s">
        <v>79</v>
      </c>
      <c r="E1022" t="s">
        <v>80</v>
      </c>
      <c r="F1022" t="s">
        <v>83</v>
      </c>
      <c r="G1022" t="s">
        <v>35</v>
      </c>
      <c r="H1022" t="s">
        <v>36</v>
      </c>
      <c r="I1022">
        <v>3934</v>
      </c>
    </row>
    <row r="1023" spans="1:9" ht="14.5" x14ac:dyDescent="0.35">
      <c r="A1023">
        <v>3</v>
      </c>
      <c r="B1023" t="s">
        <v>47</v>
      </c>
      <c r="C1023" t="s">
        <v>72</v>
      </c>
      <c r="D1023" t="s">
        <v>79</v>
      </c>
      <c r="E1023" t="s">
        <v>80</v>
      </c>
      <c r="F1023" t="s">
        <v>83</v>
      </c>
      <c r="G1023" t="s">
        <v>35</v>
      </c>
      <c r="H1023" t="s">
        <v>38</v>
      </c>
      <c r="I1023">
        <v>2028</v>
      </c>
    </row>
    <row r="1024" spans="1:9" ht="14.5" x14ac:dyDescent="0.35">
      <c r="A1024">
        <v>3</v>
      </c>
      <c r="B1024" t="s">
        <v>47</v>
      </c>
      <c r="C1024" t="s">
        <v>72</v>
      </c>
      <c r="D1024" t="s">
        <v>79</v>
      </c>
      <c r="E1024" t="s">
        <v>80</v>
      </c>
      <c r="F1024" t="s">
        <v>84</v>
      </c>
      <c r="G1024" t="s">
        <v>35</v>
      </c>
      <c r="H1024" t="s">
        <v>36</v>
      </c>
      <c r="I1024">
        <v>2543</v>
      </c>
    </row>
    <row r="1025" spans="1:9" ht="14.5" x14ac:dyDescent="0.35">
      <c r="A1025">
        <v>3</v>
      </c>
      <c r="B1025" t="s">
        <v>47</v>
      </c>
      <c r="C1025" t="s">
        <v>72</v>
      </c>
      <c r="D1025" t="s">
        <v>79</v>
      </c>
      <c r="E1025" t="s">
        <v>80</v>
      </c>
      <c r="F1025" t="s">
        <v>84</v>
      </c>
      <c r="G1025" t="s">
        <v>35</v>
      </c>
      <c r="H1025" t="s">
        <v>38</v>
      </c>
      <c r="I1025">
        <v>4269</v>
      </c>
    </row>
    <row r="1026" spans="1:9" ht="14.5" x14ac:dyDescent="0.35">
      <c r="A1026">
        <v>3</v>
      </c>
      <c r="B1026" t="s">
        <v>48</v>
      </c>
      <c r="C1026" t="s">
        <v>72</v>
      </c>
      <c r="D1026" t="s">
        <v>79</v>
      </c>
      <c r="E1026" t="s">
        <v>80</v>
      </c>
      <c r="F1026" t="s">
        <v>81</v>
      </c>
      <c r="G1026" t="s">
        <v>35</v>
      </c>
      <c r="H1026" t="s">
        <v>36</v>
      </c>
      <c r="I1026">
        <v>2823</v>
      </c>
    </row>
    <row r="1027" spans="1:9" ht="14.5" x14ac:dyDescent="0.35">
      <c r="A1027">
        <v>3</v>
      </c>
      <c r="B1027" t="s">
        <v>48</v>
      </c>
      <c r="C1027" t="s">
        <v>72</v>
      </c>
      <c r="D1027" t="s">
        <v>79</v>
      </c>
      <c r="E1027" t="s">
        <v>80</v>
      </c>
      <c r="F1027" t="s">
        <v>81</v>
      </c>
      <c r="G1027" t="s">
        <v>35</v>
      </c>
      <c r="H1027" t="s">
        <v>38</v>
      </c>
      <c r="I1027">
        <v>2307</v>
      </c>
    </row>
    <row r="1028" spans="1:9" ht="14.5" x14ac:dyDescent="0.35">
      <c r="A1028">
        <v>3</v>
      </c>
      <c r="B1028" t="s">
        <v>48</v>
      </c>
      <c r="C1028" t="s">
        <v>72</v>
      </c>
      <c r="D1028" t="s">
        <v>79</v>
      </c>
      <c r="E1028" t="s">
        <v>80</v>
      </c>
      <c r="F1028" t="s">
        <v>82</v>
      </c>
      <c r="G1028" t="s">
        <v>35</v>
      </c>
      <c r="H1028" t="s">
        <v>36</v>
      </c>
      <c r="I1028">
        <v>4275</v>
      </c>
    </row>
    <row r="1029" spans="1:9" ht="14.5" x14ac:dyDescent="0.35">
      <c r="A1029">
        <v>3</v>
      </c>
      <c r="B1029" t="s">
        <v>48</v>
      </c>
      <c r="C1029" t="s">
        <v>72</v>
      </c>
      <c r="D1029" t="s">
        <v>79</v>
      </c>
      <c r="E1029" t="s">
        <v>80</v>
      </c>
      <c r="F1029" t="s">
        <v>82</v>
      </c>
      <c r="G1029" t="s">
        <v>35</v>
      </c>
      <c r="H1029" t="s">
        <v>38</v>
      </c>
      <c r="I1029">
        <v>1754</v>
      </c>
    </row>
    <row r="1030" spans="1:9" ht="14.5" x14ac:dyDescent="0.35">
      <c r="A1030">
        <v>3</v>
      </c>
      <c r="B1030" t="s">
        <v>48</v>
      </c>
      <c r="C1030" t="s">
        <v>72</v>
      </c>
      <c r="D1030" t="s">
        <v>79</v>
      </c>
      <c r="E1030" t="s">
        <v>80</v>
      </c>
      <c r="F1030" t="s">
        <v>83</v>
      </c>
      <c r="G1030" t="s">
        <v>35</v>
      </c>
      <c r="H1030" t="s">
        <v>36</v>
      </c>
      <c r="I1030">
        <v>4334</v>
      </c>
    </row>
    <row r="1031" spans="1:9" ht="14.5" x14ac:dyDescent="0.35">
      <c r="A1031">
        <v>3</v>
      </c>
      <c r="B1031" t="s">
        <v>48</v>
      </c>
      <c r="C1031" t="s">
        <v>72</v>
      </c>
      <c r="D1031" t="s">
        <v>79</v>
      </c>
      <c r="E1031" t="s">
        <v>80</v>
      </c>
      <c r="F1031" t="s">
        <v>83</v>
      </c>
      <c r="G1031" t="s">
        <v>35</v>
      </c>
      <c r="H1031" t="s">
        <v>38</v>
      </c>
      <c r="I1031">
        <v>4480</v>
      </c>
    </row>
    <row r="1032" spans="1:9" ht="14.5" x14ac:dyDescent="0.35">
      <c r="A1032">
        <v>3</v>
      </c>
      <c r="B1032" t="s">
        <v>48</v>
      </c>
      <c r="C1032" t="s">
        <v>72</v>
      </c>
      <c r="D1032" t="s">
        <v>79</v>
      </c>
      <c r="E1032" t="s">
        <v>80</v>
      </c>
      <c r="F1032" t="s">
        <v>84</v>
      </c>
      <c r="G1032" t="s">
        <v>35</v>
      </c>
      <c r="H1032" t="s">
        <v>36</v>
      </c>
      <c r="I1032">
        <v>1067</v>
      </c>
    </row>
    <row r="1033" spans="1:9" ht="14.5" x14ac:dyDescent="0.35">
      <c r="A1033">
        <v>3</v>
      </c>
      <c r="B1033" t="s">
        <v>48</v>
      </c>
      <c r="C1033" t="s">
        <v>72</v>
      </c>
      <c r="D1033" t="s">
        <v>79</v>
      </c>
      <c r="E1033" t="s">
        <v>80</v>
      </c>
      <c r="F1033" t="s">
        <v>84</v>
      </c>
      <c r="G1033" t="s">
        <v>35</v>
      </c>
      <c r="H1033" t="s">
        <v>38</v>
      </c>
      <c r="I1033">
        <v>2549</v>
      </c>
    </row>
    <row r="1034" spans="1:9" ht="14.5" x14ac:dyDescent="0.35">
      <c r="A1034">
        <v>4</v>
      </c>
      <c r="B1034" t="s">
        <v>49</v>
      </c>
      <c r="C1034" t="s">
        <v>72</v>
      </c>
      <c r="D1034" t="s">
        <v>79</v>
      </c>
      <c r="E1034" t="s">
        <v>80</v>
      </c>
      <c r="F1034" t="s">
        <v>81</v>
      </c>
      <c r="G1034" t="s">
        <v>35</v>
      </c>
      <c r="H1034" t="s">
        <v>36</v>
      </c>
      <c r="I1034">
        <v>3990</v>
      </c>
    </row>
    <row r="1035" spans="1:9" ht="14.5" x14ac:dyDescent="0.35">
      <c r="A1035">
        <v>4</v>
      </c>
      <c r="B1035" t="s">
        <v>49</v>
      </c>
      <c r="C1035" t="s">
        <v>72</v>
      </c>
      <c r="D1035" t="s">
        <v>79</v>
      </c>
      <c r="E1035" t="s">
        <v>80</v>
      </c>
      <c r="F1035" t="s">
        <v>81</v>
      </c>
      <c r="G1035" t="s">
        <v>35</v>
      </c>
      <c r="H1035" t="s">
        <v>38</v>
      </c>
      <c r="I1035">
        <v>3429</v>
      </c>
    </row>
    <row r="1036" spans="1:9" ht="14.5" x14ac:dyDescent="0.35">
      <c r="A1036">
        <v>4</v>
      </c>
      <c r="B1036" t="s">
        <v>49</v>
      </c>
      <c r="C1036" t="s">
        <v>72</v>
      </c>
      <c r="D1036" t="s">
        <v>79</v>
      </c>
      <c r="E1036" t="s">
        <v>80</v>
      </c>
      <c r="F1036" t="s">
        <v>82</v>
      </c>
      <c r="G1036" t="s">
        <v>35</v>
      </c>
      <c r="H1036" t="s">
        <v>36</v>
      </c>
      <c r="I1036">
        <v>4182</v>
      </c>
    </row>
    <row r="1037" spans="1:9" ht="14.5" x14ac:dyDescent="0.35">
      <c r="A1037">
        <v>4</v>
      </c>
      <c r="B1037" t="s">
        <v>49</v>
      </c>
      <c r="C1037" t="s">
        <v>72</v>
      </c>
      <c r="D1037" t="s">
        <v>79</v>
      </c>
      <c r="E1037" t="s">
        <v>80</v>
      </c>
      <c r="F1037" t="s">
        <v>82</v>
      </c>
      <c r="G1037" t="s">
        <v>35</v>
      </c>
      <c r="H1037" t="s">
        <v>38</v>
      </c>
      <c r="I1037">
        <v>2381</v>
      </c>
    </row>
    <row r="1038" spans="1:9" ht="14.5" x14ac:dyDescent="0.35">
      <c r="A1038">
        <v>4</v>
      </c>
      <c r="B1038" t="s">
        <v>49</v>
      </c>
      <c r="C1038" t="s">
        <v>72</v>
      </c>
      <c r="D1038" t="s">
        <v>79</v>
      </c>
      <c r="E1038" t="s">
        <v>80</v>
      </c>
      <c r="F1038" t="s">
        <v>83</v>
      </c>
      <c r="G1038" t="s">
        <v>35</v>
      </c>
      <c r="H1038" t="s">
        <v>36</v>
      </c>
      <c r="I1038">
        <v>2424</v>
      </c>
    </row>
    <row r="1039" spans="1:9" ht="14.5" x14ac:dyDescent="0.35">
      <c r="A1039">
        <v>4</v>
      </c>
      <c r="B1039" t="s">
        <v>49</v>
      </c>
      <c r="C1039" t="s">
        <v>72</v>
      </c>
      <c r="D1039" t="s">
        <v>79</v>
      </c>
      <c r="E1039" t="s">
        <v>80</v>
      </c>
      <c r="F1039" t="s">
        <v>83</v>
      </c>
      <c r="G1039" t="s">
        <v>35</v>
      </c>
      <c r="H1039" t="s">
        <v>38</v>
      </c>
      <c r="I1039">
        <v>1465</v>
      </c>
    </row>
    <row r="1040" spans="1:9" ht="14.5" x14ac:dyDescent="0.35">
      <c r="A1040">
        <v>4</v>
      </c>
      <c r="B1040" t="s">
        <v>49</v>
      </c>
      <c r="C1040" t="s">
        <v>72</v>
      </c>
      <c r="D1040" t="s">
        <v>79</v>
      </c>
      <c r="E1040" t="s">
        <v>80</v>
      </c>
      <c r="F1040" t="s">
        <v>84</v>
      </c>
      <c r="G1040" t="s">
        <v>35</v>
      </c>
      <c r="H1040" t="s">
        <v>36</v>
      </c>
      <c r="I1040">
        <v>4049</v>
      </c>
    </row>
    <row r="1041" spans="1:9" ht="14.5" x14ac:dyDescent="0.35">
      <c r="A1041">
        <v>4</v>
      </c>
      <c r="B1041" t="s">
        <v>49</v>
      </c>
      <c r="C1041" t="s">
        <v>72</v>
      </c>
      <c r="D1041" t="s">
        <v>79</v>
      </c>
      <c r="E1041" t="s">
        <v>80</v>
      </c>
      <c r="F1041" t="s">
        <v>84</v>
      </c>
      <c r="G1041" t="s">
        <v>35</v>
      </c>
      <c r="H1041" t="s">
        <v>38</v>
      </c>
      <c r="I1041">
        <v>1934</v>
      </c>
    </row>
    <row r="1042" spans="1:9" ht="14.5" x14ac:dyDescent="0.35">
      <c r="A1042">
        <v>4</v>
      </c>
      <c r="B1042" t="s">
        <v>50</v>
      </c>
      <c r="C1042" t="s">
        <v>72</v>
      </c>
      <c r="D1042" t="s">
        <v>79</v>
      </c>
      <c r="E1042" t="s">
        <v>80</v>
      </c>
      <c r="F1042" t="s">
        <v>81</v>
      </c>
      <c r="G1042" t="s">
        <v>35</v>
      </c>
      <c r="H1042" t="s">
        <v>36</v>
      </c>
      <c r="I1042">
        <v>2426</v>
      </c>
    </row>
    <row r="1043" spans="1:9" ht="14.5" x14ac:dyDescent="0.35">
      <c r="A1043">
        <v>4</v>
      </c>
      <c r="B1043" t="s">
        <v>50</v>
      </c>
      <c r="C1043" t="s">
        <v>72</v>
      </c>
      <c r="D1043" t="s">
        <v>79</v>
      </c>
      <c r="E1043" t="s">
        <v>80</v>
      </c>
      <c r="F1043" t="s">
        <v>81</v>
      </c>
      <c r="G1043" t="s">
        <v>35</v>
      </c>
      <c r="H1043" t="s">
        <v>38</v>
      </c>
      <c r="I1043">
        <v>3322</v>
      </c>
    </row>
    <row r="1044" spans="1:9" ht="14.5" x14ac:dyDescent="0.35">
      <c r="A1044">
        <v>4</v>
      </c>
      <c r="B1044" t="s">
        <v>50</v>
      </c>
      <c r="C1044" t="s">
        <v>72</v>
      </c>
      <c r="D1044" t="s">
        <v>79</v>
      </c>
      <c r="E1044" t="s">
        <v>80</v>
      </c>
      <c r="F1044" t="s">
        <v>82</v>
      </c>
      <c r="G1044" t="s">
        <v>35</v>
      </c>
      <c r="H1044" t="s">
        <v>36</v>
      </c>
      <c r="I1044">
        <v>4555</v>
      </c>
    </row>
    <row r="1045" spans="1:9" ht="14.5" x14ac:dyDescent="0.35">
      <c r="A1045">
        <v>4</v>
      </c>
      <c r="B1045" t="s">
        <v>50</v>
      </c>
      <c r="C1045" t="s">
        <v>72</v>
      </c>
      <c r="D1045" t="s">
        <v>79</v>
      </c>
      <c r="E1045" t="s">
        <v>80</v>
      </c>
      <c r="F1045" t="s">
        <v>82</v>
      </c>
      <c r="G1045" t="s">
        <v>35</v>
      </c>
      <c r="H1045" t="s">
        <v>38</v>
      </c>
      <c r="I1045">
        <v>4087</v>
      </c>
    </row>
    <row r="1046" spans="1:9" ht="14.5" x14ac:dyDescent="0.35">
      <c r="A1046">
        <v>4</v>
      </c>
      <c r="B1046" t="s">
        <v>50</v>
      </c>
      <c r="C1046" t="s">
        <v>72</v>
      </c>
      <c r="D1046" t="s">
        <v>79</v>
      </c>
      <c r="E1046" t="s">
        <v>80</v>
      </c>
      <c r="F1046" t="s">
        <v>83</v>
      </c>
      <c r="G1046" t="s">
        <v>35</v>
      </c>
      <c r="H1046" t="s">
        <v>36</v>
      </c>
      <c r="I1046">
        <v>2307</v>
      </c>
    </row>
    <row r="1047" spans="1:9" ht="14.5" x14ac:dyDescent="0.35">
      <c r="A1047">
        <v>4</v>
      </c>
      <c r="B1047" t="s">
        <v>50</v>
      </c>
      <c r="C1047" t="s">
        <v>72</v>
      </c>
      <c r="D1047" t="s">
        <v>79</v>
      </c>
      <c r="E1047" t="s">
        <v>80</v>
      </c>
      <c r="F1047" t="s">
        <v>83</v>
      </c>
      <c r="G1047" t="s">
        <v>35</v>
      </c>
      <c r="H1047" t="s">
        <v>38</v>
      </c>
      <c r="I1047">
        <v>3468</v>
      </c>
    </row>
    <row r="1048" spans="1:9" ht="14.5" x14ac:dyDescent="0.35">
      <c r="A1048">
        <v>4</v>
      </c>
      <c r="B1048" t="s">
        <v>50</v>
      </c>
      <c r="C1048" t="s">
        <v>72</v>
      </c>
      <c r="D1048" t="s">
        <v>79</v>
      </c>
      <c r="E1048" t="s">
        <v>80</v>
      </c>
      <c r="F1048" t="s">
        <v>84</v>
      </c>
      <c r="G1048" t="s">
        <v>35</v>
      </c>
      <c r="H1048" t="s">
        <v>36</v>
      </c>
      <c r="I1048">
        <v>4983</v>
      </c>
    </row>
    <row r="1049" spans="1:9" ht="14.5" x14ac:dyDescent="0.35">
      <c r="A1049">
        <v>4</v>
      </c>
      <c r="B1049" t="s">
        <v>50</v>
      </c>
      <c r="C1049" t="s">
        <v>72</v>
      </c>
      <c r="D1049" t="s">
        <v>79</v>
      </c>
      <c r="E1049" t="s">
        <v>80</v>
      </c>
      <c r="F1049" t="s">
        <v>84</v>
      </c>
      <c r="G1049" t="s">
        <v>35</v>
      </c>
      <c r="H1049" t="s">
        <v>38</v>
      </c>
      <c r="I1049">
        <v>4308</v>
      </c>
    </row>
    <row r="1050" spans="1:9" ht="14.5" x14ac:dyDescent="0.35">
      <c r="A1050">
        <v>4</v>
      </c>
      <c r="B1050" t="s">
        <v>51</v>
      </c>
      <c r="C1050" t="s">
        <v>72</v>
      </c>
      <c r="D1050" t="s">
        <v>79</v>
      </c>
      <c r="E1050" t="s">
        <v>80</v>
      </c>
      <c r="F1050" t="s">
        <v>81</v>
      </c>
      <c r="G1050" t="s">
        <v>35</v>
      </c>
      <c r="H1050" t="s">
        <v>36</v>
      </c>
      <c r="I1050">
        <v>3754</v>
      </c>
    </row>
    <row r="1051" spans="1:9" ht="14.5" x14ac:dyDescent="0.35">
      <c r="A1051">
        <v>4</v>
      </c>
      <c r="B1051" t="s">
        <v>51</v>
      </c>
      <c r="C1051" t="s">
        <v>72</v>
      </c>
      <c r="D1051" t="s">
        <v>79</v>
      </c>
      <c r="E1051" t="s">
        <v>80</v>
      </c>
      <c r="F1051" t="s">
        <v>81</v>
      </c>
      <c r="G1051" t="s">
        <v>35</v>
      </c>
      <c r="H1051" t="s">
        <v>38</v>
      </c>
      <c r="I1051">
        <v>2341</v>
      </c>
    </row>
    <row r="1052" spans="1:9" ht="14.5" x14ac:dyDescent="0.35">
      <c r="A1052">
        <v>4</v>
      </c>
      <c r="B1052" t="s">
        <v>51</v>
      </c>
      <c r="C1052" t="s">
        <v>72</v>
      </c>
      <c r="D1052" t="s">
        <v>79</v>
      </c>
      <c r="E1052" t="s">
        <v>80</v>
      </c>
      <c r="F1052" t="s">
        <v>82</v>
      </c>
      <c r="G1052" t="s">
        <v>35</v>
      </c>
      <c r="H1052" t="s">
        <v>36</v>
      </c>
      <c r="I1052">
        <v>1022</v>
      </c>
    </row>
    <row r="1053" spans="1:9" ht="14.5" x14ac:dyDescent="0.35">
      <c r="A1053">
        <v>4</v>
      </c>
      <c r="B1053" t="s">
        <v>51</v>
      </c>
      <c r="C1053" t="s">
        <v>72</v>
      </c>
      <c r="D1053" t="s">
        <v>79</v>
      </c>
      <c r="E1053" t="s">
        <v>80</v>
      </c>
      <c r="F1053" t="s">
        <v>82</v>
      </c>
      <c r="G1053" t="s">
        <v>35</v>
      </c>
      <c r="H1053" t="s">
        <v>38</v>
      </c>
      <c r="I1053">
        <v>3757</v>
      </c>
    </row>
    <row r="1054" spans="1:9" ht="14.5" x14ac:dyDescent="0.35">
      <c r="A1054">
        <v>4</v>
      </c>
      <c r="B1054" t="s">
        <v>51</v>
      </c>
      <c r="C1054" t="s">
        <v>72</v>
      </c>
      <c r="D1054" t="s">
        <v>79</v>
      </c>
      <c r="E1054" t="s">
        <v>80</v>
      </c>
      <c r="F1054" t="s">
        <v>83</v>
      </c>
      <c r="G1054" t="s">
        <v>35</v>
      </c>
      <c r="H1054" t="s">
        <v>36</v>
      </c>
      <c r="I1054">
        <v>2107</v>
      </c>
    </row>
    <row r="1055" spans="1:9" ht="14.5" x14ac:dyDescent="0.35">
      <c r="A1055">
        <v>4</v>
      </c>
      <c r="B1055" t="s">
        <v>51</v>
      </c>
      <c r="C1055" t="s">
        <v>72</v>
      </c>
      <c r="D1055" t="s">
        <v>79</v>
      </c>
      <c r="E1055" t="s">
        <v>80</v>
      </c>
      <c r="F1055" t="s">
        <v>83</v>
      </c>
      <c r="G1055" t="s">
        <v>35</v>
      </c>
      <c r="H1055" t="s">
        <v>38</v>
      </c>
      <c r="I1055">
        <v>1559</v>
      </c>
    </row>
    <row r="1056" spans="1:9" ht="14.5" x14ac:dyDescent="0.35">
      <c r="A1056">
        <v>4</v>
      </c>
      <c r="B1056" t="s">
        <v>51</v>
      </c>
      <c r="C1056" t="s">
        <v>72</v>
      </c>
      <c r="D1056" t="s">
        <v>79</v>
      </c>
      <c r="E1056" t="s">
        <v>80</v>
      </c>
      <c r="F1056" t="s">
        <v>84</v>
      </c>
      <c r="G1056" t="s">
        <v>35</v>
      </c>
      <c r="H1056" t="s">
        <v>36</v>
      </c>
      <c r="I1056">
        <v>4211</v>
      </c>
    </row>
    <row r="1057" spans="1:9" ht="14.5" x14ac:dyDescent="0.35">
      <c r="A1057">
        <v>4</v>
      </c>
      <c r="B1057" t="s">
        <v>51</v>
      </c>
      <c r="C1057" t="s">
        <v>72</v>
      </c>
      <c r="D1057" t="s">
        <v>79</v>
      </c>
      <c r="E1057" t="s">
        <v>80</v>
      </c>
      <c r="F1057" t="s">
        <v>84</v>
      </c>
      <c r="G1057" t="s">
        <v>35</v>
      </c>
      <c r="H1057" t="s">
        <v>38</v>
      </c>
      <c r="I1057">
        <v>2659</v>
      </c>
    </row>
    <row r="1058" spans="1:9" ht="14.5" x14ac:dyDescent="0.35">
      <c r="A1058">
        <v>1</v>
      </c>
      <c r="B1058" t="s">
        <v>30</v>
      </c>
      <c r="C1058" t="s">
        <v>72</v>
      </c>
      <c r="D1058" t="s">
        <v>79</v>
      </c>
      <c r="E1058" t="s">
        <v>80</v>
      </c>
      <c r="F1058" t="s">
        <v>82</v>
      </c>
      <c r="G1058" t="s">
        <v>52</v>
      </c>
      <c r="H1058" t="s">
        <v>38</v>
      </c>
      <c r="I1058">
        <v>1363</v>
      </c>
    </row>
    <row r="1059" spans="1:9" ht="14.5" x14ac:dyDescent="0.35">
      <c r="A1059">
        <v>1</v>
      </c>
      <c r="B1059" t="s">
        <v>30</v>
      </c>
      <c r="C1059" t="s">
        <v>72</v>
      </c>
      <c r="D1059" t="s">
        <v>79</v>
      </c>
      <c r="E1059" t="s">
        <v>80</v>
      </c>
      <c r="F1059" t="s">
        <v>81</v>
      </c>
      <c r="G1059" t="s">
        <v>52</v>
      </c>
      <c r="H1059" t="s">
        <v>36</v>
      </c>
      <c r="I1059">
        <v>3093</v>
      </c>
    </row>
    <row r="1060" spans="1:9" ht="14.5" x14ac:dyDescent="0.35">
      <c r="A1060">
        <v>1</v>
      </c>
      <c r="B1060" t="s">
        <v>30</v>
      </c>
      <c r="C1060" t="s">
        <v>72</v>
      </c>
      <c r="D1060" t="s">
        <v>79</v>
      </c>
      <c r="E1060" t="s">
        <v>80</v>
      </c>
      <c r="F1060" t="s">
        <v>81</v>
      </c>
      <c r="G1060" t="s">
        <v>52</v>
      </c>
      <c r="H1060" t="s">
        <v>38</v>
      </c>
      <c r="I1060">
        <v>3375</v>
      </c>
    </row>
    <row r="1061" spans="1:9" ht="14.5" x14ac:dyDescent="0.35">
      <c r="A1061">
        <v>1</v>
      </c>
      <c r="B1061" t="s">
        <v>30</v>
      </c>
      <c r="C1061" t="s">
        <v>72</v>
      </c>
      <c r="D1061" t="s">
        <v>79</v>
      </c>
      <c r="E1061" t="s">
        <v>80</v>
      </c>
      <c r="F1061" t="s">
        <v>82</v>
      </c>
      <c r="G1061" t="s">
        <v>52</v>
      </c>
      <c r="H1061" t="s">
        <v>36</v>
      </c>
      <c r="I1061">
        <v>2191</v>
      </c>
    </row>
    <row r="1062" spans="1:9" ht="14.5" x14ac:dyDescent="0.35">
      <c r="A1062">
        <v>1</v>
      </c>
      <c r="B1062" t="s">
        <v>30</v>
      </c>
      <c r="C1062" t="s">
        <v>72</v>
      </c>
      <c r="D1062" t="s">
        <v>79</v>
      </c>
      <c r="E1062" t="s">
        <v>80</v>
      </c>
      <c r="F1062" t="s">
        <v>83</v>
      </c>
      <c r="G1062" t="s">
        <v>52</v>
      </c>
      <c r="H1062" t="s">
        <v>36</v>
      </c>
      <c r="I1062">
        <v>4519</v>
      </c>
    </row>
    <row r="1063" spans="1:9" ht="14.5" x14ac:dyDescent="0.35">
      <c r="A1063">
        <v>1</v>
      </c>
      <c r="B1063" t="s">
        <v>30</v>
      </c>
      <c r="C1063" t="s">
        <v>72</v>
      </c>
      <c r="D1063" t="s">
        <v>79</v>
      </c>
      <c r="E1063" t="s">
        <v>80</v>
      </c>
      <c r="F1063" t="s">
        <v>83</v>
      </c>
      <c r="G1063" t="s">
        <v>52</v>
      </c>
      <c r="H1063" t="s">
        <v>38</v>
      </c>
      <c r="I1063">
        <v>3195</v>
      </c>
    </row>
    <row r="1064" spans="1:9" ht="14.5" x14ac:dyDescent="0.35">
      <c r="A1064">
        <v>1</v>
      </c>
      <c r="B1064" t="s">
        <v>30</v>
      </c>
      <c r="C1064" t="s">
        <v>72</v>
      </c>
      <c r="D1064" t="s">
        <v>79</v>
      </c>
      <c r="E1064" t="s">
        <v>80</v>
      </c>
      <c r="F1064" t="s">
        <v>84</v>
      </c>
      <c r="G1064" t="s">
        <v>52</v>
      </c>
      <c r="H1064" t="s">
        <v>36</v>
      </c>
      <c r="I1064">
        <v>1988</v>
      </c>
    </row>
    <row r="1065" spans="1:9" ht="14.5" x14ac:dyDescent="0.35">
      <c r="A1065">
        <v>1</v>
      </c>
      <c r="B1065" t="s">
        <v>30</v>
      </c>
      <c r="C1065" t="s">
        <v>72</v>
      </c>
      <c r="D1065" t="s">
        <v>79</v>
      </c>
      <c r="E1065" t="s">
        <v>80</v>
      </c>
      <c r="F1065" t="s">
        <v>84</v>
      </c>
      <c r="G1065" t="s">
        <v>52</v>
      </c>
      <c r="H1065" t="s">
        <v>38</v>
      </c>
      <c r="I1065">
        <v>2578</v>
      </c>
    </row>
    <row r="1066" spans="1:9" ht="14.5" x14ac:dyDescent="0.35">
      <c r="A1066">
        <v>1</v>
      </c>
      <c r="B1066" t="s">
        <v>41</v>
      </c>
      <c r="C1066" t="s">
        <v>72</v>
      </c>
      <c r="D1066" t="s">
        <v>79</v>
      </c>
      <c r="E1066" t="s">
        <v>80</v>
      </c>
      <c r="F1066" t="s">
        <v>81</v>
      </c>
      <c r="G1066" t="s">
        <v>52</v>
      </c>
      <c r="H1066" t="s">
        <v>36</v>
      </c>
      <c r="I1066">
        <v>1297</v>
      </c>
    </row>
    <row r="1067" spans="1:9" ht="14.5" x14ac:dyDescent="0.35">
      <c r="A1067">
        <v>1</v>
      </c>
      <c r="B1067" t="s">
        <v>41</v>
      </c>
      <c r="C1067" t="s">
        <v>72</v>
      </c>
      <c r="D1067" t="s">
        <v>79</v>
      </c>
      <c r="E1067" t="s">
        <v>80</v>
      </c>
      <c r="F1067" t="s">
        <v>81</v>
      </c>
      <c r="G1067" t="s">
        <v>52</v>
      </c>
      <c r="H1067" t="s">
        <v>38</v>
      </c>
      <c r="I1067">
        <v>2059</v>
      </c>
    </row>
    <row r="1068" spans="1:9" ht="14.5" x14ac:dyDescent="0.35">
      <c r="A1068">
        <v>1</v>
      </c>
      <c r="B1068" t="s">
        <v>41</v>
      </c>
      <c r="C1068" t="s">
        <v>72</v>
      </c>
      <c r="D1068" t="s">
        <v>79</v>
      </c>
      <c r="E1068" t="s">
        <v>80</v>
      </c>
      <c r="F1068" t="s">
        <v>82</v>
      </c>
      <c r="G1068" t="s">
        <v>52</v>
      </c>
      <c r="H1068" t="s">
        <v>36</v>
      </c>
      <c r="I1068">
        <v>1519</v>
      </c>
    </row>
    <row r="1069" spans="1:9" ht="14.5" x14ac:dyDescent="0.35">
      <c r="A1069">
        <v>1</v>
      </c>
      <c r="B1069" t="s">
        <v>41</v>
      </c>
      <c r="C1069" t="s">
        <v>72</v>
      </c>
      <c r="D1069" t="s">
        <v>79</v>
      </c>
      <c r="E1069" t="s">
        <v>80</v>
      </c>
      <c r="F1069" t="s">
        <v>82</v>
      </c>
      <c r="G1069" t="s">
        <v>52</v>
      </c>
      <c r="H1069" t="s">
        <v>38</v>
      </c>
      <c r="I1069">
        <v>1265</v>
      </c>
    </row>
    <row r="1070" spans="1:9" ht="14.5" x14ac:dyDescent="0.35">
      <c r="A1070">
        <v>1</v>
      </c>
      <c r="B1070" t="s">
        <v>41</v>
      </c>
      <c r="C1070" t="s">
        <v>72</v>
      </c>
      <c r="D1070" t="s">
        <v>79</v>
      </c>
      <c r="E1070" t="s">
        <v>80</v>
      </c>
      <c r="F1070" t="s">
        <v>83</v>
      </c>
      <c r="G1070" t="s">
        <v>52</v>
      </c>
      <c r="H1070" t="s">
        <v>36</v>
      </c>
      <c r="I1070">
        <v>2215</v>
      </c>
    </row>
    <row r="1071" spans="1:9" ht="14.5" x14ac:dyDescent="0.35">
      <c r="A1071">
        <v>1</v>
      </c>
      <c r="B1071" t="s">
        <v>41</v>
      </c>
      <c r="C1071" t="s">
        <v>72</v>
      </c>
      <c r="D1071" t="s">
        <v>79</v>
      </c>
      <c r="E1071" t="s">
        <v>80</v>
      </c>
      <c r="F1071" t="s">
        <v>83</v>
      </c>
      <c r="G1071" t="s">
        <v>52</v>
      </c>
      <c r="H1071" t="s">
        <v>38</v>
      </c>
      <c r="I1071">
        <v>4679</v>
      </c>
    </row>
    <row r="1072" spans="1:9" ht="14.5" x14ac:dyDescent="0.35">
      <c r="A1072">
        <v>1</v>
      </c>
      <c r="B1072" t="s">
        <v>41</v>
      </c>
      <c r="C1072" t="s">
        <v>72</v>
      </c>
      <c r="D1072" t="s">
        <v>79</v>
      </c>
      <c r="E1072" t="s">
        <v>80</v>
      </c>
      <c r="F1072" t="s">
        <v>84</v>
      </c>
      <c r="G1072" t="s">
        <v>52</v>
      </c>
      <c r="H1072" t="s">
        <v>36</v>
      </c>
      <c r="I1072">
        <v>3357</v>
      </c>
    </row>
    <row r="1073" spans="1:9" ht="14.5" x14ac:dyDescent="0.35">
      <c r="A1073">
        <v>1</v>
      </c>
      <c r="B1073" t="s">
        <v>41</v>
      </c>
      <c r="C1073" t="s">
        <v>72</v>
      </c>
      <c r="D1073" t="s">
        <v>79</v>
      </c>
      <c r="E1073" t="s">
        <v>80</v>
      </c>
      <c r="F1073" t="s">
        <v>84</v>
      </c>
      <c r="G1073" t="s">
        <v>52</v>
      </c>
      <c r="H1073" t="s">
        <v>38</v>
      </c>
      <c r="I1073">
        <v>3653</v>
      </c>
    </row>
    <row r="1074" spans="1:9" ht="14.5" x14ac:dyDescent="0.35">
      <c r="A1074">
        <v>1</v>
      </c>
      <c r="B1074" t="s">
        <v>42</v>
      </c>
      <c r="C1074" t="s">
        <v>72</v>
      </c>
      <c r="D1074" t="s">
        <v>79</v>
      </c>
      <c r="E1074" t="s">
        <v>80</v>
      </c>
      <c r="F1074" t="s">
        <v>81</v>
      </c>
      <c r="G1074" t="s">
        <v>52</v>
      </c>
      <c r="H1074" t="s">
        <v>36</v>
      </c>
      <c r="I1074">
        <v>1532</v>
      </c>
    </row>
    <row r="1075" spans="1:9" ht="14.5" x14ac:dyDescent="0.35">
      <c r="A1075">
        <v>1</v>
      </c>
      <c r="B1075" t="s">
        <v>42</v>
      </c>
      <c r="C1075" t="s">
        <v>72</v>
      </c>
      <c r="D1075" t="s">
        <v>79</v>
      </c>
      <c r="E1075" t="s">
        <v>80</v>
      </c>
      <c r="F1075" t="s">
        <v>81</v>
      </c>
      <c r="G1075" t="s">
        <v>52</v>
      </c>
      <c r="H1075" t="s">
        <v>38</v>
      </c>
      <c r="I1075">
        <v>3139</v>
      </c>
    </row>
    <row r="1076" spans="1:9" ht="14.5" x14ac:dyDescent="0.35">
      <c r="A1076">
        <v>1</v>
      </c>
      <c r="B1076" t="s">
        <v>42</v>
      </c>
      <c r="C1076" t="s">
        <v>72</v>
      </c>
      <c r="D1076" t="s">
        <v>79</v>
      </c>
      <c r="E1076" t="s">
        <v>80</v>
      </c>
      <c r="F1076" t="s">
        <v>82</v>
      </c>
      <c r="G1076" t="s">
        <v>52</v>
      </c>
      <c r="H1076" t="s">
        <v>36</v>
      </c>
      <c r="I1076">
        <v>4887</v>
      </c>
    </row>
    <row r="1077" spans="1:9" ht="14.5" x14ac:dyDescent="0.35">
      <c r="A1077">
        <v>1</v>
      </c>
      <c r="B1077" t="s">
        <v>42</v>
      </c>
      <c r="C1077" t="s">
        <v>72</v>
      </c>
      <c r="D1077" t="s">
        <v>79</v>
      </c>
      <c r="E1077" t="s">
        <v>80</v>
      </c>
      <c r="F1077" t="s">
        <v>82</v>
      </c>
      <c r="G1077" t="s">
        <v>52</v>
      </c>
      <c r="H1077" t="s">
        <v>38</v>
      </c>
      <c r="I1077">
        <v>3946</v>
      </c>
    </row>
    <row r="1078" spans="1:9" ht="14.5" x14ac:dyDescent="0.35">
      <c r="A1078">
        <v>1</v>
      </c>
      <c r="B1078" t="s">
        <v>42</v>
      </c>
      <c r="C1078" t="s">
        <v>72</v>
      </c>
      <c r="D1078" t="s">
        <v>79</v>
      </c>
      <c r="E1078" t="s">
        <v>80</v>
      </c>
      <c r="F1078" t="s">
        <v>83</v>
      </c>
      <c r="G1078" t="s">
        <v>52</v>
      </c>
      <c r="H1078" t="s">
        <v>36</v>
      </c>
      <c r="I1078">
        <v>4400</v>
      </c>
    </row>
    <row r="1079" spans="1:9" ht="14.5" x14ac:dyDescent="0.35">
      <c r="A1079">
        <v>1</v>
      </c>
      <c r="B1079" t="s">
        <v>42</v>
      </c>
      <c r="C1079" t="s">
        <v>72</v>
      </c>
      <c r="D1079" t="s">
        <v>79</v>
      </c>
      <c r="E1079" t="s">
        <v>80</v>
      </c>
      <c r="F1079" t="s">
        <v>83</v>
      </c>
      <c r="G1079" t="s">
        <v>52</v>
      </c>
      <c r="H1079" t="s">
        <v>38</v>
      </c>
      <c r="I1079">
        <v>1149</v>
      </c>
    </row>
    <row r="1080" spans="1:9" ht="14.5" x14ac:dyDescent="0.35">
      <c r="A1080">
        <v>1</v>
      </c>
      <c r="B1080" t="s">
        <v>42</v>
      </c>
      <c r="C1080" t="s">
        <v>72</v>
      </c>
      <c r="D1080" t="s">
        <v>79</v>
      </c>
      <c r="E1080" t="s">
        <v>80</v>
      </c>
      <c r="F1080" t="s">
        <v>84</v>
      </c>
      <c r="G1080" t="s">
        <v>52</v>
      </c>
      <c r="H1080" t="s">
        <v>36</v>
      </c>
      <c r="I1080">
        <v>3594</v>
      </c>
    </row>
    <row r="1081" spans="1:9" ht="14.5" x14ac:dyDescent="0.35">
      <c r="A1081">
        <v>1</v>
      </c>
      <c r="B1081" t="s">
        <v>42</v>
      </c>
      <c r="C1081" t="s">
        <v>72</v>
      </c>
      <c r="D1081" t="s">
        <v>79</v>
      </c>
      <c r="E1081" t="s">
        <v>80</v>
      </c>
      <c r="F1081" t="s">
        <v>84</v>
      </c>
      <c r="G1081" t="s">
        <v>52</v>
      </c>
      <c r="H1081" t="s">
        <v>38</v>
      </c>
      <c r="I1081">
        <v>1452</v>
      </c>
    </row>
    <row r="1082" spans="1:9" ht="14.5" x14ac:dyDescent="0.35">
      <c r="A1082">
        <v>2</v>
      </c>
      <c r="B1082" t="s">
        <v>43</v>
      </c>
      <c r="C1082" t="s">
        <v>72</v>
      </c>
      <c r="D1082" t="s">
        <v>79</v>
      </c>
      <c r="E1082" t="s">
        <v>80</v>
      </c>
      <c r="F1082" t="s">
        <v>81</v>
      </c>
      <c r="G1082" t="s">
        <v>52</v>
      </c>
      <c r="H1082" t="s">
        <v>36</v>
      </c>
      <c r="I1082">
        <v>4044</v>
      </c>
    </row>
    <row r="1083" spans="1:9" ht="14.5" x14ac:dyDescent="0.35">
      <c r="A1083">
        <v>2</v>
      </c>
      <c r="B1083" t="s">
        <v>43</v>
      </c>
      <c r="C1083" t="s">
        <v>72</v>
      </c>
      <c r="D1083" t="s">
        <v>79</v>
      </c>
      <c r="E1083" t="s">
        <v>80</v>
      </c>
      <c r="F1083" t="s">
        <v>81</v>
      </c>
      <c r="G1083" t="s">
        <v>52</v>
      </c>
      <c r="H1083" t="s">
        <v>38</v>
      </c>
      <c r="I1083">
        <v>2136</v>
      </c>
    </row>
    <row r="1084" spans="1:9" ht="14.5" x14ac:dyDescent="0.35">
      <c r="A1084">
        <v>2</v>
      </c>
      <c r="B1084" t="s">
        <v>43</v>
      </c>
      <c r="C1084" t="s">
        <v>72</v>
      </c>
      <c r="D1084" t="s">
        <v>79</v>
      </c>
      <c r="E1084" t="s">
        <v>80</v>
      </c>
      <c r="F1084" t="s">
        <v>82</v>
      </c>
      <c r="G1084" t="s">
        <v>52</v>
      </c>
      <c r="H1084" t="s">
        <v>36</v>
      </c>
      <c r="I1084">
        <v>2108</v>
      </c>
    </row>
    <row r="1085" spans="1:9" ht="14.5" x14ac:dyDescent="0.35">
      <c r="A1085">
        <v>2</v>
      </c>
      <c r="B1085" t="s">
        <v>43</v>
      </c>
      <c r="C1085" t="s">
        <v>72</v>
      </c>
      <c r="D1085" t="s">
        <v>79</v>
      </c>
      <c r="E1085" t="s">
        <v>80</v>
      </c>
      <c r="F1085" t="s">
        <v>82</v>
      </c>
      <c r="G1085" t="s">
        <v>52</v>
      </c>
      <c r="H1085" t="s">
        <v>38</v>
      </c>
      <c r="I1085">
        <v>3172</v>
      </c>
    </row>
    <row r="1086" spans="1:9" ht="14.5" x14ac:dyDescent="0.35">
      <c r="A1086">
        <v>2</v>
      </c>
      <c r="B1086" t="s">
        <v>43</v>
      </c>
      <c r="C1086" t="s">
        <v>72</v>
      </c>
      <c r="D1086" t="s">
        <v>79</v>
      </c>
      <c r="E1086" t="s">
        <v>80</v>
      </c>
      <c r="F1086" t="s">
        <v>83</v>
      </c>
      <c r="G1086" t="s">
        <v>52</v>
      </c>
      <c r="H1086" t="s">
        <v>36</v>
      </c>
      <c r="I1086">
        <v>4309</v>
      </c>
    </row>
    <row r="1087" spans="1:9" ht="14.5" x14ac:dyDescent="0.35">
      <c r="A1087">
        <v>2</v>
      </c>
      <c r="B1087" t="s">
        <v>43</v>
      </c>
      <c r="C1087" t="s">
        <v>72</v>
      </c>
      <c r="D1087" t="s">
        <v>79</v>
      </c>
      <c r="E1087" t="s">
        <v>80</v>
      </c>
      <c r="F1087" t="s">
        <v>83</v>
      </c>
      <c r="G1087" t="s">
        <v>52</v>
      </c>
      <c r="H1087" t="s">
        <v>38</v>
      </c>
      <c r="I1087">
        <v>1673</v>
      </c>
    </row>
    <row r="1088" spans="1:9" ht="14.5" x14ac:dyDescent="0.35">
      <c r="A1088">
        <v>2</v>
      </c>
      <c r="B1088" t="s">
        <v>43</v>
      </c>
      <c r="C1088" t="s">
        <v>72</v>
      </c>
      <c r="D1088" t="s">
        <v>79</v>
      </c>
      <c r="E1088" t="s">
        <v>80</v>
      </c>
      <c r="F1088" t="s">
        <v>84</v>
      </c>
      <c r="G1088" t="s">
        <v>52</v>
      </c>
      <c r="H1088" t="s">
        <v>36</v>
      </c>
      <c r="I1088">
        <v>3461</v>
      </c>
    </row>
    <row r="1089" spans="1:9" ht="14.5" x14ac:dyDescent="0.35">
      <c r="A1089">
        <v>2</v>
      </c>
      <c r="B1089" t="s">
        <v>43</v>
      </c>
      <c r="C1089" t="s">
        <v>72</v>
      </c>
      <c r="D1089" t="s">
        <v>79</v>
      </c>
      <c r="E1089" t="s">
        <v>80</v>
      </c>
      <c r="F1089" t="s">
        <v>84</v>
      </c>
      <c r="G1089" t="s">
        <v>52</v>
      </c>
      <c r="H1089" t="s">
        <v>38</v>
      </c>
      <c r="I1089">
        <v>4813</v>
      </c>
    </row>
    <row r="1090" spans="1:9" ht="14.5" x14ac:dyDescent="0.35">
      <c r="A1090">
        <v>2</v>
      </c>
      <c r="B1090" t="s">
        <v>44</v>
      </c>
      <c r="C1090" t="s">
        <v>72</v>
      </c>
      <c r="D1090" t="s">
        <v>79</v>
      </c>
      <c r="E1090" t="s">
        <v>80</v>
      </c>
      <c r="F1090" t="s">
        <v>81</v>
      </c>
      <c r="G1090" t="s">
        <v>52</v>
      </c>
      <c r="H1090" t="s">
        <v>36</v>
      </c>
      <c r="I1090">
        <v>3076</v>
      </c>
    </row>
    <row r="1091" spans="1:9" ht="14.5" x14ac:dyDescent="0.35">
      <c r="A1091">
        <v>2</v>
      </c>
      <c r="B1091" t="s">
        <v>44</v>
      </c>
      <c r="C1091" t="s">
        <v>72</v>
      </c>
      <c r="D1091" t="s">
        <v>79</v>
      </c>
      <c r="E1091" t="s">
        <v>80</v>
      </c>
      <c r="F1091" t="s">
        <v>81</v>
      </c>
      <c r="G1091" t="s">
        <v>52</v>
      </c>
      <c r="H1091" t="s">
        <v>38</v>
      </c>
      <c r="I1091">
        <v>4627</v>
      </c>
    </row>
    <row r="1092" spans="1:9" ht="14.5" x14ac:dyDescent="0.35">
      <c r="A1092">
        <v>2</v>
      </c>
      <c r="B1092" t="s">
        <v>44</v>
      </c>
      <c r="C1092" t="s">
        <v>72</v>
      </c>
      <c r="D1092" t="s">
        <v>79</v>
      </c>
      <c r="E1092" t="s">
        <v>80</v>
      </c>
      <c r="F1092" t="s">
        <v>82</v>
      </c>
      <c r="G1092" t="s">
        <v>52</v>
      </c>
      <c r="H1092" t="s">
        <v>36</v>
      </c>
      <c r="I1092">
        <v>1627</v>
      </c>
    </row>
    <row r="1093" spans="1:9" ht="14.5" x14ac:dyDescent="0.35">
      <c r="A1093">
        <v>2</v>
      </c>
      <c r="B1093" t="s">
        <v>44</v>
      </c>
      <c r="C1093" t="s">
        <v>72</v>
      </c>
      <c r="D1093" t="s">
        <v>79</v>
      </c>
      <c r="E1093" t="s">
        <v>80</v>
      </c>
      <c r="F1093" t="s">
        <v>82</v>
      </c>
      <c r="G1093" t="s">
        <v>52</v>
      </c>
      <c r="H1093" t="s">
        <v>38</v>
      </c>
      <c r="I1093">
        <v>3775</v>
      </c>
    </row>
    <row r="1094" spans="1:9" ht="14.5" x14ac:dyDescent="0.35">
      <c r="A1094">
        <v>2</v>
      </c>
      <c r="B1094" t="s">
        <v>44</v>
      </c>
      <c r="C1094" t="s">
        <v>72</v>
      </c>
      <c r="D1094" t="s">
        <v>79</v>
      </c>
      <c r="E1094" t="s">
        <v>80</v>
      </c>
      <c r="F1094" t="s">
        <v>83</v>
      </c>
      <c r="G1094" t="s">
        <v>52</v>
      </c>
      <c r="H1094" t="s">
        <v>36</v>
      </c>
      <c r="I1094">
        <v>3250</v>
      </c>
    </row>
    <row r="1095" spans="1:9" ht="14.5" x14ac:dyDescent="0.35">
      <c r="A1095">
        <v>2</v>
      </c>
      <c r="B1095" t="s">
        <v>44</v>
      </c>
      <c r="C1095" t="s">
        <v>72</v>
      </c>
      <c r="D1095" t="s">
        <v>79</v>
      </c>
      <c r="E1095" t="s">
        <v>80</v>
      </c>
      <c r="F1095" t="s">
        <v>83</v>
      </c>
      <c r="G1095" t="s">
        <v>52</v>
      </c>
      <c r="H1095" t="s">
        <v>38</v>
      </c>
      <c r="I1095">
        <v>3893</v>
      </c>
    </row>
    <row r="1096" spans="1:9" ht="14.5" x14ac:dyDescent="0.35">
      <c r="A1096">
        <v>2</v>
      </c>
      <c r="B1096" t="s">
        <v>44</v>
      </c>
      <c r="C1096" t="s">
        <v>72</v>
      </c>
      <c r="D1096" t="s">
        <v>79</v>
      </c>
      <c r="E1096" t="s">
        <v>80</v>
      </c>
      <c r="F1096" t="s">
        <v>84</v>
      </c>
      <c r="G1096" t="s">
        <v>52</v>
      </c>
      <c r="H1096" t="s">
        <v>36</v>
      </c>
      <c r="I1096">
        <v>4924</v>
      </c>
    </row>
    <row r="1097" spans="1:9" ht="14.5" x14ac:dyDescent="0.35">
      <c r="A1097">
        <v>2</v>
      </c>
      <c r="B1097" t="s">
        <v>44</v>
      </c>
      <c r="C1097" t="s">
        <v>72</v>
      </c>
      <c r="D1097" t="s">
        <v>79</v>
      </c>
      <c r="E1097" t="s">
        <v>80</v>
      </c>
      <c r="F1097" t="s">
        <v>84</v>
      </c>
      <c r="G1097" t="s">
        <v>52</v>
      </c>
      <c r="H1097" t="s">
        <v>38</v>
      </c>
      <c r="I1097">
        <v>4463</v>
      </c>
    </row>
    <row r="1098" spans="1:9" ht="14.5" x14ac:dyDescent="0.35">
      <c r="A1098">
        <v>2</v>
      </c>
      <c r="B1098" t="s">
        <v>45</v>
      </c>
      <c r="C1098" t="s">
        <v>72</v>
      </c>
      <c r="D1098" t="s">
        <v>79</v>
      </c>
      <c r="E1098" t="s">
        <v>80</v>
      </c>
      <c r="F1098" t="s">
        <v>81</v>
      </c>
      <c r="G1098" t="s">
        <v>52</v>
      </c>
      <c r="H1098" t="s">
        <v>36</v>
      </c>
      <c r="I1098">
        <v>4582</v>
      </c>
    </row>
    <row r="1099" spans="1:9" ht="14.5" x14ac:dyDescent="0.35">
      <c r="A1099">
        <v>2</v>
      </c>
      <c r="B1099" t="s">
        <v>45</v>
      </c>
      <c r="C1099" t="s">
        <v>72</v>
      </c>
      <c r="D1099" t="s">
        <v>79</v>
      </c>
      <c r="E1099" t="s">
        <v>80</v>
      </c>
      <c r="F1099" t="s">
        <v>81</v>
      </c>
      <c r="G1099" t="s">
        <v>52</v>
      </c>
      <c r="H1099" t="s">
        <v>38</v>
      </c>
      <c r="I1099">
        <v>4317</v>
      </c>
    </row>
    <row r="1100" spans="1:9" ht="14.5" x14ac:dyDescent="0.35">
      <c r="A1100">
        <v>2</v>
      </c>
      <c r="B1100" t="s">
        <v>45</v>
      </c>
      <c r="C1100" t="s">
        <v>72</v>
      </c>
      <c r="D1100" t="s">
        <v>79</v>
      </c>
      <c r="E1100" t="s">
        <v>80</v>
      </c>
      <c r="F1100" t="s">
        <v>82</v>
      </c>
      <c r="G1100" t="s">
        <v>52</v>
      </c>
      <c r="H1100" t="s">
        <v>36</v>
      </c>
      <c r="I1100">
        <v>3356</v>
      </c>
    </row>
    <row r="1101" spans="1:9" ht="14.5" x14ac:dyDescent="0.35">
      <c r="A1101">
        <v>2</v>
      </c>
      <c r="B1101" t="s">
        <v>45</v>
      </c>
      <c r="C1101" t="s">
        <v>72</v>
      </c>
      <c r="D1101" t="s">
        <v>79</v>
      </c>
      <c r="E1101" t="s">
        <v>80</v>
      </c>
      <c r="F1101" t="s">
        <v>82</v>
      </c>
      <c r="G1101" t="s">
        <v>52</v>
      </c>
      <c r="H1101" t="s">
        <v>38</v>
      </c>
      <c r="I1101">
        <v>1215</v>
      </c>
    </row>
    <row r="1102" spans="1:9" ht="14.5" x14ac:dyDescent="0.35">
      <c r="A1102">
        <v>2</v>
      </c>
      <c r="B1102" t="s">
        <v>45</v>
      </c>
      <c r="C1102" t="s">
        <v>72</v>
      </c>
      <c r="D1102" t="s">
        <v>79</v>
      </c>
      <c r="E1102" t="s">
        <v>80</v>
      </c>
      <c r="F1102" t="s">
        <v>83</v>
      </c>
      <c r="G1102" t="s">
        <v>52</v>
      </c>
      <c r="H1102" t="s">
        <v>36</v>
      </c>
      <c r="I1102">
        <v>1080</v>
      </c>
    </row>
    <row r="1103" spans="1:9" ht="14.5" x14ac:dyDescent="0.35">
      <c r="A1103">
        <v>2</v>
      </c>
      <c r="B1103" t="s">
        <v>45</v>
      </c>
      <c r="C1103" t="s">
        <v>72</v>
      </c>
      <c r="D1103" t="s">
        <v>79</v>
      </c>
      <c r="E1103" t="s">
        <v>80</v>
      </c>
      <c r="F1103" t="s">
        <v>83</v>
      </c>
      <c r="G1103" t="s">
        <v>52</v>
      </c>
      <c r="H1103" t="s">
        <v>38</v>
      </c>
      <c r="I1103">
        <v>4821</v>
      </c>
    </row>
    <row r="1104" spans="1:9" ht="14.5" x14ac:dyDescent="0.35">
      <c r="A1104">
        <v>2</v>
      </c>
      <c r="B1104" t="s">
        <v>45</v>
      </c>
      <c r="C1104" t="s">
        <v>72</v>
      </c>
      <c r="D1104" t="s">
        <v>79</v>
      </c>
      <c r="E1104" t="s">
        <v>80</v>
      </c>
      <c r="F1104" t="s">
        <v>84</v>
      </c>
      <c r="G1104" t="s">
        <v>52</v>
      </c>
      <c r="H1104" t="s">
        <v>36</v>
      </c>
      <c r="I1104">
        <v>2916</v>
      </c>
    </row>
    <row r="1105" spans="1:9" ht="14.5" x14ac:dyDescent="0.35">
      <c r="A1105">
        <v>2</v>
      </c>
      <c r="B1105" t="s">
        <v>45</v>
      </c>
      <c r="C1105" t="s">
        <v>72</v>
      </c>
      <c r="D1105" t="s">
        <v>79</v>
      </c>
      <c r="E1105" t="s">
        <v>80</v>
      </c>
      <c r="F1105" t="s">
        <v>84</v>
      </c>
      <c r="G1105" t="s">
        <v>52</v>
      </c>
      <c r="H1105" t="s">
        <v>38</v>
      </c>
      <c r="I1105">
        <v>2760</v>
      </c>
    </row>
    <row r="1106" spans="1:9" ht="14.5" x14ac:dyDescent="0.35">
      <c r="A1106">
        <v>3</v>
      </c>
      <c r="B1106" t="s">
        <v>46</v>
      </c>
      <c r="C1106" t="s">
        <v>72</v>
      </c>
      <c r="D1106" t="s">
        <v>79</v>
      </c>
      <c r="E1106" t="s">
        <v>80</v>
      </c>
      <c r="F1106" t="s">
        <v>81</v>
      </c>
      <c r="G1106" t="s">
        <v>52</v>
      </c>
      <c r="H1106" t="s">
        <v>36</v>
      </c>
      <c r="I1106">
        <v>3808</v>
      </c>
    </row>
    <row r="1107" spans="1:9" ht="14.5" x14ac:dyDescent="0.35">
      <c r="A1107">
        <v>3</v>
      </c>
      <c r="B1107" t="s">
        <v>46</v>
      </c>
      <c r="C1107" t="s">
        <v>72</v>
      </c>
      <c r="D1107" t="s">
        <v>79</v>
      </c>
      <c r="E1107" t="s">
        <v>80</v>
      </c>
      <c r="F1107" t="s">
        <v>81</v>
      </c>
      <c r="G1107" t="s">
        <v>52</v>
      </c>
      <c r="H1107" t="s">
        <v>38</v>
      </c>
      <c r="I1107">
        <v>1177</v>
      </c>
    </row>
    <row r="1108" spans="1:9" ht="14.5" x14ac:dyDescent="0.35">
      <c r="A1108">
        <v>3</v>
      </c>
      <c r="B1108" t="s">
        <v>46</v>
      </c>
      <c r="C1108" t="s">
        <v>72</v>
      </c>
      <c r="D1108" t="s">
        <v>79</v>
      </c>
      <c r="E1108" t="s">
        <v>80</v>
      </c>
      <c r="F1108" t="s">
        <v>82</v>
      </c>
      <c r="G1108" t="s">
        <v>52</v>
      </c>
      <c r="H1108" t="s">
        <v>36</v>
      </c>
      <c r="I1108">
        <v>4421</v>
      </c>
    </row>
    <row r="1109" spans="1:9" ht="14.5" x14ac:dyDescent="0.35">
      <c r="A1109">
        <v>3</v>
      </c>
      <c r="B1109" t="s">
        <v>46</v>
      </c>
      <c r="C1109" t="s">
        <v>72</v>
      </c>
      <c r="D1109" t="s">
        <v>79</v>
      </c>
      <c r="E1109" t="s">
        <v>80</v>
      </c>
      <c r="F1109" t="s">
        <v>82</v>
      </c>
      <c r="G1109" t="s">
        <v>52</v>
      </c>
      <c r="H1109" t="s">
        <v>38</v>
      </c>
      <c r="I1109">
        <v>1283</v>
      </c>
    </row>
    <row r="1110" spans="1:9" ht="14.5" x14ac:dyDescent="0.35">
      <c r="A1110">
        <v>3</v>
      </c>
      <c r="B1110" t="s">
        <v>46</v>
      </c>
      <c r="C1110" t="s">
        <v>72</v>
      </c>
      <c r="D1110" t="s">
        <v>79</v>
      </c>
      <c r="E1110" t="s">
        <v>80</v>
      </c>
      <c r="F1110" t="s">
        <v>83</v>
      </c>
      <c r="G1110" t="s">
        <v>52</v>
      </c>
      <c r="H1110" t="s">
        <v>36</v>
      </c>
      <c r="I1110">
        <v>2989</v>
      </c>
    </row>
    <row r="1111" spans="1:9" ht="14.5" x14ac:dyDescent="0.35">
      <c r="A1111">
        <v>3</v>
      </c>
      <c r="B1111" t="s">
        <v>46</v>
      </c>
      <c r="C1111" t="s">
        <v>72</v>
      </c>
      <c r="D1111" t="s">
        <v>79</v>
      </c>
      <c r="E1111" t="s">
        <v>80</v>
      </c>
      <c r="F1111" t="s">
        <v>83</v>
      </c>
      <c r="G1111" t="s">
        <v>52</v>
      </c>
      <c r="H1111" t="s">
        <v>38</v>
      </c>
      <c r="I1111">
        <v>2955</v>
      </c>
    </row>
    <row r="1112" spans="1:9" ht="14.5" x14ac:dyDescent="0.35">
      <c r="A1112">
        <v>3</v>
      </c>
      <c r="B1112" t="s">
        <v>46</v>
      </c>
      <c r="C1112" t="s">
        <v>72</v>
      </c>
      <c r="D1112" t="s">
        <v>79</v>
      </c>
      <c r="E1112" t="s">
        <v>80</v>
      </c>
      <c r="F1112" t="s">
        <v>84</v>
      </c>
      <c r="G1112" t="s">
        <v>52</v>
      </c>
      <c r="H1112" t="s">
        <v>36</v>
      </c>
      <c r="I1112">
        <v>4868</v>
      </c>
    </row>
    <row r="1113" spans="1:9" ht="14.5" x14ac:dyDescent="0.35">
      <c r="A1113">
        <v>3</v>
      </c>
      <c r="B1113" t="s">
        <v>46</v>
      </c>
      <c r="C1113" t="s">
        <v>72</v>
      </c>
      <c r="D1113" t="s">
        <v>79</v>
      </c>
      <c r="E1113" t="s">
        <v>80</v>
      </c>
      <c r="F1113" t="s">
        <v>84</v>
      </c>
      <c r="G1113" t="s">
        <v>52</v>
      </c>
      <c r="H1113" t="s">
        <v>38</v>
      </c>
      <c r="I1113">
        <v>3111</v>
      </c>
    </row>
    <row r="1114" spans="1:9" ht="14.5" x14ac:dyDescent="0.35">
      <c r="A1114">
        <v>3</v>
      </c>
      <c r="B1114" t="s">
        <v>47</v>
      </c>
      <c r="C1114" t="s">
        <v>72</v>
      </c>
      <c r="D1114" t="s">
        <v>79</v>
      </c>
      <c r="E1114" t="s">
        <v>80</v>
      </c>
      <c r="F1114" t="s">
        <v>81</v>
      </c>
      <c r="G1114" t="s">
        <v>52</v>
      </c>
      <c r="H1114" t="s">
        <v>36</v>
      </c>
      <c r="I1114">
        <v>1805</v>
      </c>
    </row>
    <row r="1115" spans="1:9" ht="14.5" x14ac:dyDescent="0.35">
      <c r="A1115">
        <v>3</v>
      </c>
      <c r="B1115" t="s">
        <v>47</v>
      </c>
      <c r="C1115" t="s">
        <v>72</v>
      </c>
      <c r="D1115" t="s">
        <v>79</v>
      </c>
      <c r="E1115" t="s">
        <v>80</v>
      </c>
      <c r="F1115" t="s">
        <v>81</v>
      </c>
      <c r="G1115" t="s">
        <v>52</v>
      </c>
      <c r="H1115" t="s">
        <v>38</v>
      </c>
      <c r="I1115">
        <v>4355</v>
      </c>
    </row>
    <row r="1116" spans="1:9" ht="14.5" x14ac:dyDescent="0.35">
      <c r="A1116">
        <v>3</v>
      </c>
      <c r="B1116" t="s">
        <v>47</v>
      </c>
      <c r="C1116" t="s">
        <v>72</v>
      </c>
      <c r="D1116" t="s">
        <v>79</v>
      </c>
      <c r="E1116" t="s">
        <v>80</v>
      </c>
      <c r="F1116" t="s">
        <v>82</v>
      </c>
      <c r="G1116" t="s">
        <v>52</v>
      </c>
      <c r="H1116" t="s">
        <v>36</v>
      </c>
      <c r="I1116">
        <v>1740</v>
      </c>
    </row>
    <row r="1117" spans="1:9" ht="14.5" x14ac:dyDescent="0.35">
      <c r="A1117">
        <v>3</v>
      </c>
      <c r="B1117" t="s">
        <v>47</v>
      </c>
      <c r="C1117" t="s">
        <v>72</v>
      </c>
      <c r="D1117" t="s">
        <v>79</v>
      </c>
      <c r="E1117" t="s">
        <v>80</v>
      </c>
      <c r="F1117" t="s">
        <v>82</v>
      </c>
      <c r="G1117" t="s">
        <v>52</v>
      </c>
      <c r="H1117" t="s">
        <v>38</v>
      </c>
      <c r="I1117">
        <v>3930</v>
      </c>
    </row>
    <row r="1118" spans="1:9" ht="14.5" x14ac:dyDescent="0.35">
      <c r="A1118">
        <v>3</v>
      </c>
      <c r="B1118" t="s">
        <v>47</v>
      </c>
      <c r="C1118" t="s">
        <v>72</v>
      </c>
      <c r="D1118" t="s">
        <v>79</v>
      </c>
      <c r="E1118" t="s">
        <v>80</v>
      </c>
      <c r="F1118" t="s">
        <v>83</v>
      </c>
      <c r="G1118" t="s">
        <v>52</v>
      </c>
      <c r="H1118" t="s">
        <v>36</v>
      </c>
      <c r="I1118">
        <v>4981</v>
      </c>
    </row>
    <row r="1119" spans="1:9" ht="14.5" x14ac:dyDescent="0.35">
      <c r="A1119">
        <v>3</v>
      </c>
      <c r="B1119" t="s">
        <v>47</v>
      </c>
      <c r="C1119" t="s">
        <v>72</v>
      </c>
      <c r="D1119" t="s">
        <v>79</v>
      </c>
      <c r="E1119" t="s">
        <v>80</v>
      </c>
      <c r="F1119" t="s">
        <v>83</v>
      </c>
      <c r="G1119" t="s">
        <v>52</v>
      </c>
      <c r="H1119" t="s">
        <v>38</v>
      </c>
      <c r="I1119">
        <v>4186</v>
      </c>
    </row>
    <row r="1120" spans="1:9" ht="14.5" x14ac:dyDescent="0.35">
      <c r="A1120">
        <v>3</v>
      </c>
      <c r="B1120" t="s">
        <v>47</v>
      </c>
      <c r="C1120" t="s">
        <v>72</v>
      </c>
      <c r="D1120" t="s">
        <v>79</v>
      </c>
      <c r="E1120" t="s">
        <v>80</v>
      </c>
      <c r="F1120" t="s">
        <v>84</v>
      </c>
      <c r="G1120" t="s">
        <v>52</v>
      </c>
      <c r="H1120" t="s">
        <v>36</v>
      </c>
      <c r="I1120">
        <v>1712</v>
      </c>
    </row>
    <row r="1121" spans="1:9" ht="14.5" x14ac:dyDescent="0.35">
      <c r="A1121">
        <v>3</v>
      </c>
      <c r="B1121" t="s">
        <v>47</v>
      </c>
      <c r="C1121" t="s">
        <v>72</v>
      </c>
      <c r="D1121" t="s">
        <v>79</v>
      </c>
      <c r="E1121" t="s">
        <v>80</v>
      </c>
      <c r="F1121" t="s">
        <v>84</v>
      </c>
      <c r="G1121" t="s">
        <v>52</v>
      </c>
      <c r="H1121" t="s">
        <v>38</v>
      </c>
      <c r="I1121">
        <v>3822</v>
      </c>
    </row>
    <row r="1122" spans="1:9" ht="14.5" x14ac:dyDescent="0.35">
      <c r="A1122">
        <v>3</v>
      </c>
      <c r="B1122" t="s">
        <v>48</v>
      </c>
      <c r="C1122" t="s">
        <v>72</v>
      </c>
      <c r="D1122" t="s">
        <v>79</v>
      </c>
      <c r="E1122" t="s">
        <v>80</v>
      </c>
      <c r="F1122" t="s">
        <v>81</v>
      </c>
      <c r="G1122" t="s">
        <v>52</v>
      </c>
      <c r="H1122" t="s">
        <v>36</v>
      </c>
      <c r="I1122">
        <v>3241</v>
      </c>
    </row>
    <row r="1123" spans="1:9" ht="14.5" x14ac:dyDescent="0.35">
      <c r="A1123">
        <v>3</v>
      </c>
      <c r="B1123" t="s">
        <v>48</v>
      </c>
      <c r="C1123" t="s">
        <v>72</v>
      </c>
      <c r="D1123" t="s">
        <v>79</v>
      </c>
      <c r="E1123" t="s">
        <v>80</v>
      </c>
      <c r="F1123" t="s">
        <v>81</v>
      </c>
      <c r="G1123" t="s">
        <v>52</v>
      </c>
      <c r="H1123" t="s">
        <v>38</v>
      </c>
      <c r="I1123">
        <v>1362</v>
      </c>
    </row>
    <row r="1124" spans="1:9" ht="14.5" x14ac:dyDescent="0.35">
      <c r="A1124">
        <v>3</v>
      </c>
      <c r="B1124" t="s">
        <v>48</v>
      </c>
      <c r="C1124" t="s">
        <v>72</v>
      </c>
      <c r="D1124" t="s">
        <v>79</v>
      </c>
      <c r="E1124" t="s">
        <v>80</v>
      </c>
      <c r="F1124" t="s">
        <v>82</v>
      </c>
      <c r="G1124" t="s">
        <v>52</v>
      </c>
      <c r="H1124" t="s">
        <v>36</v>
      </c>
      <c r="I1124">
        <v>2075</v>
      </c>
    </row>
    <row r="1125" spans="1:9" ht="14.5" x14ac:dyDescent="0.35">
      <c r="A1125">
        <v>3</v>
      </c>
      <c r="B1125" t="s">
        <v>48</v>
      </c>
      <c r="C1125" t="s">
        <v>72</v>
      </c>
      <c r="D1125" t="s">
        <v>79</v>
      </c>
      <c r="E1125" t="s">
        <v>80</v>
      </c>
      <c r="F1125" t="s">
        <v>82</v>
      </c>
      <c r="G1125" t="s">
        <v>52</v>
      </c>
      <c r="H1125" t="s">
        <v>38</v>
      </c>
      <c r="I1125">
        <v>3879</v>
      </c>
    </row>
    <row r="1126" spans="1:9" ht="14.5" x14ac:dyDescent="0.35">
      <c r="A1126">
        <v>3</v>
      </c>
      <c r="B1126" t="s">
        <v>48</v>
      </c>
      <c r="C1126" t="s">
        <v>72</v>
      </c>
      <c r="D1126" t="s">
        <v>79</v>
      </c>
      <c r="E1126" t="s">
        <v>80</v>
      </c>
      <c r="F1126" t="s">
        <v>83</v>
      </c>
      <c r="G1126" t="s">
        <v>52</v>
      </c>
      <c r="H1126" t="s">
        <v>36</v>
      </c>
      <c r="I1126">
        <v>4074</v>
      </c>
    </row>
    <row r="1127" spans="1:9" ht="14.5" x14ac:dyDescent="0.35">
      <c r="A1127">
        <v>3</v>
      </c>
      <c r="B1127" t="s">
        <v>48</v>
      </c>
      <c r="C1127" t="s">
        <v>72</v>
      </c>
      <c r="D1127" t="s">
        <v>79</v>
      </c>
      <c r="E1127" t="s">
        <v>80</v>
      </c>
      <c r="F1127" t="s">
        <v>83</v>
      </c>
      <c r="G1127" t="s">
        <v>52</v>
      </c>
      <c r="H1127" t="s">
        <v>38</v>
      </c>
      <c r="I1127">
        <v>1225</v>
      </c>
    </row>
    <row r="1128" spans="1:9" ht="14.5" x14ac:dyDescent="0.35">
      <c r="A1128">
        <v>3</v>
      </c>
      <c r="B1128" t="s">
        <v>48</v>
      </c>
      <c r="C1128" t="s">
        <v>72</v>
      </c>
      <c r="D1128" t="s">
        <v>79</v>
      </c>
      <c r="E1128" t="s">
        <v>80</v>
      </c>
      <c r="F1128" t="s">
        <v>84</v>
      </c>
      <c r="G1128" t="s">
        <v>52</v>
      </c>
      <c r="H1128" t="s">
        <v>36</v>
      </c>
      <c r="I1128">
        <v>2699</v>
      </c>
    </row>
    <row r="1129" spans="1:9" ht="14.5" x14ac:dyDescent="0.35">
      <c r="A1129">
        <v>3</v>
      </c>
      <c r="B1129" t="s">
        <v>48</v>
      </c>
      <c r="C1129" t="s">
        <v>72</v>
      </c>
      <c r="D1129" t="s">
        <v>79</v>
      </c>
      <c r="E1129" t="s">
        <v>80</v>
      </c>
      <c r="F1129" t="s">
        <v>84</v>
      </c>
      <c r="G1129" t="s">
        <v>52</v>
      </c>
      <c r="H1129" t="s">
        <v>38</v>
      </c>
      <c r="I1129">
        <v>1185</v>
      </c>
    </row>
    <row r="1130" spans="1:9" ht="14.5" x14ac:dyDescent="0.35">
      <c r="A1130">
        <v>4</v>
      </c>
      <c r="B1130" t="s">
        <v>49</v>
      </c>
      <c r="C1130" t="s">
        <v>72</v>
      </c>
      <c r="D1130" t="s">
        <v>79</v>
      </c>
      <c r="E1130" t="s">
        <v>80</v>
      </c>
      <c r="F1130" t="s">
        <v>81</v>
      </c>
      <c r="G1130" t="s">
        <v>52</v>
      </c>
      <c r="H1130" t="s">
        <v>36</v>
      </c>
      <c r="I1130">
        <v>3253</v>
      </c>
    </row>
    <row r="1131" spans="1:9" ht="14.5" x14ac:dyDescent="0.35">
      <c r="A1131">
        <v>4</v>
      </c>
      <c r="B1131" t="s">
        <v>49</v>
      </c>
      <c r="C1131" t="s">
        <v>72</v>
      </c>
      <c r="D1131" t="s">
        <v>79</v>
      </c>
      <c r="E1131" t="s">
        <v>80</v>
      </c>
      <c r="F1131" t="s">
        <v>81</v>
      </c>
      <c r="G1131" t="s">
        <v>52</v>
      </c>
      <c r="H1131" t="s">
        <v>38</v>
      </c>
      <c r="I1131">
        <v>4791</v>
      </c>
    </row>
    <row r="1132" spans="1:9" ht="14.5" x14ac:dyDescent="0.35">
      <c r="A1132">
        <v>4</v>
      </c>
      <c r="B1132" t="s">
        <v>49</v>
      </c>
      <c r="C1132" t="s">
        <v>72</v>
      </c>
      <c r="D1132" t="s">
        <v>79</v>
      </c>
      <c r="E1132" t="s">
        <v>80</v>
      </c>
      <c r="F1132" t="s">
        <v>82</v>
      </c>
      <c r="G1132" t="s">
        <v>52</v>
      </c>
      <c r="H1132" t="s">
        <v>36</v>
      </c>
      <c r="I1132">
        <v>2883</v>
      </c>
    </row>
    <row r="1133" spans="1:9" ht="14.5" x14ac:dyDescent="0.35">
      <c r="A1133">
        <v>4</v>
      </c>
      <c r="B1133" t="s">
        <v>49</v>
      </c>
      <c r="C1133" t="s">
        <v>72</v>
      </c>
      <c r="D1133" t="s">
        <v>79</v>
      </c>
      <c r="E1133" t="s">
        <v>80</v>
      </c>
      <c r="F1133" t="s">
        <v>82</v>
      </c>
      <c r="G1133" t="s">
        <v>52</v>
      </c>
      <c r="H1133" t="s">
        <v>38</v>
      </c>
      <c r="I1133">
        <v>3304</v>
      </c>
    </row>
    <row r="1134" spans="1:9" ht="14.5" x14ac:dyDescent="0.35">
      <c r="A1134">
        <v>4</v>
      </c>
      <c r="B1134" t="s">
        <v>49</v>
      </c>
      <c r="C1134" t="s">
        <v>72</v>
      </c>
      <c r="D1134" t="s">
        <v>79</v>
      </c>
      <c r="E1134" t="s">
        <v>80</v>
      </c>
      <c r="F1134" t="s">
        <v>83</v>
      </c>
      <c r="G1134" t="s">
        <v>52</v>
      </c>
      <c r="H1134" t="s">
        <v>36</v>
      </c>
      <c r="I1134">
        <v>4502</v>
      </c>
    </row>
    <row r="1135" spans="1:9" ht="14.5" x14ac:dyDescent="0.35">
      <c r="A1135">
        <v>4</v>
      </c>
      <c r="B1135" t="s">
        <v>49</v>
      </c>
      <c r="C1135" t="s">
        <v>72</v>
      </c>
      <c r="D1135" t="s">
        <v>79</v>
      </c>
      <c r="E1135" t="s">
        <v>80</v>
      </c>
      <c r="F1135" t="s">
        <v>83</v>
      </c>
      <c r="G1135" t="s">
        <v>52</v>
      </c>
      <c r="H1135" t="s">
        <v>38</v>
      </c>
      <c r="I1135">
        <v>4323</v>
      </c>
    </row>
    <row r="1136" spans="1:9" ht="14.5" x14ac:dyDescent="0.35">
      <c r="A1136">
        <v>4</v>
      </c>
      <c r="B1136" t="s">
        <v>49</v>
      </c>
      <c r="C1136" t="s">
        <v>72</v>
      </c>
      <c r="D1136" t="s">
        <v>79</v>
      </c>
      <c r="E1136" t="s">
        <v>80</v>
      </c>
      <c r="F1136" t="s">
        <v>84</v>
      </c>
      <c r="G1136" t="s">
        <v>52</v>
      </c>
      <c r="H1136" t="s">
        <v>36</v>
      </c>
      <c r="I1136">
        <v>1409</v>
      </c>
    </row>
    <row r="1137" spans="1:9" ht="14.5" x14ac:dyDescent="0.35">
      <c r="A1137">
        <v>4</v>
      </c>
      <c r="B1137" t="s">
        <v>49</v>
      </c>
      <c r="C1137" t="s">
        <v>72</v>
      </c>
      <c r="D1137" t="s">
        <v>79</v>
      </c>
      <c r="E1137" t="s">
        <v>80</v>
      </c>
      <c r="F1137" t="s">
        <v>84</v>
      </c>
      <c r="G1137" t="s">
        <v>52</v>
      </c>
      <c r="H1137" t="s">
        <v>38</v>
      </c>
      <c r="I1137">
        <v>2719</v>
      </c>
    </row>
    <row r="1138" spans="1:9" ht="14.5" x14ac:dyDescent="0.35">
      <c r="A1138">
        <v>4</v>
      </c>
      <c r="B1138" t="s">
        <v>50</v>
      </c>
      <c r="C1138" t="s">
        <v>72</v>
      </c>
      <c r="D1138" t="s">
        <v>79</v>
      </c>
      <c r="E1138" t="s">
        <v>80</v>
      </c>
      <c r="F1138" t="s">
        <v>81</v>
      </c>
      <c r="G1138" t="s">
        <v>52</v>
      </c>
      <c r="H1138" t="s">
        <v>36</v>
      </c>
      <c r="I1138">
        <v>4714</v>
      </c>
    </row>
    <row r="1139" spans="1:9" ht="14.5" x14ac:dyDescent="0.35">
      <c r="A1139">
        <v>4</v>
      </c>
      <c r="B1139" t="s">
        <v>50</v>
      </c>
      <c r="C1139" t="s">
        <v>72</v>
      </c>
      <c r="D1139" t="s">
        <v>79</v>
      </c>
      <c r="E1139" t="s">
        <v>80</v>
      </c>
      <c r="F1139" t="s">
        <v>81</v>
      </c>
      <c r="G1139" t="s">
        <v>52</v>
      </c>
      <c r="H1139" t="s">
        <v>38</v>
      </c>
      <c r="I1139">
        <v>2564</v>
      </c>
    </row>
    <row r="1140" spans="1:9" ht="14.5" x14ac:dyDescent="0.35">
      <c r="A1140">
        <v>4</v>
      </c>
      <c r="B1140" t="s">
        <v>50</v>
      </c>
      <c r="C1140" t="s">
        <v>72</v>
      </c>
      <c r="D1140" t="s">
        <v>79</v>
      </c>
      <c r="E1140" t="s">
        <v>80</v>
      </c>
      <c r="F1140" t="s">
        <v>82</v>
      </c>
      <c r="G1140" t="s">
        <v>52</v>
      </c>
      <c r="H1140" t="s">
        <v>36</v>
      </c>
      <c r="I1140">
        <v>3145</v>
      </c>
    </row>
    <row r="1141" spans="1:9" ht="14.5" x14ac:dyDescent="0.35">
      <c r="A1141">
        <v>4</v>
      </c>
      <c r="B1141" t="s">
        <v>50</v>
      </c>
      <c r="C1141" t="s">
        <v>72</v>
      </c>
      <c r="D1141" t="s">
        <v>79</v>
      </c>
      <c r="E1141" t="s">
        <v>80</v>
      </c>
      <c r="F1141" t="s">
        <v>82</v>
      </c>
      <c r="G1141" t="s">
        <v>52</v>
      </c>
      <c r="H1141" t="s">
        <v>38</v>
      </c>
      <c r="I1141">
        <v>3461</v>
      </c>
    </row>
    <row r="1142" spans="1:9" ht="14.5" x14ac:dyDescent="0.35">
      <c r="A1142">
        <v>4</v>
      </c>
      <c r="B1142" t="s">
        <v>50</v>
      </c>
      <c r="C1142" t="s">
        <v>72</v>
      </c>
      <c r="D1142" t="s">
        <v>79</v>
      </c>
      <c r="E1142" t="s">
        <v>80</v>
      </c>
      <c r="F1142" t="s">
        <v>83</v>
      </c>
      <c r="G1142" t="s">
        <v>52</v>
      </c>
      <c r="H1142" t="s">
        <v>36</v>
      </c>
      <c r="I1142">
        <v>4784</v>
      </c>
    </row>
    <row r="1143" spans="1:9" ht="14.5" x14ac:dyDescent="0.35">
      <c r="A1143">
        <v>4</v>
      </c>
      <c r="B1143" t="s">
        <v>50</v>
      </c>
      <c r="C1143" t="s">
        <v>72</v>
      </c>
      <c r="D1143" t="s">
        <v>79</v>
      </c>
      <c r="E1143" t="s">
        <v>80</v>
      </c>
      <c r="F1143" t="s">
        <v>83</v>
      </c>
      <c r="G1143" t="s">
        <v>52</v>
      </c>
      <c r="H1143" t="s">
        <v>38</v>
      </c>
      <c r="I1143">
        <v>4264</v>
      </c>
    </row>
    <row r="1144" spans="1:9" ht="14.5" x14ac:dyDescent="0.35">
      <c r="A1144">
        <v>4</v>
      </c>
      <c r="B1144" t="s">
        <v>50</v>
      </c>
      <c r="C1144" t="s">
        <v>72</v>
      </c>
      <c r="D1144" t="s">
        <v>79</v>
      </c>
      <c r="E1144" t="s">
        <v>80</v>
      </c>
      <c r="F1144" t="s">
        <v>84</v>
      </c>
      <c r="G1144" t="s">
        <v>52</v>
      </c>
      <c r="H1144" t="s">
        <v>36</v>
      </c>
      <c r="I1144">
        <v>4702</v>
      </c>
    </row>
    <row r="1145" spans="1:9" ht="14.5" x14ac:dyDescent="0.35">
      <c r="A1145">
        <v>4</v>
      </c>
      <c r="B1145" t="s">
        <v>50</v>
      </c>
      <c r="C1145" t="s">
        <v>72</v>
      </c>
      <c r="D1145" t="s">
        <v>79</v>
      </c>
      <c r="E1145" t="s">
        <v>80</v>
      </c>
      <c r="F1145" t="s">
        <v>84</v>
      </c>
      <c r="G1145" t="s">
        <v>52</v>
      </c>
      <c r="H1145" t="s">
        <v>38</v>
      </c>
      <c r="I1145">
        <v>1214</v>
      </c>
    </row>
    <row r="1146" spans="1:9" ht="14.5" x14ac:dyDescent="0.35">
      <c r="A1146">
        <v>4</v>
      </c>
      <c r="B1146" t="s">
        <v>51</v>
      </c>
      <c r="C1146" t="s">
        <v>72</v>
      </c>
      <c r="D1146" t="s">
        <v>79</v>
      </c>
      <c r="E1146" t="s">
        <v>80</v>
      </c>
      <c r="F1146" t="s">
        <v>81</v>
      </c>
      <c r="G1146" t="s">
        <v>52</v>
      </c>
      <c r="H1146" t="s">
        <v>36</v>
      </c>
      <c r="I1146">
        <v>2686</v>
      </c>
    </row>
    <row r="1147" spans="1:9" ht="14.5" x14ac:dyDescent="0.35">
      <c r="A1147">
        <v>4</v>
      </c>
      <c r="B1147" t="s">
        <v>51</v>
      </c>
      <c r="C1147" t="s">
        <v>72</v>
      </c>
      <c r="D1147" t="s">
        <v>79</v>
      </c>
      <c r="E1147" t="s">
        <v>80</v>
      </c>
      <c r="F1147" t="s">
        <v>81</v>
      </c>
      <c r="G1147" t="s">
        <v>52</v>
      </c>
      <c r="H1147" t="s">
        <v>38</v>
      </c>
      <c r="I1147">
        <v>1953</v>
      </c>
    </row>
    <row r="1148" spans="1:9" ht="14.5" x14ac:dyDescent="0.35">
      <c r="A1148">
        <v>4</v>
      </c>
      <c r="B1148" t="s">
        <v>51</v>
      </c>
      <c r="C1148" t="s">
        <v>72</v>
      </c>
      <c r="D1148" t="s">
        <v>79</v>
      </c>
      <c r="E1148" t="s">
        <v>80</v>
      </c>
      <c r="F1148" t="s">
        <v>82</v>
      </c>
      <c r="G1148" t="s">
        <v>52</v>
      </c>
      <c r="H1148" t="s">
        <v>36</v>
      </c>
      <c r="I1148">
        <v>2679</v>
      </c>
    </row>
    <row r="1149" spans="1:9" ht="14.5" x14ac:dyDescent="0.35">
      <c r="A1149">
        <v>4</v>
      </c>
      <c r="B1149" t="s">
        <v>51</v>
      </c>
      <c r="C1149" t="s">
        <v>72</v>
      </c>
      <c r="D1149" t="s">
        <v>79</v>
      </c>
      <c r="E1149" t="s">
        <v>80</v>
      </c>
      <c r="F1149" t="s">
        <v>82</v>
      </c>
      <c r="G1149" t="s">
        <v>52</v>
      </c>
      <c r="H1149" t="s">
        <v>38</v>
      </c>
      <c r="I1149">
        <v>1487</v>
      </c>
    </row>
    <row r="1150" spans="1:9" ht="14.5" x14ac:dyDescent="0.35">
      <c r="A1150">
        <v>4</v>
      </c>
      <c r="B1150" t="s">
        <v>51</v>
      </c>
      <c r="C1150" t="s">
        <v>72</v>
      </c>
      <c r="D1150" t="s">
        <v>79</v>
      </c>
      <c r="E1150" t="s">
        <v>80</v>
      </c>
      <c r="F1150" t="s">
        <v>83</v>
      </c>
      <c r="G1150" t="s">
        <v>52</v>
      </c>
      <c r="H1150" t="s">
        <v>36</v>
      </c>
      <c r="I1150">
        <v>3414</v>
      </c>
    </row>
    <row r="1151" spans="1:9" ht="14.5" x14ac:dyDescent="0.35">
      <c r="A1151">
        <v>4</v>
      </c>
      <c r="B1151" t="s">
        <v>51</v>
      </c>
      <c r="C1151" t="s">
        <v>72</v>
      </c>
      <c r="D1151" t="s">
        <v>79</v>
      </c>
      <c r="E1151" t="s">
        <v>80</v>
      </c>
      <c r="F1151" t="s">
        <v>83</v>
      </c>
      <c r="G1151" t="s">
        <v>52</v>
      </c>
      <c r="H1151" t="s">
        <v>38</v>
      </c>
      <c r="I1151">
        <v>3131</v>
      </c>
    </row>
    <row r="1152" spans="1:9" ht="14.5" x14ac:dyDescent="0.35">
      <c r="A1152">
        <v>4</v>
      </c>
      <c r="B1152" t="s">
        <v>51</v>
      </c>
      <c r="C1152" t="s">
        <v>72</v>
      </c>
      <c r="D1152" t="s">
        <v>79</v>
      </c>
      <c r="E1152" t="s">
        <v>80</v>
      </c>
      <c r="F1152" t="s">
        <v>84</v>
      </c>
      <c r="G1152" t="s">
        <v>52</v>
      </c>
      <c r="H1152" t="s">
        <v>36</v>
      </c>
      <c r="I1152">
        <v>1537</v>
      </c>
    </row>
    <row r="1153" spans="1:9" ht="14.5" x14ac:dyDescent="0.35">
      <c r="A1153">
        <v>4</v>
      </c>
      <c r="B1153" t="s">
        <v>51</v>
      </c>
      <c r="C1153" t="s">
        <v>72</v>
      </c>
      <c r="D1153" t="s">
        <v>79</v>
      </c>
      <c r="E1153" t="s">
        <v>80</v>
      </c>
      <c r="F1153" t="s">
        <v>84</v>
      </c>
      <c r="G1153" t="s">
        <v>52</v>
      </c>
      <c r="H1153" t="s">
        <v>38</v>
      </c>
      <c r="I1153">
        <v>2415</v>
      </c>
    </row>
    <row r="1154" spans="1:9" ht="14.5" x14ac:dyDescent="0.35">
      <c r="A1154">
        <v>1</v>
      </c>
      <c r="B1154" t="s">
        <v>30</v>
      </c>
      <c r="C1154" t="s">
        <v>85</v>
      </c>
      <c r="D1154" t="s">
        <v>86</v>
      </c>
      <c r="E1154" t="s">
        <v>87</v>
      </c>
      <c r="F1154" t="s">
        <v>88</v>
      </c>
      <c r="G1154" t="s">
        <v>35</v>
      </c>
      <c r="H1154" t="s">
        <v>36</v>
      </c>
      <c r="I1154">
        <v>4992</v>
      </c>
    </row>
    <row r="1155" spans="1:9" ht="14.5" x14ac:dyDescent="0.35">
      <c r="A1155">
        <v>1</v>
      </c>
      <c r="B1155" t="s">
        <v>30</v>
      </c>
      <c r="C1155" t="s">
        <v>85</v>
      </c>
      <c r="D1155" t="s">
        <v>86</v>
      </c>
      <c r="E1155" t="s">
        <v>87</v>
      </c>
      <c r="F1155" t="s">
        <v>88</v>
      </c>
      <c r="G1155" t="s">
        <v>35</v>
      </c>
      <c r="H1155" t="s">
        <v>38</v>
      </c>
      <c r="I1155">
        <v>2823</v>
      </c>
    </row>
    <row r="1156" spans="1:9" ht="14.5" x14ac:dyDescent="0.35">
      <c r="A1156">
        <v>1</v>
      </c>
      <c r="B1156" t="s">
        <v>30</v>
      </c>
      <c r="C1156" t="s">
        <v>85</v>
      </c>
      <c r="D1156" t="s">
        <v>86</v>
      </c>
      <c r="E1156" t="s">
        <v>87</v>
      </c>
      <c r="F1156" t="s">
        <v>89</v>
      </c>
      <c r="G1156" t="s">
        <v>35</v>
      </c>
      <c r="H1156" t="s">
        <v>36</v>
      </c>
      <c r="I1156">
        <v>3211</v>
      </c>
    </row>
    <row r="1157" spans="1:9" ht="14.5" x14ac:dyDescent="0.35">
      <c r="A1157">
        <v>1</v>
      </c>
      <c r="B1157" t="s">
        <v>30</v>
      </c>
      <c r="C1157" t="s">
        <v>85</v>
      </c>
      <c r="D1157" t="s">
        <v>86</v>
      </c>
      <c r="E1157" t="s">
        <v>87</v>
      </c>
      <c r="F1157" t="s">
        <v>89</v>
      </c>
      <c r="G1157" t="s">
        <v>35</v>
      </c>
      <c r="H1157" t="s">
        <v>38</v>
      </c>
      <c r="I1157">
        <v>1751</v>
      </c>
    </row>
    <row r="1158" spans="1:9" ht="14.5" x14ac:dyDescent="0.35">
      <c r="A1158">
        <v>1</v>
      </c>
      <c r="B1158" t="s">
        <v>30</v>
      </c>
      <c r="C1158" t="s">
        <v>85</v>
      </c>
      <c r="D1158" t="s">
        <v>86</v>
      </c>
      <c r="E1158" t="s">
        <v>87</v>
      </c>
      <c r="F1158" t="s">
        <v>90</v>
      </c>
      <c r="G1158" t="s">
        <v>35</v>
      </c>
      <c r="H1158" t="s">
        <v>36</v>
      </c>
      <c r="I1158">
        <v>3244</v>
      </c>
    </row>
    <row r="1159" spans="1:9" ht="14.5" x14ac:dyDescent="0.35">
      <c r="A1159">
        <v>1</v>
      </c>
      <c r="B1159" t="s">
        <v>30</v>
      </c>
      <c r="C1159" t="s">
        <v>85</v>
      </c>
      <c r="D1159" t="s">
        <v>86</v>
      </c>
      <c r="E1159" t="s">
        <v>87</v>
      </c>
      <c r="F1159" t="s">
        <v>90</v>
      </c>
      <c r="G1159" t="s">
        <v>35</v>
      </c>
      <c r="H1159" t="s">
        <v>38</v>
      </c>
      <c r="I1159">
        <v>1094</v>
      </c>
    </row>
    <row r="1160" spans="1:9" ht="14.5" x14ac:dyDescent="0.35">
      <c r="A1160">
        <v>1</v>
      </c>
      <c r="B1160" t="s">
        <v>30</v>
      </c>
      <c r="C1160" t="s">
        <v>85</v>
      </c>
      <c r="D1160" t="s">
        <v>86</v>
      </c>
      <c r="E1160" t="s">
        <v>87</v>
      </c>
      <c r="F1160" t="s">
        <v>91</v>
      </c>
      <c r="G1160" t="s">
        <v>35</v>
      </c>
      <c r="H1160" t="s">
        <v>36</v>
      </c>
      <c r="I1160">
        <v>3150</v>
      </c>
    </row>
    <row r="1161" spans="1:9" ht="14.5" x14ac:dyDescent="0.35">
      <c r="A1161">
        <v>1</v>
      </c>
      <c r="B1161" t="s">
        <v>30</v>
      </c>
      <c r="C1161" t="s">
        <v>85</v>
      </c>
      <c r="D1161" t="s">
        <v>86</v>
      </c>
      <c r="E1161" t="s">
        <v>87</v>
      </c>
      <c r="F1161" t="s">
        <v>91</v>
      </c>
      <c r="G1161" t="s">
        <v>35</v>
      </c>
      <c r="H1161" t="s">
        <v>38</v>
      </c>
      <c r="I1161">
        <v>4243</v>
      </c>
    </row>
    <row r="1162" spans="1:9" ht="14.5" x14ac:dyDescent="0.35">
      <c r="A1162">
        <v>1</v>
      </c>
      <c r="B1162" t="s">
        <v>41</v>
      </c>
      <c r="C1162" t="s">
        <v>85</v>
      </c>
      <c r="D1162" t="s">
        <v>86</v>
      </c>
      <c r="E1162" t="s">
        <v>87</v>
      </c>
      <c r="F1162" t="s">
        <v>88</v>
      </c>
      <c r="G1162" t="s">
        <v>35</v>
      </c>
      <c r="H1162" t="s">
        <v>36</v>
      </c>
      <c r="I1162">
        <v>2095</v>
      </c>
    </row>
    <row r="1163" spans="1:9" ht="14.5" x14ac:dyDescent="0.35">
      <c r="A1163">
        <v>1</v>
      </c>
      <c r="B1163" t="s">
        <v>41</v>
      </c>
      <c r="C1163" t="s">
        <v>85</v>
      </c>
      <c r="D1163" t="s">
        <v>86</v>
      </c>
      <c r="E1163" t="s">
        <v>87</v>
      </c>
      <c r="F1163" t="s">
        <v>88</v>
      </c>
      <c r="G1163" t="s">
        <v>35</v>
      </c>
      <c r="H1163" t="s">
        <v>38</v>
      </c>
      <c r="I1163">
        <v>1179</v>
      </c>
    </row>
    <row r="1164" spans="1:9" ht="14.5" x14ac:dyDescent="0.35">
      <c r="A1164">
        <v>1</v>
      </c>
      <c r="B1164" t="s">
        <v>41</v>
      </c>
      <c r="C1164" t="s">
        <v>85</v>
      </c>
      <c r="D1164" t="s">
        <v>86</v>
      </c>
      <c r="E1164" t="s">
        <v>87</v>
      </c>
      <c r="F1164" t="s">
        <v>89</v>
      </c>
      <c r="G1164" t="s">
        <v>35</v>
      </c>
      <c r="H1164" t="s">
        <v>36</v>
      </c>
      <c r="I1164">
        <v>2887</v>
      </c>
    </row>
    <row r="1165" spans="1:9" ht="14.5" x14ac:dyDescent="0.35">
      <c r="A1165">
        <v>1</v>
      </c>
      <c r="B1165" t="s">
        <v>41</v>
      </c>
      <c r="C1165" t="s">
        <v>85</v>
      </c>
      <c r="D1165" t="s">
        <v>86</v>
      </c>
      <c r="E1165" t="s">
        <v>87</v>
      </c>
      <c r="F1165" t="s">
        <v>89</v>
      </c>
      <c r="G1165" t="s">
        <v>35</v>
      </c>
      <c r="H1165" t="s">
        <v>38</v>
      </c>
      <c r="I1165">
        <v>4460</v>
      </c>
    </row>
    <row r="1166" spans="1:9" ht="14.5" x14ac:dyDescent="0.35">
      <c r="A1166">
        <v>1</v>
      </c>
      <c r="B1166" t="s">
        <v>41</v>
      </c>
      <c r="C1166" t="s">
        <v>85</v>
      </c>
      <c r="D1166" t="s">
        <v>86</v>
      </c>
      <c r="E1166" t="s">
        <v>87</v>
      </c>
      <c r="F1166" t="s">
        <v>90</v>
      </c>
      <c r="G1166" t="s">
        <v>35</v>
      </c>
      <c r="H1166" t="s">
        <v>36</v>
      </c>
      <c r="I1166">
        <v>3857</v>
      </c>
    </row>
    <row r="1167" spans="1:9" ht="14.5" x14ac:dyDescent="0.35">
      <c r="A1167">
        <v>1</v>
      </c>
      <c r="B1167" t="s">
        <v>41</v>
      </c>
      <c r="C1167" t="s">
        <v>85</v>
      </c>
      <c r="D1167" t="s">
        <v>86</v>
      </c>
      <c r="E1167" t="s">
        <v>87</v>
      </c>
      <c r="F1167" t="s">
        <v>90</v>
      </c>
      <c r="G1167" t="s">
        <v>35</v>
      </c>
      <c r="H1167" t="s">
        <v>38</v>
      </c>
      <c r="I1167">
        <v>3387</v>
      </c>
    </row>
    <row r="1168" spans="1:9" ht="14.5" x14ac:dyDescent="0.35">
      <c r="A1168">
        <v>1</v>
      </c>
      <c r="B1168" t="s">
        <v>41</v>
      </c>
      <c r="C1168" t="s">
        <v>85</v>
      </c>
      <c r="D1168" t="s">
        <v>86</v>
      </c>
      <c r="E1168" t="s">
        <v>87</v>
      </c>
      <c r="F1168" t="s">
        <v>91</v>
      </c>
      <c r="G1168" t="s">
        <v>35</v>
      </c>
      <c r="H1168" t="s">
        <v>36</v>
      </c>
      <c r="I1168">
        <v>1011</v>
      </c>
    </row>
    <row r="1169" spans="1:9" ht="14.5" x14ac:dyDescent="0.35">
      <c r="A1169">
        <v>1</v>
      </c>
      <c r="B1169" t="s">
        <v>41</v>
      </c>
      <c r="C1169" t="s">
        <v>85</v>
      </c>
      <c r="D1169" t="s">
        <v>86</v>
      </c>
      <c r="E1169" t="s">
        <v>87</v>
      </c>
      <c r="F1169" t="s">
        <v>91</v>
      </c>
      <c r="G1169" t="s">
        <v>35</v>
      </c>
      <c r="H1169" t="s">
        <v>38</v>
      </c>
      <c r="I1169">
        <v>1862</v>
      </c>
    </row>
    <row r="1170" spans="1:9" ht="14.5" x14ac:dyDescent="0.35">
      <c r="A1170">
        <v>1</v>
      </c>
      <c r="B1170" t="s">
        <v>42</v>
      </c>
      <c r="C1170" t="s">
        <v>85</v>
      </c>
      <c r="D1170" t="s">
        <v>86</v>
      </c>
      <c r="E1170" t="s">
        <v>87</v>
      </c>
      <c r="F1170" t="s">
        <v>88</v>
      </c>
      <c r="G1170" t="s">
        <v>35</v>
      </c>
      <c r="H1170" t="s">
        <v>36</v>
      </c>
      <c r="I1170">
        <v>2584</v>
      </c>
    </row>
    <row r="1171" spans="1:9" ht="14.5" x14ac:dyDescent="0.35">
      <c r="A1171">
        <v>1</v>
      </c>
      <c r="B1171" t="s">
        <v>42</v>
      </c>
      <c r="C1171" t="s">
        <v>85</v>
      </c>
      <c r="D1171" t="s">
        <v>86</v>
      </c>
      <c r="E1171" t="s">
        <v>87</v>
      </c>
      <c r="F1171" t="s">
        <v>88</v>
      </c>
      <c r="G1171" t="s">
        <v>35</v>
      </c>
      <c r="H1171" t="s">
        <v>38</v>
      </c>
      <c r="I1171">
        <v>2128</v>
      </c>
    </row>
    <row r="1172" spans="1:9" ht="14.5" x14ac:dyDescent="0.35">
      <c r="A1172">
        <v>1</v>
      </c>
      <c r="B1172" t="s">
        <v>42</v>
      </c>
      <c r="C1172" t="s">
        <v>85</v>
      </c>
      <c r="D1172" t="s">
        <v>86</v>
      </c>
      <c r="E1172" t="s">
        <v>87</v>
      </c>
      <c r="F1172" t="s">
        <v>89</v>
      </c>
      <c r="G1172" t="s">
        <v>35</v>
      </c>
      <c r="H1172" t="s">
        <v>36</v>
      </c>
      <c r="I1172">
        <v>1413</v>
      </c>
    </row>
    <row r="1173" spans="1:9" ht="14.5" x14ac:dyDescent="0.35">
      <c r="A1173">
        <v>1</v>
      </c>
      <c r="B1173" t="s">
        <v>42</v>
      </c>
      <c r="C1173" t="s">
        <v>85</v>
      </c>
      <c r="D1173" t="s">
        <v>86</v>
      </c>
      <c r="E1173" t="s">
        <v>87</v>
      </c>
      <c r="F1173" t="s">
        <v>89</v>
      </c>
      <c r="G1173" t="s">
        <v>35</v>
      </c>
      <c r="H1173" t="s">
        <v>38</v>
      </c>
      <c r="I1173">
        <v>2351</v>
      </c>
    </row>
    <row r="1174" spans="1:9" ht="14.5" x14ac:dyDescent="0.35">
      <c r="A1174">
        <v>1</v>
      </c>
      <c r="B1174" t="s">
        <v>42</v>
      </c>
      <c r="C1174" t="s">
        <v>85</v>
      </c>
      <c r="D1174" t="s">
        <v>86</v>
      </c>
      <c r="E1174" t="s">
        <v>87</v>
      </c>
      <c r="F1174" t="s">
        <v>90</v>
      </c>
      <c r="G1174" t="s">
        <v>35</v>
      </c>
      <c r="H1174" t="s">
        <v>36</v>
      </c>
      <c r="I1174">
        <v>1349</v>
      </c>
    </row>
    <row r="1175" spans="1:9" ht="14.5" x14ac:dyDescent="0.35">
      <c r="A1175">
        <v>1</v>
      </c>
      <c r="B1175" t="s">
        <v>42</v>
      </c>
      <c r="C1175" t="s">
        <v>85</v>
      </c>
      <c r="D1175" t="s">
        <v>86</v>
      </c>
      <c r="E1175" t="s">
        <v>87</v>
      </c>
      <c r="F1175" t="s">
        <v>90</v>
      </c>
      <c r="G1175" t="s">
        <v>35</v>
      </c>
      <c r="H1175" t="s">
        <v>38</v>
      </c>
      <c r="I1175">
        <v>3415</v>
      </c>
    </row>
    <row r="1176" spans="1:9" ht="14.5" x14ac:dyDescent="0.35">
      <c r="A1176">
        <v>1</v>
      </c>
      <c r="B1176" t="s">
        <v>42</v>
      </c>
      <c r="C1176" t="s">
        <v>85</v>
      </c>
      <c r="D1176" t="s">
        <v>86</v>
      </c>
      <c r="E1176" t="s">
        <v>87</v>
      </c>
      <c r="F1176" t="s">
        <v>91</v>
      </c>
      <c r="G1176" t="s">
        <v>35</v>
      </c>
      <c r="H1176" t="s">
        <v>36</v>
      </c>
      <c r="I1176">
        <v>3998</v>
      </c>
    </row>
    <row r="1177" spans="1:9" ht="14.5" x14ac:dyDescent="0.35">
      <c r="A1177">
        <v>1</v>
      </c>
      <c r="B1177" t="s">
        <v>42</v>
      </c>
      <c r="C1177" t="s">
        <v>85</v>
      </c>
      <c r="D1177" t="s">
        <v>86</v>
      </c>
      <c r="E1177" t="s">
        <v>87</v>
      </c>
      <c r="F1177" t="s">
        <v>91</v>
      </c>
      <c r="G1177" t="s">
        <v>35</v>
      </c>
      <c r="H1177" t="s">
        <v>38</v>
      </c>
      <c r="I1177">
        <v>2053</v>
      </c>
    </row>
    <row r="1178" spans="1:9" ht="14.5" x14ac:dyDescent="0.35">
      <c r="A1178">
        <v>2</v>
      </c>
      <c r="B1178" t="s">
        <v>43</v>
      </c>
      <c r="C1178" t="s">
        <v>85</v>
      </c>
      <c r="D1178" t="s">
        <v>86</v>
      </c>
      <c r="E1178" t="s">
        <v>87</v>
      </c>
      <c r="F1178" t="s">
        <v>88</v>
      </c>
      <c r="G1178" t="s">
        <v>35</v>
      </c>
      <c r="H1178" t="s">
        <v>36</v>
      </c>
      <c r="I1178">
        <v>4375</v>
      </c>
    </row>
    <row r="1179" spans="1:9" ht="14.5" x14ac:dyDescent="0.35">
      <c r="A1179">
        <v>2</v>
      </c>
      <c r="B1179" t="s">
        <v>43</v>
      </c>
      <c r="C1179" t="s">
        <v>85</v>
      </c>
      <c r="D1179" t="s">
        <v>86</v>
      </c>
      <c r="E1179" t="s">
        <v>87</v>
      </c>
      <c r="F1179" t="s">
        <v>88</v>
      </c>
      <c r="G1179" t="s">
        <v>35</v>
      </c>
      <c r="H1179" t="s">
        <v>38</v>
      </c>
      <c r="I1179">
        <v>3812</v>
      </c>
    </row>
    <row r="1180" spans="1:9" ht="14.5" x14ac:dyDescent="0.35">
      <c r="A1180">
        <v>2</v>
      </c>
      <c r="B1180" t="s">
        <v>43</v>
      </c>
      <c r="C1180" t="s">
        <v>85</v>
      </c>
      <c r="D1180" t="s">
        <v>86</v>
      </c>
      <c r="E1180" t="s">
        <v>87</v>
      </c>
      <c r="F1180" t="s">
        <v>89</v>
      </c>
      <c r="G1180" t="s">
        <v>35</v>
      </c>
      <c r="H1180" t="s">
        <v>36</v>
      </c>
      <c r="I1180">
        <v>4284</v>
      </c>
    </row>
    <row r="1181" spans="1:9" ht="14.5" x14ac:dyDescent="0.35">
      <c r="A1181">
        <v>2</v>
      </c>
      <c r="B1181" t="s">
        <v>43</v>
      </c>
      <c r="C1181" t="s">
        <v>85</v>
      </c>
      <c r="D1181" t="s">
        <v>86</v>
      </c>
      <c r="E1181" t="s">
        <v>87</v>
      </c>
      <c r="F1181" t="s">
        <v>89</v>
      </c>
      <c r="G1181" t="s">
        <v>35</v>
      </c>
      <c r="H1181" t="s">
        <v>38</v>
      </c>
      <c r="I1181">
        <v>3762</v>
      </c>
    </row>
    <row r="1182" spans="1:9" ht="14.5" x14ac:dyDescent="0.35">
      <c r="A1182">
        <v>2</v>
      </c>
      <c r="B1182" t="s">
        <v>43</v>
      </c>
      <c r="C1182" t="s">
        <v>85</v>
      </c>
      <c r="D1182" t="s">
        <v>86</v>
      </c>
      <c r="E1182" t="s">
        <v>87</v>
      </c>
      <c r="F1182" t="s">
        <v>90</v>
      </c>
      <c r="G1182" t="s">
        <v>35</v>
      </c>
      <c r="H1182" t="s">
        <v>36</v>
      </c>
      <c r="I1182">
        <v>1224</v>
      </c>
    </row>
    <row r="1183" spans="1:9" ht="14.5" x14ac:dyDescent="0.35">
      <c r="A1183">
        <v>2</v>
      </c>
      <c r="B1183" t="s">
        <v>43</v>
      </c>
      <c r="C1183" t="s">
        <v>85</v>
      </c>
      <c r="D1183" t="s">
        <v>86</v>
      </c>
      <c r="E1183" t="s">
        <v>87</v>
      </c>
      <c r="F1183" t="s">
        <v>90</v>
      </c>
      <c r="G1183" t="s">
        <v>35</v>
      </c>
      <c r="H1183" t="s">
        <v>38</v>
      </c>
      <c r="I1183">
        <v>3874</v>
      </c>
    </row>
    <row r="1184" spans="1:9" ht="14.5" x14ac:dyDescent="0.35">
      <c r="A1184">
        <v>2</v>
      </c>
      <c r="B1184" t="s">
        <v>43</v>
      </c>
      <c r="C1184" t="s">
        <v>85</v>
      </c>
      <c r="D1184" t="s">
        <v>86</v>
      </c>
      <c r="E1184" t="s">
        <v>87</v>
      </c>
      <c r="F1184" t="s">
        <v>91</v>
      </c>
      <c r="G1184" t="s">
        <v>35</v>
      </c>
      <c r="H1184" t="s">
        <v>36</v>
      </c>
      <c r="I1184">
        <v>2179</v>
      </c>
    </row>
    <row r="1185" spans="1:9" ht="14.5" x14ac:dyDescent="0.35">
      <c r="A1185">
        <v>2</v>
      </c>
      <c r="B1185" t="s">
        <v>43</v>
      </c>
      <c r="C1185" t="s">
        <v>85</v>
      </c>
      <c r="D1185" t="s">
        <v>86</v>
      </c>
      <c r="E1185" t="s">
        <v>87</v>
      </c>
      <c r="F1185" t="s">
        <v>91</v>
      </c>
      <c r="G1185" t="s">
        <v>35</v>
      </c>
      <c r="H1185" t="s">
        <v>38</v>
      </c>
      <c r="I1185">
        <v>3346</v>
      </c>
    </row>
    <row r="1186" spans="1:9" ht="14.5" x14ac:dyDescent="0.35">
      <c r="A1186">
        <v>2</v>
      </c>
      <c r="B1186" t="s">
        <v>44</v>
      </c>
      <c r="C1186" t="s">
        <v>85</v>
      </c>
      <c r="D1186" t="s">
        <v>86</v>
      </c>
      <c r="E1186" t="s">
        <v>87</v>
      </c>
      <c r="F1186" t="s">
        <v>88</v>
      </c>
      <c r="G1186" t="s">
        <v>35</v>
      </c>
      <c r="H1186" t="s">
        <v>36</v>
      </c>
      <c r="I1186">
        <v>2682</v>
      </c>
    </row>
    <row r="1187" spans="1:9" ht="14.5" x14ac:dyDescent="0.35">
      <c r="A1187">
        <v>2</v>
      </c>
      <c r="B1187" t="s">
        <v>44</v>
      </c>
      <c r="C1187" t="s">
        <v>85</v>
      </c>
      <c r="D1187" t="s">
        <v>86</v>
      </c>
      <c r="E1187" t="s">
        <v>87</v>
      </c>
      <c r="F1187" t="s">
        <v>88</v>
      </c>
      <c r="G1187" t="s">
        <v>35</v>
      </c>
      <c r="H1187" t="s">
        <v>38</v>
      </c>
      <c r="I1187">
        <v>1159</v>
      </c>
    </row>
    <row r="1188" spans="1:9" ht="14.5" x14ac:dyDescent="0.35">
      <c r="A1188">
        <v>2</v>
      </c>
      <c r="B1188" t="s">
        <v>44</v>
      </c>
      <c r="C1188" t="s">
        <v>85</v>
      </c>
      <c r="D1188" t="s">
        <v>86</v>
      </c>
      <c r="E1188" t="s">
        <v>87</v>
      </c>
      <c r="F1188" t="s">
        <v>89</v>
      </c>
      <c r="G1188" t="s">
        <v>35</v>
      </c>
      <c r="H1188" t="s">
        <v>36</v>
      </c>
      <c r="I1188">
        <v>2324</v>
      </c>
    </row>
    <row r="1189" spans="1:9" ht="14.5" x14ac:dyDescent="0.35">
      <c r="A1189">
        <v>2</v>
      </c>
      <c r="B1189" t="s">
        <v>44</v>
      </c>
      <c r="C1189" t="s">
        <v>85</v>
      </c>
      <c r="D1189" t="s">
        <v>86</v>
      </c>
      <c r="E1189" t="s">
        <v>87</v>
      </c>
      <c r="F1189" t="s">
        <v>89</v>
      </c>
      <c r="G1189" t="s">
        <v>35</v>
      </c>
      <c r="H1189" t="s">
        <v>38</v>
      </c>
      <c r="I1189">
        <v>2380</v>
      </c>
    </row>
    <row r="1190" spans="1:9" ht="14.5" x14ac:dyDescent="0.35">
      <c r="A1190">
        <v>2</v>
      </c>
      <c r="B1190" t="s">
        <v>44</v>
      </c>
      <c r="C1190" t="s">
        <v>85</v>
      </c>
      <c r="D1190" t="s">
        <v>86</v>
      </c>
      <c r="E1190" t="s">
        <v>87</v>
      </c>
      <c r="F1190" t="s">
        <v>90</v>
      </c>
      <c r="G1190" t="s">
        <v>35</v>
      </c>
      <c r="H1190" t="s">
        <v>36</v>
      </c>
      <c r="I1190">
        <v>4809</v>
      </c>
    </row>
    <row r="1191" spans="1:9" ht="14.5" x14ac:dyDescent="0.35">
      <c r="A1191">
        <v>2</v>
      </c>
      <c r="B1191" t="s">
        <v>44</v>
      </c>
      <c r="C1191" t="s">
        <v>85</v>
      </c>
      <c r="D1191" t="s">
        <v>86</v>
      </c>
      <c r="E1191" t="s">
        <v>87</v>
      </c>
      <c r="F1191" t="s">
        <v>90</v>
      </c>
      <c r="G1191" t="s">
        <v>35</v>
      </c>
      <c r="H1191" t="s">
        <v>38</v>
      </c>
      <c r="I1191">
        <v>1871</v>
      </c>
    </row>
    <row r="1192" spans="1:9" ht="14.5" x14ac:dyDescent="0.35">
      <c r="A1192">
        <v>2</v>
      </c>
      <c r="B1192" t="s">
        <v>44</v>
      </c>
      <c r="C1192" t="s">
        <v>85</v>
      </c>
      <c r="D1192" t="s">
        <v>86</v>
      </c>
      <c r="E1192" t="s">
        <v>87</v>
      </c>
      <c r="F1192" t="s">
        <v>91</v>
      </c>
      <c r="G1192" t="s">
        <v>35</v>
      </c>
      <c r="H1192" t="s">
        <v>36</v>
      </c>
      <c r="I1192">
        <v>2625</v>
      </c>
    </row>
    <row r="1193" spans="1:9" ht="14.5" x14ac:dyDescent="0.35">
      <c r="A1193">
        <v>2</v>
      </c>
      <c r="B1193" t="s">
        <v>44</v>
      </c>
      <c r="C1193" t="s">
        <v>85</v>
      </c>
      <c r="D1193" t="s">
        <v>86</v>
      </c>
      <c r="E1193" t="s">
        <v>87</v>
      </c>
      <c r="F1193" t="s">
        <v>91</v>
      </c>
      <c r="G1193" t="s">
        <v>35</v>
      </c>
      <c r="H1193" t="s">
        <v>38</v>
      </c>
      <c r="I1193">
        <v>2970</v>
      </c>
    </row>
    <row r="1194" spans="1:9" ht="14.5" x14ac:dyDescent="0.35">
      <c r="A1194">
        <v>2</v>
      </c>
      <c r="B1194" t="s">
        <v>45</v>
      </c>
      <c r="C1194" t="s">
        <v>85</v>
      </c>
      <c r="D1194" t="s">
        <v>86</v>
      </c>
      <c r="E1194" t="s">
        <v>87</v>
      </c>
      <c r="F1194" t="s">
        <v>88</v>
      </c>
      <c r="G1194" t="s">
        <v>35</v>
      </c>
      <c r="H1194" t="s">
        <v>36</v>
      </c>
      <c r="I1194">
        <v>1144</v>
      </c>
    </row>
    <row r="1195" spans="1:9" ht="14.5" x14ac:dyDescent="0.35">
      <c r="A1195">
        <v>2</v>
      </c>
      <c r="B1195" t="s">
        <v>45</v>
      </c>
      <c r="C1195" t="s">
        <v>85</v>
      </c>
      <c r="D1195" t="s">
        <v>86</v>
      </c>
      <c r="E1195" t="s">
        <v>87</v>
      </c>
      <c r="F1195" t="s">
        <v>88</v>
      </c>
      <c r="G1195" t="s">
        <v>35</v>
      </c>
      <c r="H1195" t="s">
        <v>38</v>
      </c>
      <c r="I1195">
        <v>4362</v>
      </c>
    </row>
    <row r="1196" spans="1:9" ht="14.5" x14ac:dyDescent="0.35">
      <c r="A1196">
        <v>2</v>
      </c>
      <c r="B1196" t="s">
        <v>45</v>
      </c>
      <c r="C1196" t="s">
        <v>85</v>
      </c>
      <c r="D1196" t="s">
        <v>86</v>
      </c>
      <c r="E1196" t="s">
        <v>87</v>
      </c>
      <c r="F1196" t="s">
        <v>89</v>
      </c>
      <c r="G1196" t="s">
        <v>35</v>
      </c>
      <c r="H1196" t="s">
        <v>36</v>
      </c>
      <c r="I1196">
        <v>4970</v>
      </c>
    </row>
    <row r="1197" spans="1:9" ht="14.5" x14ac:dyDescent="0.35">
      <c r="A1197">
        <v>2</v>
      </c>
      <c r="B1197" t="s">
        <v>45</v>
      </c>
      <c r="C1197" t="s">
        <v>85</v>
      </c>
      <c r="D1197" t="s">
        <v>86</v>
      </c>
      <c r="E1197" t="s">
        <v>87</v>
      </c>
      <c r="F1197" t="s">
        <v>89</v>
      </c>
      <c r="G1197" t="s">
        <v>35</v>
      </c>
      <c r="H1197" t="s">
        <v>38</v>
      </c>
      <c r="I1197">
        <v>2911</v>
      </c>
    </row>
    <row r="1198" spans="1:9" ht="14.5" x14ac:dyDescent="0.35">
      <c r="A1198">
        <v>2</v>
      </c>
      <c r="B1198" t="s">
        <v>45</v>
      </c>
      <c r="C1198" t="s">
        <v>85</v>
      </c>
      <c r="D1198" t="s">
        <v>86</v>
      </c>
      <c r="E1198" t="s">
        <v>87</v>
      </c>
      <c r="F1198" t="s">
        <v>90</v>
      </c>
      <c r="G1198" t="s">
        <v>35</v>
      </c>
      <c r="H1198" t="s">
        <v>36</v>
      </c>
      <c r="I1198">
        <v>4159</v>
      </c>
    </row>
    <row r="1199" spans="1:9" ht="14.5" x14ac:dyDescent="0.35">
      <c r="A1199">
        <v>2</v>
      </c>
      <c r="B1199" t="s">
        <v>45</v>
      </c>
      <c r="C1199" t="s">
        <v>85</v>
      </c>
      <c r="D1199" t="s">
        <v>86</v>
      </c>
      <c r="E1199" t="s">
        <v>87</v>
      </c>
      <c r="F1199" t="s">
        <v>90</v>
      </c>
      <c r="G1199" t="s">
        <v>35</v>
      </c>
      <c r="H1199" t="s">
        <v>38</v>
      </c>
      <c r="I1199">
        <v>2996</v>
      </c>
    </row>
    <row r="1200" spans="1:9" ht="14.5" x14ac:dyDescent="0.35">
      <c r="A1200">
        <v>2</v>
      </c>
      <c r="B1200" t="s">
        <v>45</v>
      </c>
      <c r="C1200" t="s">
        <v>85</v>
      </c>
      <c r="D1200" t="s">
        <v>86</v>
      </c>
      <c r="E1200" t="s">
        <v>87</v>
      </c>
      <c r="F1200" t="s">
        <v>91</v>
      </c>
      <c r="G1200" t="s">
        <v>35</v>
      </c>
      <c r="H1200" t="s">
        <v>36</v>
      </c>
      <c r="I1200">
        <v>3643</v>
      </c>
    </row>
    <row r="1201" spans="1:9" ht="14.5" x14ac:dyDescent="0.35">
      <c r="A1201">
        <v>2</v>
      </c>
      <c r="B1201" t="s">
        <v>45</v>
      </c>
      <c r="C1201" t="s">
        <v>85</v>
      </c>
      <c r="D1201" t="s">
        <v>86</v>
      </c>
      <c r="E1201" t="s">
        <v>87</v>
      </c>
      <c r="F1201" t="s">
        <v>91</v>
      </c>
      <c r="G1201" t="s">
        <v>35</v>
      </c>
      <c r="H1201" t="s">
        <v>38</v>
      </c>
      <c r="I1201">
        <v>4448</v>
      </c>
    </row>
    <row r="1202" spans="1:9" ht="14.5" x14ac:dyDescent="0.35">
      <c r="A1202">
        <v>3</v>
      </c>
      <c r="B1202" t="s">
        <v>46</v>
      </c>
      <c r="C1202" t="s">
        <v>85</v>
      </c>
      <c r="D1202" t="s">
        <v>86</v>
      </c>
      <c r="E1202" t="s">
        <v>87</v>
      </c>
      <c r="F1202" t="s">
        <v>88</v>
      </c>
      <c r="G1202" t="s">
        <v>35</v>
      </c>
      <c r="H1202" t="s">
        <v>36</v>
      </c>
      <c r="I1202">
        <v>4658</v>
      </c>
    </row>
    <row r="1203" spans="1:9" ht="14.5" x14ac:dyDescent="0.35">
      <c r="A1203">
        <v>3</v>
      </c>
      <c r="B1203" t="s">
        <v>46</v>
      </c>
      <c r="C1203" t="s">
        <v>85</v>
      </c>
      <c r="D1203" t="s">
        <v>86</v>
      </c>
      <c r="E1203" t="s">
        <v>87</v>
      </c>
      <c r="F1203" t="s">
        <v>88</v>
      </c>
      <c r="G1203" t="s">
        <v>35</v>
      </c>
      <c r="H1203" t="s">
        <v>38</v>
      </c>
      <c r="I1203">
        <v>4976</v>
      </c>
    </row>
    <row r="1204" spans="1:9" ht="14.5" x14ac:dyDescent="0.35">
      <c r="A1204">
        <v>3</v>
      </c>
      <c r="B1204" t="s">
        <v>46</v>
      </c>
      <c r="C1204" t="s">
        <v>85</v>
      </c>
      <c r="D1204" t="s">
        <v>86</v>
      </c>
      <c r="E1204" t="s">
        <v>87</v>
      </c>
      <c r="F1204" t="s">
        <v>89</v>
      </c>
      <c r="G1204" t="s">
        <v>35</v>
      </c>
      <c r="H1204" t="s">
        <v>36</v>
      </c>
      <c r="I1204">
        <v>2763</v>
      </c>
    </row>
    <row r="1205" spans="1:9" ht="14.5" x14ac:dyDescent="0.35">
      <c r="A1205">
        <v>3</v>
      </c>
      <c r="B1205" t="s">
        <v>46</v>
      </c>
      <c r="C1205" t="s">
        <v>85</v>
      </c>
      <c r="D1205" t="s">
        <v>86</v>
      </c>
      <c r="E1205" t="s">
        <v>87</v>
      </c>
      <c r="F1205" t="s">
        <v>89</v>
      </c>
      <c r="G1205" t="s">
        <v>35</v>
      </c>
      <c r="H1205" t="s">
        <v>38</v>
      </c>
      <c r="I1205">
        <v>3438</v>
      </c>
    </row>
    <row r="1206" spans="1:9" ht="14.5" x14ac:dyDescent="0.35">
      <c r="A1206">
        <v>3</v>
      </c>
      <c r="B1206" t="s">
        <v>46</v>
      </c>
      <c r="C1206" t="s">
        <v>85</v>
      </c>
      <c r="D1206" t="s">
        <v>86</v>
      </c>
      <c r="E1206" t="s">
        <v>87</v>
      </c>
      <c r="F1206" t="s">
        <v>90</v>
      </c>
      <c r="G1206" t="s">
        <v>35</v>
      </c>
      <c r="H1206" t="s">
        <v>36</v>
      </c>
      <c r="I1206">
        <v>1493</v>
      </c>
    </row>
    <row r="1207" spans="1:9" ht="14.5" x14ac:dyDescent="0.35">
      <c r="A1207">
        <v>3</v>
      </c>
      <c r="B1207" t="s">
        <v>46</v>
      </c>
      <c r="C1207" t="s">
        <v>85</v>
      </c>
      <c r="D1207" t="s">
        <v>86</v>
      </c>
      <c r="E1207" t="s">
        <v>87</v>
      </c>
      <c r="F1207" t="s">
        <v>90</v>
      </c>
      <c r="G1207" t="s">
        <v>35</v>
      </c>
      <c r="H1207" t="s">
        <v>38</v>
      </c>
      <c r="I1207">
        <v>2361</v>
      </c>
    </row>
    <row r="1208" spans="1:9" ht="14.5" x14ac:dyDescent="0.35">
      <c r="A1208">
        <v>3</v>
      </c>
      <c r="B1208" t="s">
        <v>46</v>
      </c>
      <c r="C1208" t="s">
        <v>85</v>
      </c>
      <c r="D1208" t="s">
        <v>86</v>
      </c>
      <c r="E1208" t="s">
        <v>87</v>
      </c>
      <c r="F1208" t="s">
        <v>91</v>
      </c>
      <c r="G1208" t="s">
        <v>35</v>
      </c>
      <c r="H1208" t="s">
        <v>36</v>
      </c>
      <c r="I1208">
        <v>3617</v>
      </c>
    </row>
    <row r="1209" spans="1:9" ht="14.5" x14ac:dyDescent="0.35">
      <c r="A1209">
        <v>3</v>
      </c>
      <c r="B1209" t="s">
        <v>46</v>
      </c>
      <c r="C1209" t="s">
        <v>85</v>
      </c>
      <c r="D1209" t="s">
        <v>86</v>
      </c>
      <c r="E1209" t="s">
        <v>87</v>
      </c>
      <c r="F1209" t="s">
        <v>91</v>
      </c>
      <c r="G1209" t="s">
        <v>35</v>
      </c>
      <c r="H1209" t="s">
        <v>38</v>
      </c>
      <c r="I1209">
        <v>2902</v>
      </c>
    </row>
    <row r="1210" spans="1:9" ht="14.5" x14ac:dyDescent="0.35">
      <c r="A1210">
        <v>3</v>
      </c>
      <c r="B1210" t="s">
        <v>47</v>
      </c>
      <c r="C1210" t="s">
        <v>85</v>
      </c>
      <c r="D1210" t="s">
        <v>86</v>
      </c>
      <c r="E1210" t="s">
        <v>87</v>
      </c>
      <c r="F1210" t="s">
        <v>88</v>
      </c>
      <c r="G1210" t="s">
        <v>35</v>
      </c>
      <c r="H1210" t="s">
        <v>36</v>
      </c>
      <c r="I1210">
        <v>3398</v>
      </c>
    </row>
    <row r="1211" spans="1:9" ht="14.5" x14ac:dyDescent="0.35">
      <c r="A1211">
        <v>3</v>
      </c>
      <c r="B1211" t="s">
        <v>47</v>
      </c>
      <c r="C1211" t="s">
        <v>85</v>
      </c>
      <c r="D1211" t="s">
        <v>86</v>
      </c>
      <c r="E1211" t="s">
        <v>87</v>
      </c>
      <c r="F1211" t="s">
        <v>88</v>
      </c>
      <c r="G1211" t="s">
        <v>35</v>
      </c>
      <c r="H1211" t="s">
        <v>38</v>
      </c>
      <c r="I1211">
        <v>4855</v>
      </c>
    </row>
    <row r="1212" spans="1:9" ht="14.5" x14ac:dyDescent="0.35">
      <c r="A1212">
        <v>3</v>
      </c>
      <c r="B1212" t="s">
        <v>47</v>
      </c>
      <c r="C1212" t="s">
        <v>85</v>
      </c>
      <c r="D1212" t="s">
        <v>86</v>
      </c>
      <c r="E1212" t="s">
        <v>87</v>
      </c>
      <c r="F1212" t="s">
        <v>89</v>
      </c>
      <c r="G1212" t="s">
        <v>35</v>
      </c>
      <c r="H1212" t="s">
        <v>36</v>
      </c>
      <c r="I1212">
        <v>3083</v>
      </c>
    </row>
    <row r="1213" spans="1:9" ht="14.5" x14ac:dyDescent="0.35">
      <c r="A1213">
        <v>3</v>
      </c>
      <c r="B1213" t="s">
        <v>47</v>
      </c>
      <c r="C1213" t="s">
        <v>85</v>
      </c>
      <c r="D1213" t="s">
        <v>86</v>
      </c>
      <c r="E1213" t="s">
        <v>87</v>
      </c>
      <c r="F1213" t="s">
        <v>89</v>
      </c>
      <c r="G1213" t="s">
        <v>35</v>
      </c>
      <c r="H1213" t="s">
        <v>38</v>
      </c>
      <c r="I1213">
        <v>2826</v>
      </c>
    </row>
    <row r="1214" spans="1:9" ht="14.5" x14ac:dyDescent="0.35">
      <c r="A1214">
        <v>3</v>
      </c>
      <c r="B1214" t="s">
        <v>47</v>
      </c>
      <c r="C1214" t="s">
        <v>85</v>
      </c>
      <c r="D1214" t="s">
        <v>86</v>
      </c>
      <c r="E1214" t="s">
        <v>87</v>
      </c>
      <c r="F1214" t="s">
        <v>90</v>
      </c>
      <c r="G1214" t="s">
        <v>35</v>
      </c>
      <c r="H1214" t="s">
        <v>36</v>
      </c>
      <c r="I1214">
        <v>3000</v>
      </c>
    </row>
    <row r="1215" spans="1:9" ht="14.5" x14ac:dyDescent="0.35">
      <c r="A1215">
        <v>3</v>
      </c>
      <c r="B1215" t="s">
        <v>47</v>
      </c>
      <c r="C1215" t="s">
        <v>85</v>
      </c>
      <c r="D1215" t="s">
        <v>86</v>
      </c>
      <c r="E1215" t="s">
        <v>87</v>
      </c>
      <c r="F1215" t="s">
        <v>90</v>
      </c>
      <c r="G1215" t="s">
        <v>35</v>
      </c>
      <c r="H1215" t="s">
        <v>38</v>
      </c>
      <c r="I1215">
        <v>3584</v>
      </c>
    </row>
    <row r="1216" spans="1:9" ht="14.5" x14ac:dyDescent="0.35">
      <c r="A1216">
        <v>3</v>
      </c>
      <c r="B1216" t="s">
        <v>47</v>
      </c>
      <c r="C1216" t="s">
        <v>85</v>
      </c>
      <c r="D1216" t="s">
        <v>86</v>
      </c>
      <c r="E1216" t="s">
        <v>87</v>
      </c>
      <c r="F1216" t="s">
        <v>91</v>
      </c>
      <c r="G1216" t="s">
        <v>35</v>
      </c>
      <c r="H1216" t="s">
        <v>36</v>
      </c>
      <c r="I1216">
        <v>1865</v>
      </c>
    </row>
    <row r="1217" spans="1:9" ht="14.5" x14ac:dyDescent="0.35">
      <c r="A1217">
        <v>3</v>
      </c>
      <c r="B1217" t="s">
        <v>47</v>
      </c>
      <c r="C1217" t="s">
        <v>85</v>
      </c>
      <c r="D1217" t="s">
        <v>86</v>
      </c>
      <c r="E1217" t="s">
        <v>87</v>
      </c>
      <c r="F1217" t="s">
        <v>91</v>
      </c>
      <c r="G1217" t="s">
        <v>35</v>
      </c>
      <c r="H1217" t="s">
        <v>38</v>
      </c>
      <c r="I1217">
        <v>2136</v>
      </c>
    </row>
    <row r="1218" spans="1:9" ht="14.5" x14ac:dyDescent="0.35">
      <c r="A1218">
        <v>3</v>
      </c>
      <c r="B1218" t="s">
        <v>48</v>
      </c>
      <c r="C1218" t="s">
        <v>85</v>
      </c>
      <c r="D1218" t="s">
        <v>86</v>
      </c>
      <c r="E1218" t="s">
        <v>87</v>
      </c>
      <c r="F1218" t="s">
        <v>88</v>
      </c>
      <c r="G1218" t="s">
        <v>35</v>
      </c>
      <c r="H1218" t="s">
        <v>36</v>
      </c>
      <c r="I1218">
        <v>4728</v>
      </c>
    </row>
    <row r="1219" spans="1:9" ht="14.5" x14ac:dyDescent="0.35">
      <c r="A1219">
        <v>3</v>
      </c>
      <c r="B1219" t="s">
        <v>48</v>
      </c>
      <c r="C1219" t="s">
        <v>85</v>
      </c>
      <c r="D1219" t="s">
        <v>86</v>
      </c>
      <c r="E1219" t="s">
        <v>87</v>
      </c>
      <c r="F1219" t="s">
        <v>88</v>
      </c>
      <c r="G1219" t="s">
        <v>35</v>
      </c>
      <c r="H1219" t="s">
        <v>38</v>
      </c>
      <c r="I1219">
        <v>3026</v>
      </c>
    </row>
    <row r="1220" spans="1:9" ht="14.5" x14ac:dyDescent="0.35">
      <c r="A1220">
        <v>3</v>
      </c>
      <c r="B1220" t="s">
        <v>48</v>
      </c>
      <c r="C1220" t="s">
        <v>85</v>
      </c>
      <c r="D1220" t="s">
        <v>86</v>
      </c>
      <c r="E1220" t="s">
        <v>87</v>
      </c>
      <c r="F1220" t="s">
        <v>89</v>
      </c>
      <c r="G1220" t="s">
        <v>35</v>
      </c>
      <c r="H1220" t="s">
        <v>36</v>
      </c>
      <c r="I1220">
        <v>4327</v>
      </c>
    </row>
    <row r="1221" spans="1:9" ht="14.5" x14ac:dyDescent="0.35">
      <c r="A1221">
        <v>3</v>
      </c>
      <c r="B1221" t="s">
        <v>48</v>
      </c>
      <c r="C1221" t="s">
        <v>85</v>
      </c>
      <c r="D1221" t="s">
        <v>86</v>
      </c>
      <c r="E1221" t="s">
        <v>87</v>
      </c>
      <c r="F1221" t="s">
        <v>89</v>
      </c>
      <c r="G1221" t="s">
        <v>35</v>
      </c>
      <c r="H1221" t="s">
        <v>38</v>
      </c>
      <c r="I1221">
        <v>1363</v>
      </c>
    </row>
    <row r="1222" spans="1:9" ht="14.5" x14ac:dyDescent="0.35">
      <c r="A1222">
        <v>3</v>
      </c>
      <c r="B1222" t="s">
        <v>48</v>
      </c>
      <c r="C1222" t="s">
        <v>85</v>
      </c>
      <c r="D1222" t="s">
        <v>86</v>
      </c>
      <c r="E1222" t="s">
        <v>87</v>
      </c>
      <c r="F1222" t="s">
        <v>90</v>
      </c>
      <c r="G1222" t="s">
        <v>35</v>
      </c>
      <c r="H1222" t="s">
        <v>36</v>
      </c>
      <c r="I1222">
        <v>3547</v>
      </c>
    </row>
    <row r="1223" spans="1:9" ht="14.5" x14ac:dyDescent="0.35">
      <c r="A1223">
        <v>3</v>
      </c>
      <c r="B1223" t="s">
        <v>48</v>
      </c>
      <c r="C1223" t="s">
        <v>85</v>
      </c>
      <c r="D1223" t="s">
        <v>86</v>
      </c>
      <c r="E1223" t="s">
        <v>87</v>
      </c>
      <c r="F1223" t="s">
        <v>90</v>
      </c>
      <c r="G1223" t="s">
        <v>35</v>
      </c>
      <c r="H1223" t="s">
        <v>38</v>
      </c>
      <c r="I1223">
        <v>3607</v>
      </c>
    </row>
    <row r="1224" spans="1:9" ht="14.5" x14ac:dyDescent="0.35">
      <c r="A1224">
        <v>3</v>
      </c>
      <c r="B1224" t="s">
        <v>48</v>
      </c>
      <c r="C1224" t="s">
        <v>85</v>
      </c>
      <c r="D1224" t="s">
        <v>86</v>
      </c>
      <c r="E1224" t="s">
        <v>87</v>
      </c>
      <c r="F1224" t="s">
        <v>91</v>
      </c>
      <c r="G1224" t="s">
        <v>35</v>
      </c>
      <c r="H1224" t="s">
        <v>36</v>
      </c>
      <c r="I1224">
        <v>3786</v>
      </c>
    </row>
    <row r="1225" spans="1:9" ht="14.5" x14ac:dyDescent="0.35">
      <c r="A1225">
        <v>3</v>
      </c>
      <c r="B1225" t="s">
        <v>48</v>
      </c>
      <c r="C1225" t="s">
        <v>85</v>
      </c>
      <c r="D1225" t="s">
        <v>86</v>
      </c>
      <c r="E1225" t="s">
        <v>87</v>
      </c>
      <c r="F1225" t="s">
        <v>91</v>
      </c>
      <c r="G1225" t="s">
        <v>35</v>
      </c>
      <c r="H1225" t="s">
        <v>38</v>
      </c>
      <c r="I1225">
        <v>3464</v>
      </c>
    </row>
    <row r="1226" spans="1:9" ht="14.5" x14ac:dyDescent="0.35">
      <c r="A1226">
        <v>4</v>
      </c>
      <c r="B1226" t="s">
        <v>49</v>
      </c>
      <c r="C1226" t="s">
        <v>85</v>
      </c>
      <c r="D1226" t="s">
        <v>86</v>
      </c>
      <c r="E1226" t="s">
        <v>87</v>
      </c>
      <c r="F1226" t="s">
        <v>88</v>
      </c>
      <c r="G1226" t="s">
        <v>35</v>
      </c>
      <c r="H1226" t="s">
        <v>36</v>
      </c>
      <c r="I1226">
        <v>2706</v>
      </c>
    </row>
    <row r="1227" spans="1:9" ht="14.5" x14ac:dyDescent="0.35">
      <c r="A1227">
        <v>4</v>
      </c>
      <c r="B1227" t="s">
        <v>49</v>
      </c>
      <c r="C1227" t="s">
        <v>85</v>
      </c>
      <c r="D1227" t="s">
        <v>86</v>
      </c>
      <c r="E1227" t="s">
        <v>87</v>
      </c>
      <c r="F1227" t="s">
        <v>88</v>
      </c>
      <c r="G1227" t="s">
        <v>35</v>
      </c>
      <c r="H1227" t="s">
        <v>38</v>
      </c>
      <c r="I1227">
        <v>3218</v>
      </c>
    </row>
    <row r="1228" spans="1:9" ht="14.5" x14ac:dyDescent="0.35">
      <c r="A1228">
        <v>4</v>
      </c>
      <c r="B1228" t="s">
        <v>49</v>
      </c>
      <c r="C1228" t="s">
        <v>85</v>
      </c>
      <c r="D1228" t="s">
        <v>86</v>
      </c>
      <c r="E1228" t="s">
        <v>87</v>
      </c>
      <c r="F1228" t="s">
        <v>89</v>
      </c>
      <c r="G1228" t="s">
        <v>35</v>
      </c>
      <c r="H1228" t="s">
        <v>36</v>
      </c>
      <c r="I1228">
        <v>4982</v>
      </c>
    </row>
    <row r="1229" spans="1:9" ht="14.5" x14ac:dyDescent="0.35">
      <c r="A1229">
        <v>4</v>
      </c>
      <c r="B1229" t="s">
        <v>49</v>
      </c>
      <c r="C1229" t="s">
        <v>85</v>
      </c>
      <c r="D1229" t="s">
        <v>86</v>
      </c>
      <c r="E1229" t="s">
        <v>87</v>
      </c>
      <c r="F1229" t="s">
        <v>89</v>
      </c>
      <c r="G1229" t="s">
        <v>35</v>
      </c>
      <c r="H1229" t="s">
        <v>38</v>
      </c>
      <c r="I1229">
        <v>2491</v>
      </c>
    </row>
    <row r="1230" spans="1:9" ht="14.5" x14ac:dyDescent="0.35">
      <c r="A1230">
        <v>4</v>
      </c>
      <c r="B1230" t="s">
        <v>49</v>
      </c>
      <c r="C1230" t="s">
        <v>85</v>
      </c>
      <c r="D1230" t="s">
        <v>86</v>
      </c>
      <c r="E1230" t="s">
        <v>87</v>
      </c>
      <c r="F1230" t="s">
        <v>90</v>
      </c>
      <c r="G1230" t="s">
        <v>35</v>
      </c>
      <c r="H1230" t="s">
        <v>36</v>
      </c>
      <c r="I1230">
        <v>2585</v>
      </c>
    </row>
    <row r="1231" spans="1:9" ht="14.5" x14ac:dyDescent="0.35">
      <c r="A1231">
        <v>4</v>
      </c>
      <c r="B1231" t="s">
        <v>49</v>
      </c>
      <c r="C1231" t="s">
        <v>85</v>
      </c>
      <c r="D1231" t="s">
        <v>86</v>
      </c>
      <c r="E1231" t="s">
        <v>87</v>
      </c>
      <c r="F1231" t="s">
        <v>90</v>
      </c>
      <c r="G1231" t="s">
        <v>35</v>
      </c>
      <c r="H1231" t="s">
        <v>38</v>
      </c>
      <c r="I1231">
        <v>3857</v>
      </c>
    </row>
    <row r="1232" spans="1:9" ht="14.5" x14ac:dyDescent="0.35">
      <c r="A1232">
        <v>4</v>
      </c>
      <c r="B1232" t="s">
        <v>49</v>
      </c>
      <c r="C1232" t="s">
        <v>85</v>
      </c>
      <c r="D1232" t="s">
        <v>86</v>
      </c>
      <c r="E1232" t="s">
        <v>87</v>
      </c>
      <c r="F1232" t="s">
        <v>91</v>
      </c>
      <c r="G1232" t="s">
        <v>35</v>
      </c>
      <c r="H1232" t="s">
        <v>36</v>
      </c>
      <c r="I1232">
        <v>2620</v>
      </c>
    </row>
    <row r="1233" spans="1:9" ht="14.5" x14ac:dyDescent="0.35">
      <c r="A1233">
        <v>4</v>
      </c>
      <c r="B1233" t="s">
        <v>49</v>
      </c>
      <c r="C1233" t="s">
        <v>85</v>
      </c>
      <c r="D1233" t="s">
        <v>86</v>
      </c>
      <c r="E1233" t="s">
        <v>87</v>
      </c>
      <c r="F1233" t="s">
        <v>91</v>
      </c>
      <c r="G1233" t="s">
        <v>35</v>
      </c>
      <c r="H1233" t="s">
        <v>38</v>
      </c>
      <c r="I1233">
        <v>4605</v>
      </c>
    </row>
    <row r="1234" spans="1:9" ht="14.5" x14ac:dyDescent="0.35">
      <c r="A1234">
        <v>4</v>
      </c>
      <c r="B1234" t="s">
        <v>50</v>
      </c>
      <c r="C1234" t="s">
        <v>85</v>
      </c>
      <c r="D1234" t="s">
        <v>86</v>
      </c>
      <c r="E1234" t="s">
        <v>87</v>
      </c>
      <c r="F1234" t="s">
        <v>88</v>
      </c>
      <c r="G1234" t="s">
        <v>35</v>
      </c>
      <c r="H1234" t="s">
        <v>36</v>
      </c>
      <c r="I1234">
        <v>3702</v>
      </c>
    </row>
    <row r="1235" spans="1:9" ht="14.5" x14ac:dyDescent="0.35">
      <c r="A1235">
        <v>4</v>
      </c>
      <c r="B1235" t="s">
        <v>50</v>
      </c>
      <c r="C1235" t="s">
        <v>85</v>
      </c>
      <c r="D1235" t="s">
        <v>86</v>
      </c>
      <c r="E1235" t="s">
        <v>87</v>
      </c>
      <c r="F1235" t="s">
        <v>88</v>
      </c>
      <c r="G1235" t="s">
        <v>35</v>
      </c>
      <c r="H1235" t="s">
        <v>38</v>
      </c>
      <c r="I1235">
        <v>4003</v>
      </c>
    </row>
    <row r="1236" spans="1:9" ht="14.5" x14ac:dyDescent="0.35">
      <c r="A1236">
        <v>4</v>
      </c>
      <c r="B1236" t="s">
        <v>50</v>
      </c>
      <c r="C1236" t="s">
        <v>85</v>
      </c>
      <c r="D1236" t="s">
        <v>86</v>
      </c>
      <c r="E1236" t="s">
        <v>87</v>
      </c>
      <c r="F1236" t="s">
        <v>89</v>
      </c>
      <c r="G1236" t="s">
        <v>35</v>
      </c>
      <c r="H1236" t="s">
        <v>36</v>
      </c>
      <c r="I1236">
        <v>1105</v>
      </c>
    </row>
    <row r="1237" spans="1:9" ht="14.5" x14ac:dyDescent="0.35">
      <c r="A1237">
        <v>4</v>
      </c>
      <c r="B1237" t="s">
        <v>50</v>
      </c>
      <c r="C1237" t="s">
        <v>85</v>
      </c>
      <c r="D1237" t="s">
        <v>86</v>
      </c>
      <c r="E1237" t="s">
        <v>87</v>
      </c>
      <c r="F1237" t="s">
        <v>89</v>
      </c>
      <c r="G1237" t="s">
        <v>35</v>
      </c>
      <c r="H1237" t="s">
        <v>38</v>
      </c>
      <c r="I1237">
        <v>1032</v>
      </c>
    </row>
    <row r="1238" spans="1:9" ht="14.5" x14ac:dyDescent="0.35">
      <c r="A1238">
        <v>4</v>
      </c>
      <c r="B1238" t="s">
        <v>50</v>
      </c>
      <c r="C1238" t="s">
        <v>85</v>
      </c>
      <c r="D1238" t="s">
        <v>86</v>
      </c>
      <c r="E1238" t="s">
        <v>87</v>
      </c>
      <c r="F1238" t="s">
        <v>90</v>
      </c>
      <c r="G1238" t="s">
        <v>35</v>
      </c>
      <c r="H1238" t="s">
        <v>36</v>
      </c>
      <c r="I1238">
        <v>2769</v>
      </c>
    </row>
    <row r="1239" spans="1:9" ht="14.5" x14ac:dyDescent="0.35">
      <c r="A1239">
        <v>4</v>
      </c>
      <c r="B1239" t="s">
        <v>50</v>
      </c>
      <c r="C1239" t="s">
        <v>85</v>
      </c>
      <c r="D1239" t="s">
        <v>86</v>
      </c>
      <c r="E1239" t="s">
        <v>87</v>
      </c>
      <c r="F1239" t="s">
        <v>90</v>
      </c>
      <c r="G1239" t="s">
        <v>35</v>
      </c>
      <c r="H1239" t="s">
        <v>38</v>
      </c>
      <c r="I1239">
        <v>4357</v>
      </c>
    </row>
    <row r="1240" spans="1:9" ht="14.5" x14ac:dyDescent="0.35">
      <c r="A1240">
        <v>4</v>
      </c>
      <c r="B1240" t="s">
        <v>50</v>
      </c>
      <c r="C1240" t="s">
        <v>85</v>
      </c>
      <c r="D1240" t="s">
        <v>86</v>
      </c>
      <c r="E1240" t="s">
        <v>87</v>
      </c>
      <c r="F1240" t="s">
        <v>91</v>
      </c>
      <c r="G1240" t="s">
        <v>35</v>
      </c>
      <c r="H1240" t="s">
        <v>36</v>
      </c>
      <c r="I1240">
        <v>3208</v>
      </c>
    </row>
    <row r="1241" spans="1:9" ht="14.5" x14ac:dyDescent="0.35">
      <c r="A1241">
        <v>4</v>
      </c>
      <c r="B1241" t="s">
        <v>50</v>
      </c>
      <c r="C1241" t="s">
        <v>85</v>
      </c>
      <c r="D1241" t="s">
        <v>86</v>
      </c>
      <c r="E1241" t="s">
        <v>87</v>
      </c>
      <c r="F1241" t="s">
        <v>91</v>
      </c>
      <c r="G1241" t="s">
        <v>35</v>
      </c>
      <c r="H1241" t="s">
        <v>38</v>
      </c>
      <c r="I1241">
        <v>3599</v>
      </c>
    </row>
    <row r="1242" spans="1:9" ht="14.5" x14ac:dyDescent="0.35">
      <c r="A1242">
        <v>4</v>
      </c>
      <c r="B1242" t="s">
        <v>51</v>
      </c>
      <c r="C1242" t="s">
        <v>85</v>
      </c>
      <c r="D1242" t="s">
        <v>86</v>
      </c>
      <c r="E1242" t="s">
        <v>87</v>
      </c>
      <c r="F1242" t="s">
        <v>88</v>
      </c>
      <c r="G1242" t="s">
        <v>35</v>
      </c>
      <c r="H1242" t="s">
        <v>36</v>
      </c>
      <c r="I1242">
        <v>4972</v>
      </c>
    </row>
    <row r="1243" spans="1:9" ht="14.5" x14ac:dyDescent="0.35">
      <c r="A1243">
        <v>4</v>
      </c>
      <c r="B1243" t="s">
        <v>51</v>
      </c>
      <c r="C1243" t="s">
        <v>85</v>
      </c>
      <c r="D1243" t="s">
        <v>86</v>
      </c>
      <c r="E1243" t="s">
        <v>87</v>
      </c>
      <c r="F1243" t="s">
        <v>88</v>
      </c>
      <c r="G1243" t="s">
        <v>35</v>
      </c>
      <c r="H1243" t="s">
        <v>38</v>
      </c>
      <c r="I1243">
        <v>3457</v>
      </c>
    </row>
    <row r="1244" spans="1:9" ht="14.5" x14ac:dyDescent="0.35">
      <c r="A1244">
        <v>4</v>
      </c>
      <c r="B1244" t="s">
        <v>51</v>
      </c>
      <c r="C1244" t="s">
        <v>85</v>
      </c>
      <c r="D1244" t="s">
        <v>86</v>
      </c>
      <c r="E1244" t="s">
        <v>87</v>
      </c>
      <c r="F1244" t="s">
        <v>89</v>
      </c>
      <c r="G1244" t="s">
        <v>35</v>
      </c>
      <c r="H1244" t="s">
        <v>36</v>
      </c>
      <c r="I1244">
        <v>1633</v>
      </c>
    </row>
    <row r="1245" spans="1:9" ht="14.5" x14ac:dyDescent="0.35">
      <c r="A1245">
        <v>4</v>
      </c>
      <c r="B1245" t="s">
        <v>51</v>
      </c>
      <c r="C1245" t="s">
        <v>85</v>
      </c>
      <c r="D1245" t="s">
        <v>86</v>
      </c>
      <c r="E1245" t="s">
        <v>87</v>
      </c>
      <c r="F1245" t="s">
        <v>89</v>
      </c>
      <c r="G1245" t="s">
        <v>35</v>
      </c>
      <c r="H1245" t="s">
        <v>38</v>
      </c>
      <c r="I1245">
        <v>4138</v>
      </c>
    </row>
    <row r="1246" spans="1:9" ht="14.5" x14ac:dyDescent="0.35">
      <c r="A1246">
        <v>4</v>
      </c>
      <c r="B1246" t="s">
        <v>51</v>
      </c>
      <c r="C1246" t="s">
        <v>85</v>
      </c>
      <c r="D1246" t="s">
        <v>86</v>
      </c>
      <c r="E1246" t="s">
        <v>87</v>
      </c>
      <c r="F1246" t="s">
        <v>90</v>
      </c>
      <c r="G1246" t="s">
        <v>35</v>
      </c>
      <c r="H1246" t="s">
        <v>36</v>
      </c>
      <c r="I1246">
        <v>3174</v>
      </c>
    </row>
    <row r="1247" spans="1:9" ht="14.5" x14ac:dyDescent="0.35">
      <c r="A1247">
        <v>4</v>
      </c>
      <c r="B1247" t="s">
        <v>51</v>
      </c>
      <c r="C1247" t="s">
        <v>85</v>
      </c>
      <c r="D1247" t="s">
        <v>86</v>
      </c>
      <c r="E1247" t="s">
        <v>87</v>
      </c>
      <c r="F1247" t="s">
        <v>90</v>
      </c>
      <c r="G1247" t="s">
        <v>35</v>
      </c>
      <c r="H1247" t="s">
        <v>38</v>
      </c>
      <c r="I1247">
        <v>3910</v>
      </c>
    </row>
    <row r="1248" spans="1:9" ht="14.5" x14ac:dyDescent="0.35">
      <c r="A1248">
        <v>4</v>
      </c>
      <c r="B1248" t="s">
        <v>51</v>
      </c>
      <c r="C1248" t="s">
        <v>85</v>
      </c>
      <c r="D1248" t="s">
        <v>86</v>
      </c>
      <c r="E1248" t="s">
        <v>87</v>
      </c>
      <c r="F1248" t="s">
        <v>91</v>
      </c>
      <c r="G1248" t="s">
        <v>35</v>
      </c>
      <c r="H1248" t="s">
        <v>36</v>
      </c>
      <c r="I1248">
        <v>1782</v>
      </c>
    </row>
    <row r="1249" spans="1:9" ht="14.5" x14ac:dyDescent="0.35">
      <c r="A1249">
        <v>4</v>
      </c>
      <c r="B1249" t="s">
        <v>51</v>
      </c>
      <c r="C1249" t="s">
        <v>85</v>
      </c>
      <c r="D1249" t="s">
        <v>86</v>
      </c>
      <c r="E1249" t="s">
        <v>87</v>
      </c>
      <c r="F1249" t="s">
        <v>91</v>
      </c>
      <c r="G1249" t="s">
        <v>35</v>
      </c>
      <c r="H1249" t="s">
        <v>38</v>
      </c>
      <c r="I1249">
        <v>3859</v>
      </c>
    </row>
    <row r="1250" spans="1:9" ht="14.5" x14ac:dyDescent="0.35">
      <c r="A1250">
        <v>1</v>
      </c>
      <c r="B1250" t="s">
        <v>30</v>
      </c>
      <c r="C1250" t="s">
        <v>85</v>
      </c>
      <c r="D1250" t="s">
        <v>86</v>
      </c>
      <c r="E1250" t="s">
        <v>87</v>
      </c>
      <c r="F1250" t="s">
        <v>88</v>
      </c>
      <c r="G1250" t="s">
        <v>52</v>
      </c>
      <c r="H1250" t="s">
        <v>36</v>
      </c>
      <c r="I1250">
        <v>3249</v>
      </c>
    </row>
    <row r="1251" spans="1:9" ht="14.5" x14ac:dyDescent="0.35">
      <c r="A1251">
        <v>1</v>
      </c>
      <c r="B1251" t="s">
        <v>30</v>
      </c>
      <c r="C1251" t="s">
        <v>85</v>
      </c>
      <c r="D1251" t="s">
        <v>86</v>
      </c>
      <c r="E1251" t="s">
        <v>87</v>
      </c>
      <c r="F1251" t="s">
        <v>88</v>
      </c>
      <c r="G1251" t="s">
        <v>52</v>
      </c>
      <c r="H1251" t="s">
        <v>38</v>
      </c>
      <c r="I1251">
        <v>3454</v>
      </c>
    </row>
    <row r="1252" spans="1:9" ht="14.5" x14ac:dyDescent="0.35">
      <c r="A1252">
        <v>1</v>
      </c>
      <c r="B1252" t="s">
        <v>30</v>
      </c>
      <c r="C1252" t="s">
        <v>85</v>
      </c>
      <c r="D1252" t="s">
        <v>86</v>
      </c>
      <c r="E1252" t="s">
        <v>87</v>
      </c>
      <c r="F1252" t="s">
        <v>89</v>
      </c>
      <c r="G1252" t="s">
        <v>52</v>
      </c>
      <c r="H1252" t="s">
        <v>36</v>
      </c>
      <c r="I1252">
        <v>4124</v>
      </c>
    </row>
    <row r="1253" spans="1:9" ht="14.5" x14ac:dyDescent="0.35">
      <c r="A1253">
        <v>1</v>
      </c>
      <c r="B1253" t="s">
        <v>30</v>
      </c>
      <c r="C1253" t="s">
        <v>85</v>
      </c>
      <c r="D1253" t="s">
        <v>86</v>
      </c>
      <c r="E1253" t="s">
        <v>87</v>
      </c>
      <c r="F1253" t="s">
        <v>89</v>
      </c>
      <c r="G1253" t="s">
        <v>52</v>
      </c>
      <c r="H1253" t="s">
        <v>38</v>
      </c>
      <c r="I1253">
        <v>3070</v>
      </c>
    </row>
    <row r="1254" spans="1:9" ht="14.5" x14ac:dyDescent="0.35">
      <c r="A1254">
        <v>1</v>
      </c>
      <c r="B1254" t="s">
        <v>30</v>
      </c>
      <c r="C1254" t="s">
        <v>85</v>
      </c>
      <c r="D1254" t="s">
        <v>86</v>
      </c>
      <c r="E1254" t="s">
        <v>87</v>
      </c>
      <c r="F1254" t="s">
        <v>90</v>
      </c>
      <c r="G1254" t="s">
        <v>52</v>
      </c>
      <c r="H1254" t="s">
        <v>36</v>
      </c>
      <c r="I1254">
        <v>4037</v>
      </c>
    </row>
    <row r="1255" spans="1:9" ht="14.5" x14ac:dyDescent="0.35">
      <c r="A1255">
        <v>1</v>
      </c>
      <c r="B1255" t="s">
        <v>30</v>
      </c>
      <c r="C1255" t="s">
        <v>85</v>
      </c>
      <c r="D1255" t="s">
        <v>86</v>
      </c>
      <c r="E1255" t="s">
        <v>87</v>
      </c>
      <c r="F1255" t="s">
        <v>90</v>
      </c>
      <c r="G1255" t="s">
        <v>52</v>
      </c>
      <c r="H1255" t="s">
        <v>38</v>
      </c>
      <c r="I1255">
        <v>2690</v>
      </c>
    </row>
    <row r="1256" spans="1:9" ht="14.5" x14ac:dyDescent="0.35">
      <c r="A1256">
        <v>1</v>
      </c>
      <c r="B1256" t="s">
        <v>30</v>
      </c>
      <c r="C1256" t="s">
        <v>85</v>
      </c>
      <c r="D1256" t="s">
        <v>86</v>
      </c>
      <c r="E1256" t="s">
        <v>87</v>
      </c>
      <c r="F1256" t="s">
        <v>91</v>
      </c>
      <c r="G1256" t="s">
        <v>52</v>
      </c>
      <c r="H1256" t="s">
        <v>36</v>
      </c>
      <c r="I1256">
        <v>1691</v>
      </c>
    </row>
    <row r="1257" spans="1:9" ht="14.5" x14ac:dyDescent="0.35">
      <c r="A1257">
        <v>1</v>
      </c>
      <c r="B1257" t="s">
        <v>30</v>
      </c>
      <c r="C1257" t="s">
        <v>85</v>
      </c>
      <c r="D1257" t="s">
        <v>86</v>
      </c>
      <c r="E1257" t="s">
        <v>87</v>
      </c>
      <c r="F1257" t="s">
        <v>91</v>
      </c>
      <c r="G1257" t="s">
        <v>52</v>
      </c>
      <c r="H1257" t="s">
        <v>38</v>
      </c>
      <c r="I1257">
        <v>4758</v>
      </c>
    </row>
    <row r="1258" spans="1:9" ht="14.5" x14ac:dyDescent="0.35">
      <c r="A1258">
        <v>1</v>
      </c>
      <c r="B1258" t="s">
        <v>41</v>
      </c>
      <c r="C1258" t="s">
        <v>85</v>
      </c>
      <c r="D1258" t="s">
        <v>86</v>
      </c>
      <c r="E1258" t="s">
        <v>87</v>
      </c>
      <c r="F1258" t="s">
        <v>88</v>
      </c>
      <c r="G1258" t="s">
        <v>52</v>
      </c>
      <c r="H1258" t="s">
        <v>36</v>
      </c>
      <c r="I1258">
        <v>3128</v>
      </c>
    </row>
    <row r="1259" spans="1:9" ht="14.5" x14ac:dyDescent="0.35">
      <c r="A1259">
        <v>1</v>
      </c>
      <c r="B1259" t="s">
        <v>41</v>
      </c>
      <c r="C1259" t="s">
        <v>85</v>
      </c>
      <c r="D1259" t="s">
        <v>86</v>
      </c>
      <c r="E1259" t="s">
        <v>87</v>
      </c>
      <c r="F1259" t="s">
        <v>88</v>
      </c>
      <c r="G1259" t="s">
        <v>52</v>
      </c>
      <c r="H1259" t="s">
        <v>38</v>
      </c>
      <c r="I1259">
        <v>2014</v>
      </c>
    </row>
    <row r="1260" spans="1:9" ht="14.5" x14ac:dyDescent="0.35">
      <c r="A1260">
        <v>1</v>
      </c>
      <c r="B1260" t="s">
        <v>41</v>
      </c>
      <c r="C1260" t="s">
        <v>85</v>
      </c>
      <c r="D1260" t="s">
        <v>86</v>
      </c>
      <c r="E1260" t="s">
        <v>87</v>
      </c>
      <c r="F1260" t="s">
        <v>89</v>
      </c>
      <c r="G1260" t="s">
        <v>52</v>
      </c>
      <c r="H1260" t="s">
        <v>36</v>
      </c>
      <c r="I1260">
        <v>1621</v>
      </c>
    </row>
    <row r="1261" spans="1:9" ht="14.5" x14ac:dyDescent="0.35">
      <c r="A1261">
        <v>1</v>
      </c>
      <c r="B1261" t="s">
        <v>41</v>
      </c>
      <c r="C1261" t="s">
        <v>85</v>
      </c>
      <c r="D1261" t="s">
        <v>86</v>
      </c>
      <c r="E1261" t="s">
        <v>87</v>
      </c>
      <c r="F1261" t="s">
        <v>89</v>
      </c>
      <c r="G1261" t="s">
        <v>52</v>
      </c>
      <c r="H1261" t="s">
        <v>38</v>
      </c>
      <c r="I1261">
        <v>3395</v>
      </c>
    </row>
    <row r="1262" spans="1:9" ht="14.5" x14ac:dyDescent="0.35">
      <c r="A1262">
        <v>1</v>
      </c>
      <c r="B1262" t="s">
        <v>41</v>
      </c>
      <c r="C1262" t="s">
        <v>85</v>
      </c>
      <c r="D1262" t="s">
        <v>86</v>
      </c>
      <c r="E1262" t="s">
        <v>87</v>
      </c>
      <c r="F1262" t="s">
        <v>90</v>
      </c>
      <c r="G1262" t="s">
        <v>52</v>
      </c>
      <c r="H1262" t="s">
        <v>36</v>
      </c>
      <c r="I1262">
        <v>4505</v>
      </c>
    </row>
    <row r="1263" spans="1:9" ht="14.5" x14ac:dyDescent="0.35">
      <c r="A1263">
        <v>1</v>
      </c>
      <c r="B1263" t="s">
        <v>41</v>
      </c>
      <c r="C1263" t="s">
        <v>85</v>
      </c>
      <c r="D1263" t="s">
        <v>86</v>
      </c>
      <c r="E1263" t="s">
        <v>87</v>
      </c>
      <c r="F1263" t="s">
        <v>90</v>
      </c>
      <c r="G1263" t="s">
        <v>52</v>
      </c>
      <c r="H1263" t="s">
        <v>38</v>
      </c>
      <c r="I1263">
        <v>2517</v>
      </c>
    </row>
    <row r="1264" spans="1:9" ht="14.5" x14ac:dyDescent="0.35">
      <c r="A1264">
        <v>1</v>
      </c>
      <c r="B1264" t="s">
        <v>41</v>
      </c>
      <c r="C1264" t="s">
        <v>85</v>
      </c>
      <c r="D1264" t="s">
        <v>86</v>
      </c>
      <c r="E1264" t="s">
        <v>87</v>
      </c>
      <c r="F1264" t="s">
        <v>91</v>
      </c>
      <c r="G1264" t="s">
        <v>52</v>
      </c>
      <c r="H1264" t="s">
        <v>36</v>
      </c>
      <c r="I1264">
        <v>3753</v>
      </c>
    </row>
    <row r="1265" spans="1:9" ht="14.5" x14ac:dyDescent="0.35">
      <c r="A1265">
        <v>1</v>
      </c>
      <c r="B1265" t="s">
        <v>41</v>
      </c>
      <c r="C1265" t="s">
        <v>85</v>
      </c>
      <c r="D1265" t="s">
        <v>86</v>
      </c>
      <c r="E1265" t="s">
        <v>87</v>
      </c>
      <c r="F1265" t="s">
        <v>91</v>
      </c>
      <c r="G1265" t="s">
        <v>52</v>
      </c>
      <c r="H1265" t="s">
        <v>38</v>
      </c>
      <c r="I1265">
        <v>1222</v>
      </c>
    </row>
    <row r="1266" spans="1:9" ht="14.5" x14ac:dyDescent="0.35">
      <c r="A1266">
        <v>1</v>
      </c>
      <c r="B1266" t="s">
        <v>42</v>
      </c>
      <c r="C1266" t="s">
        <v>85</v>
      </c>
      <c r="D1266" t="s">
        <v>86</v>
      </c>
      <c r="E1266" t="s">
        <v>87</v>
      </c>
      <c r="F1266" t="s">
        <v>88</v>
      </c>
      <c r="G1266" t="s">
        <v>52</v>
      </c>
      <c r="H1266" t="s">
        <v>36</v>
      </c>
      <c r="I1266">
        <v>2296</v>
      </c>
    </row>
    <row r="1267" spans="1:9" ht="14.5" x14ac:dyDescent="0.35">
      <c r="A1267">
        <v>1</v>
      </c>
      <c r="B1267" t="s">
        <v>42</v>
      </c>
      <c r="C1267" t="s">
        <v>85</v>
      </c>
      <c r="D1267" t="s">
        <v>86</v>
      </c>
      <c r="E1267" t="s">
        <v>87</v>
      </c>
      <c r="F1267" t="s">
        <v>88</v>
      </c>
      <c r="G1267" t="s">
        <v>52</v>
      </c>
      <c r="H1267" t="s">
        <v>38</v>
      </c>
      <c r="I1267">
        <v>1393</v>
      </c>
    </row>
    <row r="1268" spans="1:9" ht="14.5" x14ac:dyDescent="0.35">
      <c r="A1268">
        <v>1</v>
      </c>
      <c r="B1268" t="s">
        <v>42</v>
      </c>
      <c r="C1268" t="s">
        <v>85</v>
      </c>
      <c r="D1268" t="s">
        <v>86</v>
      </c>
      <c r="E1268" t="s">
        <v>87</v>
      </c>
      <c r="F1268" t="s">
        <v>89</v>
      </c>
      <c r="G1268" t="s">
        <v>52</v>
      </c>
      <c r="H1268" t="s">
        <v>36</v>
      </c>
      <c r="I1268">
        <v>4890</v>
      </c>
    </row>
    <row r="1269" spans="1:9" ht="14.5" x14ac:dyDescent="0.35">
      <c r="A1269">
        <v>1</v>
      </c>
      <c r="B1269" t="s">
        <v>42</v>
      </c>
      <c r="C1269" t="s">
        <v>85</v>
      </c>
      <c r="D1269" t="s">
        <v>86</v>
      </c>
      <c r="E1269" t="s">
        <v>87</v>
      </c>
      <c r="F1269" t="s">
        <v>89</v>
      </c>
      <c r="G1269" t="s">
        <v>52</v>
      </c>
      <c r="H1269" t="s">
        <v>38</v>
      </c>
      <c r="I1269">
        <v>3317</v>
      </c>
    </row>
    <row r="1270" spans="1:9" ht="14.5" x14ac:dyDescent="0.35">
      <c r="A1270">
        <v>1</v>
      </c>
      <c r="B1270" t="s">
        <v>42</v>
      </c>
      <c r="C1270" t="s">
        <v>85</v>
      </c>
      <c r="D1270" t="s">
        <v>86</v>
      </c>
      <c r="E1270" t="s">
        <v>87</v>
      </c>
      <c r="F1270" t="s">
        <v>90</v>
      </c>
      <c r="G1270" t="s">
        <v>52</v>
      </c>
      <c r="H1270" t="s">
        <v>36</v>
      </c>
      <c r="I1270">
        <v>2841</v>
      </c>
    </row>
    <row r="1271" spans="1:9" ht="14.5" x14ac:dyDescent="0.35">
      <c r="A1271">
        <v>1</v>
      </c>
      <c r="B1271" t="s">
        <v>42</v>
      </c>
      <c r="C1271" t="s">
        <v>85</v>
      </c>
      <c r="D1271" t="s">
        <v>86</v>
      </c>
      <c r="E1271" t="s">
        <v>87</v>
      </c>
      <c r="F1271" t="s">
        <v>90</v>
      </c>
      <c r="G1271" t="s">
        <v>52</v>
      </c>
      <c r="H1271" t="s">
        <v>38</v>
      </c>
      <c r="I1271">
        <v>3685</v>
      </c>
    </row>
    <row r="1272" spans="1:9" ht="14.5" x14ac:dyDescent="0.35">
      <c r="A1272">
        <v>1</v>
      </c>
      <c r="B1272" t="s">
        <v>42</v>
      </c>
      <c r="C1272" t="s">
        <v>85</v>
      </c>
      <c r="D1272" t="s">
        <v>86</v>
      </c>
      <c r="E1272" t="s">
        <v>87</v>
      </c>
      <c r="F1272" t="s">
        <v>91</v>
      </c>
      <c r="G1272" t="s">
        <v>52</v>
      </c>
      <c r="H1272" t="s">
        <v>36</v>
      </c>
      <c r="I1272">
        <v>3028</v>
      </c>
    </row>
    <row r="1273" spans="1:9" ht="14.5" x14ac:dyDescent="0.35">
      <c r="A1273">
        <v>1</v>
      </c>
      <c r="B1273" t="s">
        <v>42</v>
      </c>
      <c r="C1273" t="s">
        <v>85</v>
      </c>
      <c r="D1273" t="s">
        <v>86</v>
      </c>
      <c r="E1273" t="s">
        <v>87</v>
      </c>
      <c r="F1273" t="s">
        <v>91</v>
      </c>
      <c r="G1273" t="s">
        <v>52</v>
      </c>
      <c r="H1273" t="s">
        <v>38</v>
      </c>
      <c r="I1273">
        <v>3891</v>
      </c>
    </row>
    <row r="1274" spans="1:9" ht="14.5" x14ac:dyDescent="0.35">
      <c r="A1274">
        <v>2</v>
      </c>
      <c r="B1274" t="s">
        <v>43</v>
      </c>
      <c r="C1274" t="s">
        <v>85</v>
      </c>
      <c r="D1274" t="s">
        <v>86</v>
      </c>
      <c r="E1274" t="s">
        <v>87</v>
      </c>
      <c r="F1274" t="s">
        <v>88</v>
      </c>
      <c r="G1274" t="s">
        <v>52</v>
      </c>
      <c r="H1274" t="s">
        <v>36</v>
      </c>
      <c r="I1274">
        <v>2926</v>
      </c>
    </row>
    <row r="1275" spans="1:9" ht="14.5" x14ac:dyDescent="0.35">
      <c r="A1275">
        <v>2</v>
      </c>
      <c r="B1275" t="s">
        <v>43</v>
      </c>
      <c r="C1275" t="s">
        <v>85</v>
      </c>
      <c r="D1275" t="s">
        <v>86</v>
      </c>
      <c r="E1275" t="s">
        <v>87</v>
      </c>
      <c r="F1275" t="s">
        <v>88</v>
      </c>
      <c r="G1275" t="s">
        <v>52</v>
      </c>
      <c r="H1275" t="s">
        <v>38</v>
      </c>
      <c r="I1275">
        <v>1521</v>
      </c>
    </row>
    <row r="1276" spans="1:9" ht="14.5" x14ac:dyDescent="0.35">
      <c r="A1276">
        <v>2</v>
      </c>
      <c r="B1276" t="s">
        <v>43</v>
      </c>
      <c r="C1276" t="s">
        <v>85</v>
      </c>
      <c r="D1276" t="s">
        <v>86</v>
      </c>
      <c r="E1276" t="s">
        <v>87</v>
      </c>
      <c r="F1276" t="s">
        <v>89</v>
      </c>
      <c r="G1276" t="s">
        <v>52</v>
      </c>
      <c r="H1276" t="s">
        <v>36</v>
      </c>
      <c r="I1276">
        <v>3697</v>
      </c>
    </row>
    <row r="1277" spans="1:9" ht="14.5" x14ac:dyDescent="0.35">
      <c r="A1277">
        <v>2</v>
      </c>
      <c r="B1277" t="s">
        <v>43</v>
      </c>
      <c r="C1277" t="s">
        <v>85</v>
      </c>
      <c r="D1277" t="s">
        <v>86</v>
      </c>
      <c r="E1277" t="s">
        <v>87</v>
      </c>
      <c r="F1277" t="s">
        <v>89</v>
      </c>
      <c r="G1277" t="s">
        <v>52</v>
      </c>
      <c r="H1277" t="s">
        <v>38</v>
      </c>
      <c r="I1277">
        <v>2725</v>
      </c>
    </row>
    <row r="1278" spans="1:9" ht="14.5" x14ac:dyDescent="0.35">
      <c r="A1278">
        <v>2</v>
      </c>
      <c r="B1278" t="s">
        <v>43</v>
      </c>
      <c r="C1278" t="s">
        <v>85</v>
      </c>
      <c r="D1278" t="s">
        <v>86</v>
      </c>
      <c r="E1278" t="s">
        <v>87</v>
      </c>
      <c r="F1278" t="s">
        <v>90</v>
      </c>
      <c r="G1278" t="s">
        <v>52</v>
      </c>
      <c r="H1278" t="s">
        <v>36</v>
      </c>
      <c r="I1278">
        <v>3709</v>
      </c>
    </row>
    <row r="1279" spans="1:9" ht="14.5" x14ac:dyDescent="0.35">
      <c r="A1279">
        <v>2</v>
      </c>
      <c r="B1279" t="s">
        <v>43</v>
      </c>
      <c r="C1279" t="s">
        <v>85</v>
      </c>
      <c r="D1279" t="s">
        <v>86</v>
      </c>
      <c r="E1279" t="s">
        <v>87</v>
      </c>
      <c r="F1279" t="s">
        <v>90</v>
      </c>
      <c r="G1279" t="s">
        <v>52</v>
      </c>
      <c r="H1279" t="s">
        <v>38</v>
      </c>
      <c r="I1279">
        <v>4177</v>
      </c>
    </row>
    <row r="1280" spans="1:9" ht="14.5" x14ac:dyDescent="0.35">
      <c r="A1280">
        <v>2</v>
      </c>
      <c r="B1280" t="s">
        <v>43</v>
      </c>
      <c r="C1280" t="s">
        <v>85</v>
      </c>
      <c r="D1280" t="s">
        <v>86</v>
      </c>
      <c r="E1280" t="s">
        <v>87</v>
      </c>
      <c r="F1280" t="s">
        <v>91</v>
      </c>
      <c r="G1280" t="s">
        <v>52</v>
      </c>
      <c r="H1280" t="s">
        <v>36</v>
      </c>
      <c r="I1280">
        <v>3194</v>
      </c>
    </row>
    <row r="1281" spans="1:9" ht="14.5" x14ac:dyDescent="0.35">
      <c r="A1281">
        <v>2</v>
      </c>
      <c r="B1281" t="s">
        <v>43</v>
      </c>
      <c r="C1281" t="s">
        <v>85</v>
      </c>
      <c r="D1281" t="s">
        <v>86</v>
      </c>
      <c r="E1281" t="s">
        <v>87</v>
      </c>
      <c r="F1281" t="s">
        <v>91</v>
      </c>
      <c r="G1281" t="s">
        <v>52</v>
      </c>
      <c r="H1281" t="s">
        <v>38</v>
      </c>
      <c r="I1281">
        <v>2207</v>
      </c>
    </row>
    <row r="1282" spans="1:9" ht="14.5" x14ac:dyDescent="0.35">
      <c r="A1282">
        <v>2</v>
      </c>
      <c r="B1282" t="s">
        <v>44</v>
      </c>
      <c r="C1282" t="s">
        <v>85</v>
      </c>
      <c r="D1282" t="s">
        <v>86</v>
      </c>
      <c r="E1282" t="s">
        <v>87</v>
      </c>
      <c r="F1282" t="s">
        <v>88</v>
      </c>
      <c r="G1282" t="s">
        <v>52</v>
      </c>
      <c r="H1282" t="s">
        <v>36</v>
      </c>
      <c r="I1282">
        <v>4838</v>
      </c>
    </row>
    <row r="1283" spans="1:9" ht="14.5" x14ac:dyDescent="0.35">
      <c r="A1283">
        <v>2</v>
      </c>
      <c r="B1283" t="s">
        <v>44</v>
      </c>
      <c r="C1283" t="s">
        <v>85</v>
      </c>
      <c r="D1283" t="s">
        <v>86</v>
      </c>
      <c r="E1283" t="s">
        <v>87</v>
      </c>
      <c r="F1283" t="s">
        <v>88</v>
      </c>
      <c r="G1283" t="s">
        <v>52</v>
      </c>
      <c r="H1283" t="s">
        <v>38</v>
      </c>
      <c r="I1283">
        <v>2255</v>
      </c>
    </row>
    <row r="1284" spans="1:9" ht="14.5" x14ac:dyDescent="0.35">
      <c r="A1284">
        <v>2</v>
      </c>
      <c r="B1284" t="s">
        <v>44</v>
      </c>
      <c r="C1284" t="s">
        <v>85</v>
      </c>
      <c r="D1284" t="s">
        <v>86</v>
      </c>
      <c r="E1284" t="s">
        <v>87</v>
      </c>
      <c r="F1284" t="s">
        <v>89</v>
      </c>
      <c r="G1284" t="s">
        <v>52</v>
      </c>
      <c r="H1284" t="s">
        <v>36</v>
      </c>
      <c r="I1284">
        <v>4176</v>
      </c>
    </row>
    <row r="1285" spans="1:9" ht="14.5" x14ac:dyDescent="0.35">
      <c r="A1285">
        <v>2</v>
      </c>
      <c r="B1285" t="s">
        <v>44</v>
      </c>
      <c r="C1285" t="s">
        <v>85</v>
      </c>
      <c r="D1285" t="s">
        <v>86</v>
      </c>
      <c r="E1285" t="s">
        <v>87</v>
      </c>
      <c r="F1285" t="s">
        <v>89</v>
      </c>
      <c r="G1285" t="s">
        <v>52</v>
      </c>
      <c r="H1285" t="s">
        <v>38</v>
      </c>
      <c r="I1285">
        <v>1967</v>
      </c>
    </row>
    <row r="1286" spans="1:9" ht="14.5" x14ac:dyDescent="0.35">
      <c r="A1286">
        <v>2</v>
      </c>
      <c r="B1286" t="s">
        <v>44</v>
      </c>
      <c r="C1286" t="s">
        <v>85</v>
      </c>
      <c r="D1286" t="s">
        <v>86</v>
      </c>
      <c r="E1286" t="s">
        <v>87</v>
      </c>
      <c r="F1286" t="s">
        <v>90</v>
      </c>
      <c r="G1286" t="s">
        <v>52</v>
      </c>
      <c r="H1286" t="s">
        <v>36</v>
      </c>
      <c r="I1286">
        <v>4806</v>
      </c>
    </row>
    <row r="1287" spans="1:9" ht="14.5" x14ac:dyDescent="0.35">
      <c r="A1287">
        <v>2</v>
      </c>
      <c r="B1287" t="s">
        <v>44</v>
      </c>
      <c r="C1287" t="s">
        <v>85</v>
      </c>
      <c r="D1287" t="s">
        <v>86</v>
      </c>
      <c r="E1287" t="s">
        <v>87</v>
      </c>
      <c r="F1287" t="s">
        <v>90</v>
      </c>
      <c r="G1287" t="s">
        <v>52</v>
      </c>
      <c r="H1287" t="s">
        <v>38</v>
      </c>
      <c r="I1287">
        <v>4163</v>
      </c>
    </row>
    <row r="1288" spans="1:9" ht="14.5" x14ac:dyDescent="0.35">
      <c r="A1288">
        <v>2</v>
      </c>
      <c r="B1288" t="s">
        <v>44</v>
      </c>
      <c r="C1288" t="s">
        <v>85</v>
      </c>
      <c r="D1288" t="s">
        <v>86</v>
      </c>
      <c r="E1288" t="s">
        <v>87</v>
      </c>
      <c r="F1288" t="s">
        <v>91</v>
      </c>
      <c r="G1288" t="s">
        <v>52</v>
      </c>
      <c r="H1288" t="s">
        <v>36</v>
      </c>
      <c r="I1288">
        <v>1439</v>
      </c>
    </row>
    <row r="1289" spans="1:9" ht="14.5" x14ac:dyDescent="0.35">
      <c r="A1289">
        <v>2</v>
      </c>
      <c r="B1289" t="s">
        <v>44</v>
      </c>
      <c r="C1289" t="s">
        <v>85</v>
      </c>
      <c r="D1289" t="s">
        <v>86</v>
      </c>
      <c r="E1289" t="s">
        <v>87</v>
      </c>
      <c r="F1289" t="s">
        <v>91</v>
      </c>
      <c r="G1289" t="s">
        <v>52</v>
      </c>
      <c r="H1289" t="s">
        <v>38</v>
      </c>
      <c r="I1289">
        <v>1309</v>
      </c>
    </row>
    <row r="1290" spans="1:9" ht="14.5" x14ac:dyDescent="0.35">
      <c r="A1290">
        <v>2</v>
      </c>
      <c r="B1290" t="s">
        <v>45</v>
      </c>
      <c r="C1290" t="s">
        <v>85</v>
      </c>
      <c r="D1290" t="s">
        <v>86</v>
      </c>
      <c r="E1290" t="s">
        <v>87</v>
      </c>
      <c r="F1290" t="s">
        <v>88</v>
      </c>
      <c r="G1290" t="s">
        <v>52</v>
      </c>
      <c r="H1290" t="s">
        <v>36</v>
      </c>
      <c r="I1290">
        <v>2692</v>
      </c>
    </row>
    <row r="1291" spans="1:9" ht="14.5" x14ac:dyDescent="0.35">
      <c r="A1291">
        <v>2</v>
      </c>
      <c r="B1291" t="s">
        <v>45</v>
      </c>
      <c r="C1291" t="s">
        <v>85</v>
      </c>
      <c r="D1291" t="s">
        <v>86</v>
      </c>
      <c r="E1291" t="s">
        <v>87</v>
      </c>
      <c r="F1291" t="s">
        <v>88</v>
      </c>
      <c r="G1291" t="s">
        <v>52</v>
      </c>
      <c r="H1291" t="s">
        <v>38</v>
      </c>
      <c r="I1291">
        <v>3927</v>
      </c>
    </row>
    <row r="1292" spans="1:9" ht="14.5" x14ac:dyDescent="0.35">
      <c r="A1292">
        <v>2</v>
      </c>
      <c r="B1292" t="s">
        <v>45</v>
      </c>
      <c r="C1292" t="s">
        <v>85</v>
      </c>
      <c r="D1292" t="s">
        <v>86</v>
      </c>
      <c r="E1292" t="s">
        <v>87</v>
      </c>
      <c r="F1292" t="s">
        <v>89</v>
      </c>
      <c r="G1292" t="s">
        <v>52</v>
      </c>
      <c r="H1292" t="s">
        <v>36</v>
      </c>
      <c r="I1292">
        <v>2449</v>
      </c>
    </row>
    <row r="1293" spans="1:9" ht="14.5" x14ac:dyDescent="0.35">
      <c r="A1293">
        <v>2</v>
      </c>
      <c r="B1293" t="s">
        <v>45</v>
      </c>
      <c r="C1293" t="s">
        <v>85</v>
      </c>
      <c r="D1293" t="s">
        <v>86</v>
      </c>
      <c r="E1293" t="s">
        <v>87</v>
      </c>
      <c r="F1293" t="s">
        <v>89</v>
      </c>
      <c r="G1293" t="s">
        <v>52</v>
      </c>
      <c r="H1293" t="s">
        <v>38</v>
      </c>
      <c r="I1293">
        <v>2020</v>
      </c>
    </row>
    <row r="1294" spans="1:9" ht="14.5" x14ac:dyDescent="0.35">
      <c r="A1294">
        <v>2</v>
      </c>
      <c r="B1294" t="s">
        <v>45</v>
      </c>
      <c r="C1294" t="s">
        <v>85</v>
      </c>
      <c r="D1294" t="s">
        <v>86</v>
      </c>
      <c r="E1294" t="s">
        <v>87</v>
      </c>
      <c r="F1294" t="s">
        <v>90</v>
      </c>
      <c r="G1294" t="s">
        <v>52</v>
      </c>
      <c r="H1294" t="s">
        <v>36</v>
      </c>
      <c r="I1294">
        <v>1857</v>
      </c>
    </row>
    <row r="1295" spans="1:9" ht="14.5" x14ac:dyDescent="0.35">
      <c r="A1295">
        <v>2</v>
      </c>
      <c r="B1295" t="s">
        <v>45</v>
      </c>
      <c r="C1295" t="s">
        <v>85</v>
      </c>
      <c r="D1295" t="s">
        <v>86</v>
      </c>
      <c r="E1295" t="s">
        <v>87</v>
      </c>
      <c r="F1295" t="s">
        <v>90</v>
      </c>
      <c r="G1295" t="s">
        <v>52</v>
      </c>
      <c r="H1295" t="s">
        <v>38</v>
      </c>
      <c r="I1295">
        <v>3501</v>
      </c>
    </row>
    <row r="1296" spans="1:9" ht="14.5" x14ac:dyDescent="0.35">
      <c r="A1296">
        <v>2</v>
      </c>
      <c r="B1296" t="s">
        <v>45</v>
      </c>
      <c r="C1296" t="s">
        <v>85</v>
      </c>
      <c r="D1296" t="s">
        <v>86</v>
      </c>
      <c r="E1296" t="s">
        <v>87</v>
      </c>
      <c r="F1296" t="s">
        <v>91</v>
      </c>
      <c r="G1296" t="s">
        <v>52</v>
      </c>
      <c r="H1296" t="s">
        <v>36</v>
      </c>
      <c r="I1296">
        <v>2644</v>
      </c>
    </row>
    <row r="1297" spans="1:9" ht="14.5" x14ac:dyDescent="0.35">
      <c r="A1297">
        <v>2</v>
      </c>
      <c r="B1297" t="s">
        <v>45</v>
      </c>
      <c r="C1297" t="s">
        <v>85</v>
      </c>
      <c r="D1297" t="s">
        <v>86</v>
      </c>
      <c r="E1297" t="s">
        <v>87</v>
      </c>
      <c r="F1297" t="s">
        <v>91</v>
      </c>
      <c r="G1297" t="s">
        <v>52</v>
      </c>
      <c r="H1297" t="s">
        <v>38</v>
      </c>
      <c r="I1297">
        <v>1333</v>
      </c>
    </row>
    <row r="1298" spans="1:9" ht="14.5" x14ac:dyDescent="0.35">
      <c r="A1298">
        <v>3</v>
      </c>
      <c r="B1298" t="s">
        <v>46</v>
      </c>
      <c r="C1298" t="s">
        <v>85</v>
      </c>
      <c r="D1298" t="s">
        <v>86</v>
      </c>
      <c r="E1298" t="s">
        <v>87</v>
      </c>
      <c r="F1298" t="s">
        <v>88</v>
      </c>
      <c r="G1298" t="s">
        <v>52</v>
      </c>
      <c r="H1298" t="s">
        <v>36</v>
      </c>
      <c r="I1298">
        <v>1325</v>
      </c>
    </row>
    <row r="1299" spans="1:9" ht="14.5" x14ac:dyDescent="0.35">
      <c r="A1299">
        <v>3</v>
      </c>
      <c r="B1299" t="s">
        <v>46</v>
      </c>
      <c r="C1299" t="s">
        <v>85</v>
      </c>
      <c r="D1299" t="s">
        <v>86</v>
      </c>
      <c r="E1299" t="s">
        <v>87</v>
      </c>
      <c r="F1299" t="s">
        <v>88</v>
      </c>
      <c r="G1299" t="s">
        <v>52</v>
      </c>
      <c r="H1299" t="s">
        <v>38</v>
      </c>
      <c r="I1299">
        <v>2750</v>
      </c>
    </row>
    <row r="1300" spans="1:9" ht="14.5" x14ac:dyDescent="0.35">
      <c r="A1300">
        <v>3</v>
      </c>
      <c r="B1300" t="s">
        <v>46</v>
      </c>
      <c r="C1300" t="s">
        <v>85</v>
      </c>
      <c r="D1300" t="s">
        <v>86</v>
      </c>
      <c r="E1300" t="s">
        <v>87</v>
      </c>
      <c r="F1300" t="s">
        <v>89</v>
      </c>
      <c r="G1300" t="s">
        <v>52</v>
      </c>
      <c r="H1300" t="s">
        <v>36</v>
      </c>
      <c r="I1300">
        <v>4569</v>
      </c>
    </row>
    <row r="1301" spans="1:9" ht="14.5" x14ac:dyDescent="0.35">
      <c r="A1301">
        <v>3</v>
      </c>
      <c r="B1301" t="s">
        <v>46</v>
      </c>
      <c r="C1301" t="s">
        <v>85</v>
      </c>
      <c r="D1301" t="s">
        <v>86</v>
      </c>
      <c r="E1301" t="s">
        <v>87</v>
      </c>
      <c r="F1301" t="s">
        <v>89</v>
      </c>
      <c r="G1301" t="s">
        <v>52</v>
      </c>
      <c r="H1301" t="s">
        <v>38</v>
      </c>
      <c r="I1301">
        <v>3912</v>
      </c>
    </row>
    <row r="1302" spans="1:9" ht="14.5" x14ac:dyDescent="0.35">
      <c r="A1302">
        <v>3</v>
      </c>
      <c r="B1302" t="s">
        <v>46</v>
      </c>
      <c r="C1302" t="s">
        <v>85</v>
      </c>
      <c r="D1302" t="s">
        <v>86</v>
      </c>
      <c r="E1302" t="s">
        <v>87</v>
      </c>
      <c r="F1302" t="s">
        <v>90</v>
      </c>
      <c r="G1302" t="s">
        <v>52</v>
      </c>
      <c r="H1302" t="s">
        <v>36</v>
      </c>
      <c r="I1302">
        <v>3669</v>
      </c>
    </row>
    <row r="1303" spans="1:9" ht="14.5" x14ac:dyDescent="0.35">
      <c r="A1303">
        <v>3</v>
      </c>
      <c r="B1303" t="s">
        <v>46</v>
      </c>
      <c r="C1303" t="s">
        <v>85</v>
      </c>
      <c r="D1303" t="s">
        <v>86</v>
      </c>
      <c r="E1303" t="s">
        <v>87</v>
      </c>
      <c r="F1303" t="s">
        <v>90</v>
      </c>
      <c r="G1303" t="s">
        <v>52</v>
      </c>
      <c r="H1303" t="s">
        <v>38</v>
      </c>
      <c r="I1303">
        <v>3001</v>
      </c>
    </row>
    <row r="1304" spans="1:9" ht="14.5" x14ac:dyDescent="0.35">
      <c r="A1304">
        <v>3</v>
      </c>
      <c r="B1304" t="s">
        <v>46</v>
      </c>
      <c r="C1304" t="s">
        <v>85</v>
      </c>
      <c r="D1304" t="s">
        <v>86</v>
      </c>
      <c r="E1304" t="s">
        <v>87</v>
      </c>
      <c r="F1304" t="s">
        <v>91</v>
      </c>
      <c r="G1304" t="s">
        <v>52</v>
      </c>
      <c r="H1304" t="s">
        <v>36</v>
      </c>
      <c r="I1304">
        <v>1019</v>
      </c>
    </row>
    <row r="1305" spans="1:9" ht="14.5" x14ac:dyDescent="0.35">
      <c r="A1305">
        <v>3</v>
      </c>
      <c r="B1305" t="s">
        <v>46</v>
      </c>
      <c r="C1305" t="s">
        <v>85</v>
      </c>
      <c r="D1305" t="s">
        <v>86</v>
      </c>
      <c r="E1305" t="s">
        <v>87</v>
      </c>
      <c r="F1305" t="s">
        <v>91</v>
      </c>
      <c r="G1305" t="s">
        <v>52</v>
      </c>
      <c r="H1305" t="s">
        <v>38</v>
      </c>
      <c r="I1305">
        <v>1740</v>
      </c>
    </row>
    <row r="1306" spans="1:9" ht="14.5" x14ac:dyDescent="0.35">
      <c r="A1306">
        <v>3</v>
      </c>
      <c r="B1306" t="s">
        <v>47</v>
      </c>
      <c r="C1306" t="s">
        <v>85</v>
      </c>
      <c r="D1306" t="s">
        <v>86</v>
      </c>
      <c r="E1306" t="s">
        <v>87</v>
      </c>
      <c r="F1306" t="s">
        <v>88</v>
      </c>
      <c r="G1306" t="s">
        <v>52</v>
      </c>
      <c r="H1306" t="s">
        <v>36</v>
      </c>
      <c r="I1306">
        <v>1856</v>
      </c>
    </row>
    <row r="1307" spans="1:9" ht="14.5" x14ac:dyDescent="0.35">
      <c r="A1307">
        <v>3</v>
      </c>
      <c r="B1307" t="s">
        <v>47</v>
      </c>
      <c r="C1307" t="s">
        <v>85</v>
      </c>
      <c r="D1307" t="s">
        <v>86</v>
      </c>
      <c r="E1307" t="s">
        <v>87</v>
      </c>
      <c r="F1307" t="s">
        <v>88</v>
      </c>
      <c r="G1307" t="s">
        <v>52</v>
      </c>
      <c r="H1307" t="s">
        <v>38</v>
      </c>
      <c r="I1307">
        <v>1563</v>
      </c>
    </row>
    <row r="1308" spans="1:9" ht="14.5" x14ac:dyDescent="0.35">
      <c r="A1308">
        <v>3</v>
      </c>
      <c r="B1308" t="s">
        <v>47</v>
      </c>
      <c r="C1308" t="s">
        <v>85</v>
      </c>
      <c r="D1308" t="s">
        <v>86</v>
      </c>
      <c r="E1308" t="s">
        <v>87</v>
      </c>
      <c r="F1308" t="s">
        <v>89</v>
      </c>
      <c r="G1308" t="s">
        <v>52</v>
      </c>
      <c r="H1308" t="s">
        <v>36</v>
      </c>
      <c r="I1308">
        <v>3601</v>
      </c>
    </row>
    <row r="1309" spans="1:9" ht="14.5" x14ac:dyDescent="0.35">
      <c r="A1309">
        <v>3</v>
      </c>
      <c r="B1309" t="s">
        <v>47</v>
      </c>
      <c r="C1309" t="s">
        <v>85</v>
      </c>
      <c r="D1309" t="s">
        <v>86</v>
      </c>
      <c r="E1309" t="s">
        <v>87</v>
      </c>
      <c r="F1309" t="s">
        <v>89</v>
      </c>
      <c r="G1309" t="s">
        <v>52</v>
      </c>
      <c r="H1309" t="s">
        <v>38</v>
      </c>
      <c r="I1309">
        <v>4464</v>
      </c>
    </row>
    <row r="1310" spans="1:9" ht="14.5" x14ac:dyDescent="0.35">
      <c r="A1310">
        <v>3</v>
      </c>
      <c r="B1310" t="s">
        <v>47</v>
      </c>
      <c r="C1310" t="s">
        <v>85</v>
      </c>
      <c r="D1310" t="s">
        <v>86</v>
      </c>
      <c r="E1310" t="s">
        <v>87</v>
      </c>
      <c r="F1310" t="s">
        <v>90</v>
      </c>
      <c r="G1310" t="s">
        <v>52</v>
      </c>
      <c r="H1310" t="s">
        <v>36</v>
      </c>
      <c r="I1310">
        <v>1984</v>
      </c>
    </row>
    <row r="1311" spans="1:9" ht="14.5" x14ac:dyDescent="0.35">
      <c r="A1311">
        <v>3</v>
      </c>
      <c r="B1311" t="s">
        <v>47</v>
      </c>
      <c r="C1311" t="s">
        <v>85</v>
      </c>
      <c r="D1311" t="s">
        <v>86</v>
      </c>
      <c r="E1311" t="s">
        <v>87</v>
      </c>
      <c r="F1311" t="s">
        <v>90</v>
      </c>
      <c r="G1311" t="s">
        <v>52</v>
      </c>
      <c r="H1311" t="s">
        <v>38</v>
      </c>
      <c r="I1311">
        <v>2712</v>
      </c>
    </row>
    <row r="1312" spans="1:9" ht="14.5" x14ac:dyDescent="0.35">
      <c r="A1312">
        <v>3</v>
      </c>
      <c r="B1312" t="s">
        <v>47</v>
      </c>
      <c r="C1312" t="s">
        <v>85</v>
      </c>
      <c r="D1312" t="s">
        <v>86</v>
      </c>
      <c r="E1312" t="s">
        <v>87</v>
      </c>
      <c r="F1312" t="s">
        <v>91</v>
      </c>
      <c r="G1312" t="s">
        <v>52</v>
      </c>
      <c r="H1312" t="s">
        <v>36</v>
      </c>
      <c r="I1312">
        <v>4121</v>
      </c>
    </row>
    <row r="1313" spans="1:9" ht="14.5" x14ac:dyDescent="0.35">
      <c r="A1313">
        <v>3</v>
      </c>
      <c r="B1313" t="s">
        <v>47</v>
      </c>
      <c r="C1313" t="s">
        <v>85</v>
      </c>
      <c r="D1313" t="s">
        <v>86</v>
      </c>
      <c r="E1313" t="s">
        <v>87</v>
      </c>
      <c r="F1313" t="s">
        <v>91</v>
      </c>
      <c r="G1313" t="s">
        <v>52</v>
      </c>
      <c r="H1313" t="s">
        <v>38</v>
      </c>
      <c r="I1313">
        <v>2060</v>
      </c>
    </row>
    <row r="1314" spans="1:9" ht="14.5" x14ac:dyDescent="0.35">
      <c r="A1314">
        <v>3</v>
      </c>
      <c r="B1314" t="s">
        <v>48</v>
      </c>
      <c r="C1314" t="s">
        <v>85</v>
      </c>
      <c r="D1314" t="s">
        <v>86</v>
      </c>
      <c r="E1314" t="s">
        <v>87</v>
      </c>
      <c r="F1314" t="s">
        <v>88</v>
      </c>
      <c r="G1314" t="s">
        <v>52</v>
      </c>
      <c r="H1314" t="s">
        <v>36</v>
      </c>
      <c r="I1314">
        <v>4856</v>
      </c>
    </row>
    <row r="1315" spans="1:9" ht="14.5" x14ac:dyDescent="0.35">
      <c r="A1315">
        <v>3</v>
      </c>
      <c r="B1315" t="s">
        <v>48</v>
      </c>
      <c r="C1315" t="s">
        <v>85</v>
      </c>
      <c r="D1315" t="s">
        <v>86</v>
      </c>
      <c r="E1315" t="s">
        <v>87</v>
      </c>
      <c r="F1315" t="s">
        <v>88</v>
      </c>
      <c r="G1315" t="s">
        <v>52</v>
      </c>
      <c r="H1315" t="s">
        <v>38</v>
      </c>
      <c r="I1315">
        <v>1938</v>
      </c>
    </row>
    <row r="1316" spans="1:9" ht="14.5" x14ac:dyDescent="0.35">
      <c r="A1316">
        <v>3</v>
      </c>
      <c r="B1316" t="s">
        <v>48</v>
      </c>
      <c r="C1316" t="s">
        <v>85</v>
      </c>
      <c r="D1316" t="s">
        <v>86</v>
      </c>
      <c r="E1316" t="s">
        <v>87</v>
      </c>
      <c r="F1316" t="s">
        <v>89</v>
      </c>
      <c r="G1316" t="s">
        <v>52</v>
      </c>
      <c r="H1316" t="s">
        <v>36</v>
      </c>
      <c r="I1316">
        <v>1953</v>
      </c>
    </row>
    <row r="1317" spans="1:9" ht="14.5" x14ac:dyDescent="0.35">
      <c r="A1317">
        <v>3</v>
      </c>
      <c r="B1317" t="s">
        <v>48</v>
      </c>
      <c r="C1317" t="s">
        <v>85</v>
      </c>
      <c r="D1317" t="s">
        <v>86</v>
      </c>
      <c r="E1317" t="s">
        <v>87</v>
      </c>
      <c r="F1317" t="s">
        <v>89</v>
      </c>
      <c r="G1317" t="s">
        <v>52</v>
      </c>
      <c r="H1317" t="s">
        <v>38</v>
      </c>
      <c r="I1317">
        <v>2641</v>
      </c>
    </row>
    <row r="1318" spans="1:9" ht="14.5" x14ac:dyDescent="0.35">
      <c r="A1318">
        <v>3</v>
      </c>
      <c r="B1318" t="s">
        <v>48</v>
      </c>
      <c r="C1318" t="s">
        <v>85</v>
      </c>
      <c r="D1318" t="s">
        <v>86</v>
      </c>
      <c r="E1318" t="s">
        <v>87</v>
      </c>
      <c r="F1318" t="s">
        <v>90</v>
      </c>
      <c r="G1318" t="s">
        <v>52</v>
      </c>
      <c r="H1318" t="s">
        <v>36</v>
      </c>
      <c r="I1318">
        <v>4760</v>
      </c>
    </row>
    <row r="1319" spans="1:9" ht="14.5" x14ac:dyDescent="0.35">
      <c r="A1319">
        <v>3</v>
      </c>
      <c r="B1319" t="s">
        <v>48</v>
      </c>
      <c r="C1319" t="s">
        <v>85</v>
      </c>
      <c r="D1319" t="s">
        <v>86</v>
      </c>
      <c r="E1319" t="s">
        <v>87</v>
      </c>
      <c r="F1319" t="s">
        <v>90</v>
      </c>
      <c r="G1319" t="s">
        <v>52</v>
      </c>
      <c r="H1319" t="s">
        <v>38</v>
      </c>
      <c r="I1319">
        <v>3939</v>
      </c>
    </row>
    <row r="1320" spans="1:9" ht="14.5" x14ac:dyDescent="0.35">
      <c r="A1320">
        <v>3</v>
      </c>
      <c r="B1320" t="s">
        <v>48</v>
      </c>
      <c r="C1320" t="s">
        <v>85</v>
      </c>
      <c r="D1320" t="s">
        <v>86</v>
      </c>
      <c r="E1320" t="s">
        <v>87</v>
      </c>
      <c r="F1320" t="s">
        <v>91</v>
      </c>
      <c r="G1320" t="s">
        <v>52</v>
      </c>
      <c r="H1320" t="s">
        <v>36</v>
      </c>
      <c r="I1320">
        <v>3626</v>
      </c>
    </row>
    <row r="1321" spans="1:9" ht="14.5" x14ac:dyDescent="0.35">
      <c r="A1321">
        <v>3</v>
      </c>
      <c r="B1321" t="s">
        <v>48</v>
      </c>
      <c r="C1321" t="s">
        <v>85</v>
      </c>
      <c r="D1321" t="s">
        <v>86</v>
      </c>
      <c r="E1321" t="s">
        <v>87</v>
      </c>
      <c r="F1321" t="s">
        <v>91</v>
      </c>
      <c r="G1321" t="s">
        <v>52</v>
      </c>
      <c r="H1321" t="s">
        <v>38</v>
      </c>
      <c r="I1321">
        <v>3723</v>
      </c>
    </row>
    <row r="1322" spans="1:9" ht="14.5" x14ac:dyDescent="0.35">
      <c r="A1322">
        <v>4</v>
      </c>
      <c r="B1322" t="s">
        <v>49</v>
      </c>
      <c r="C1322" t="s">
        <v>85</v>
      </c>
      <c r="D1322" t="s">
        <v>86</v>
      </c>
      <c r="E1322" t="s">
        <v>87</v>
      </c>
      <c r="F1322" t="s">
        <v>88</v>
      </c>
      <c r="G1322" t="s">
        <v>52</v>
      </c>
      <c r="H1322" t="s">
        <v>36</v>
      </c>
      <c r="I1322">
        <v>2201</v>
      </c>
    </row>
    <row r="1323" spans="1:9" ht="14.5" x14ac:dyDescent="0.35">
      <c r="A1323">
        <v>4</v>
      </c>
      <c r="B1323" t="s">
        <v>49</v>
      </c>
      <c r="C1323" t="s">
        <v>85</v>
      </c>
      <c r="D1323" t="s">
        <v>86</v>
      </c>
      <c r="E1323" t="s">
        <v>87</v>
      </c>
      <c r="F1323" t="s">
        <v>88</v>
      </c>
      <c r="G1323" t="s">
        <v>52</v>
      </c>
      <c r="H1323" t="s">
        <v>38</v>
      </c>
      <c r="I1323">
        <v>2616</v>
      </c>
    </row>
    <row r="1324" spans="1:9" ht="14.5" x14ac:dyDescent="0.35">
      <c r="A1324">
        <v>4</v>
      </c>
      <c r="B1324" t="s">
        <v>49</v>
      </c>
      <c r="C1324" t="s">
        <v>85</v>
      </c>
      <c r="D1324" t="s">
        <v>86</v>
      </c>
      <c r="E1324" t="s">
        <v>87</v>
      </c>
      <c r="F1324" t="s">
        <v>89</v>
      </c>
      <c r="G1324" t="s">
        <v>52</v>
      </c>
      <c r="H1324" t="s">
        <v>36</v>
      </c>
      <c r="I1324">
        <v>1736</v>
      </c>
    </row>
    <row r="1325" spans="1:9" ht="14.5" x14ac:dyDescent="0.35">
      <c r="A1325">
        <v>4</v>
      </c>
      <c r="B1325" t="s">
        <v>49</v>
      </c>
      <c r="C1325" t="s">
        <v>85</v>
      </c>
      <c r="D1325" t="s">
        <v>86</v>
      </c>
      <c r="E1325" t="s">
        <v>87</v>
      </c>
      <c r="F1325" t="s">
        <v>89</v>
      </c>
      <c r="G1325" t="s">
        <v>52</v>
      </c>
      <c r="H1325" t="s">
        <v>38</v>
      </c>
      <c r="I1325">
        <v>2018</v>
      </c>
    </row>
    <row r="1326" spans="1:9" ht="14.5" x14ac:dyDescent="0.35">
      <c r="A1326">
        <v>4</v>
      </c>
      <c r="B1326" t="s">
        <v>49</v>
      </c>
      <c r="C1326" t="s">
        <v>85</v>
      </c>
      <c r="D1326" t="s">
        <v>86</v>
      </c>
      <c r="E1326" t="s">
        <v>87</v>
      </c>
      <c r="F1326" t="s">
        <v>90</v>
      </c>
      <c r="G1326" t="s">
        <v>52</v>
      </c>
      <c r="H1326" t="s">
        <v>36</v>
      </c>
      <c r="I1326">
        <v>3771</v>
      </c>
    </row>
    <row r="1327" spans="1:9" ht="14.5" x14ac:dyDescent="0.35">
      <c r="A1327">
        <v>4</v>
      </c>
      <c r="B1327" t="s">
        <v>49</v>
      </c>
      <c r="C1327" t="s">
        <v>85</v>
      </c>
      <c r="D1327" t="s">
        <v>86</v>
      </c>
      <c r="E1327" t="s">
        <v>87</v>
      </c>
      <c r="F1327" t="s">
        <v>90</v>
      </c>
      <c r="G1327" t="s">
        <v>52</v>
      </c>
      <c r="H1327" t="s">
        <v>38</v>
      </c>
      <c r="I1327">
        <v>4513</v>
      </c>
    </row>
    <row r="1328" spans="1:9" ht="14.5" x14ac:dyDescent="0.35">
      <c r="A1328">
        <v>4</v>
      </c>
      <c r="B1328" t="s">
        <v>49</v>
      </c>
      <c r="C1328" t="s">
        <v>85</v>
      </c>
      <c r="D1328" t="s">
        <v>86</v>
      </c>
      <c r="E1328" t="s">
        <v>87</v>
      </c>
      <c r="F1328" t="s">
        <v>91</v>
      </c>
      <c r="G1328" t="s">
        <v>52</v>
      </c>
      <c r="H1328" t="s">
        <v>36</v>
      </c>
      <c r="I1328">
        <v>3915</v>
      </c>
    </row>
    <row r="1329" spans="1:9" ht="14.5" x14ac:dyDescent="0.35">
      <c r="A1329">
        <v>4</v>
      </c>
      <c r="B1329" t="s">
        <v>49</v>
      </c>
      <c r="C1329" t="s">
        <v>85</v>
      </c>
      <c r="D1329" t="s">
        <v>86</v>
      </c>
      <c r="E1329" t="s">
        <v>87</v>
      </c>
      <c r="F1329" t="s">
        <v>91</v>
      </c>
      <c r="G1329" t="s">
        <v>52</v>
      </c>
      <c r="H1329" t="s">
        <v>38</v>
      </c>
      <c r="I1329">
        <v>2471</v>
      </c>
    </row>
    <row r="1330" spans="1:9" ht="14.5" x14ac:dyDescent="0.35">
      <c r="A1330">
        <v>4</v>
      </c>
      <c r="B1330" t="s">
        <v>50</v>
      </c>
      <c r="C1330" t="s">
        <v>85</v>
      </c>
      <c r="D1330" t="s">
        <v>86</v>
      </c>
      <c r="E1330" t="s">
        <v>87</v>
      </c>
      <c r="F1330" t="s">
        <v>88</v>
      </c>
      <c r="G1330" t="s">
        <v>52</v>
      </c>
      <c r="H1330" t="s">
        <v>36</v>
      </c>
      <c r="I1330">
        <v>1063</v>
      </c>
    </row>
    <row r="1331" spans="1:9" ht="14.5" x14ac:dyDescent="0.35">
      <c r="A1331">
        <v>4</v>
      </c>
      <c r="B1331" t="s">
        <v>50</v>
      </c>
      <c r="C1331" t="s">
        <v>85</v>
      </c>
      <c r="D1331" t="s">
        <v>86</v>
      </c>
      <c r="E1331" t="s">
        <v>87</v>
      </c>
      <c r="F1331" t="s">
        <v>88</v>
      </c>
      <c r="G1331" t="s">
        <v>52</v>
      </c>
      <c r="H1331" t="s">
        <v>38</v>
      </c>
      <c r="I1331">
        <v>4046</v>
      </c>
    </row>
    <row r="1332" spans="1:9" ht="14.5" x14ac:dyDescent="0.35">
      <c r="A1332">
        <v>4</v>
      </c>
      <c r="B1332" t="s">
        <v>50</v>
      </c>
      <c r="C1332" t="s">
        <v>85</v>
      </c>
      <c r="D1332" t="s">
        <v>86</v>
      </c>
      <c r="E1332" t="s">
        <v>87</v>
      </c>
      <c r="F1332" t="s">
        <v>89</v>
      </c>
      <c r="G1332" t="s">
        <v>52</v>
      </c>
      <c r="H1332" t="s">
        <v>36</v>
      </c>
      <c r="I1332">
        <v>3607</v>
      </c>
    </row>
    <row r="1333" spans="1:9" ht="14.5" x14ac:dyDescent="0.35">
      <c r="A1333">
        <v>4</v>
      </c>
      <c r="B1333" t="s">
        <v>50</v>
      </c>
      <c r="C1333" t="s">
        <v>85</v>
      </c>
      <c r="D1333" t="s">
        <v>86</v>
      </c>
      <c r="E1333" t="s">
        <v>87</v>
      </c>
      <c r="F1333" t="s">
        <v>89</v>
      </c>
      <c r="G1333" t="s">
        <v>52</v>
      </c>
      <c r="H1333" t="s">
        <v>38</v>
      </c>
      <c r="I1333">
        <v>1529</v>
      </c>
    </row>
    <row r="1334" spans="1:9" ht="14.5" x14ac:dyDescent="0.35">
      <c r="A1334">
        <v>4</v>
      </c>
      <c r="B1334" t="s">
        <v>50</v>
      </c>
      <c r="C1334" t="s">
        <v>85</v>
      </c>
      <c r="D1334" t="s">
        <v>86</v>
      </c>
      <c r="E1334" t="s">
        <v>87</v>
      </c>
      <c r="F1334" t="s">
        <v>90</v>
      </c>
      <c r="G1334" t="s">
        <v>52</v>
      </c>
      <c r="H1334" t="s">
        <v>36</v>
      </c>
      <c r="I1334">
        <v>2457</v>
      </c>
    </row>
    <row r="1335" spans="1:9" ht="14.5" x14ac:dyDescent="0.35">
      <c r="A1335">
        <v>4</v>
      </c>
      <c r="B1335" t="s">
        <v>50</v>
      </c>
      <c r="C1335" t="s">
        <v>85</v>
      </c>
      <c r="D1335" t="s">
        <v>86</v>
      </c>
      <c r="E1335" t="s">
        <v>87</v>
      </c>
      <c r="F1335" t="s">
        <v>90</v>
      </c>
      <c r="G1335" t="s">
        <v>52</v>
      </c>
      <c r="H1335" t="s">
        <v>38</v>
      </c>
      <c r="I1335">
        <v>1027</v>
      </c>
    </row>
    <row r="1336" spans="1:9" ht="14.5" x14ac:dyDescent="0.35">
      <c r="A1336">
        <v>4</v>
      </c>
      <c r="B1336" t="s">
        <v>50</v>
      </c>
      <c r="C1336" t="s">
        <v>85</v>
      </c>
      <c r="D1336" t="s">
        <v>86</v>
      </c>
      <c r="E1336" t="s">
        <v>87</v>
      </c>
      <c r="F1336" t="s">
        <v>91</v>
      </c>
      <c r="G1336" t="s">
        <v>52</v>
      </c>
      <c r="H1336" t="s">
        <v>36</v>
      </c>
      <c r="I1336">
        <v>3242</v>
      </c>
    </row>
    <row r="1337" spans="1:9" ht="14.5" x14ac:dyDescent="0.35">
      <c r="A1337">
        <v>4</v>
      </c>
      <c r="B1337" t="s">
        <v>50</v>
      </c>
      <c r="C1337" t="s">
        <v>85</v>
      </c>
      <c r="D1337" t="s">
        <v>86</v>
      </c>
      <c r="E1337" t="s">
        <v>87</v>
      </c>
      <c r="F1337" t="s">
        <v>91</v>
      </c>
      <c r="G1337" t="s">
        <v>52</v>
      </c>
      <c r="H1337" t="s">
        <v>38</v>
      </c>
      <c r="I1337">
        <v>4533</v>
      </c>
    </row>
    <row r="1338" spans="1:9" ht="14.5" x14ac:dyDescent="0.35">
      <c r="A1338">
        <v>4</v>
      </c>
      <c r="B1338" t="s">
        <v>51</v>
      </c>
      <c r="C1338" t="s">
        <v>85</v>
      </c>
      <c r="D1338" t="s">
        <v>86</v>
      </c>
      <c r="E1338" t="s">
        <v>87</v>
      </c>
      <c r="F1338" t="s">
        <v>88</v>
      </c>
      <c r="G1338" t="s">
        <v>52</v>
      </c>
      <c r="H1338" t="s">
        <v>36</v>
      </c>
      <c r="I1338">
        <v>3409</v>
      </c>
    </row>
    <row r="1339" spans="1:9" ht="14.5" x14ac:dyDescent="0.35">
      <c r="A1339">
        <v>4</v>
      </c>
      <c r="B1339" t="s">
        <v>51</v>
      </c>
      <c r="C1339" t="s">
        <v>85</v>
      </c>
      <c r="D1339" t="s">
        <v>86</v>
      </c>
      <c r="E1339" t="s">
        <v>87</v>
      </c>
      <c r="F1339" t="s">
        <v>88</v>
      </c>
      <c r="G1339" t="s">
        <v>52</v>
      </c>
      <c r="H1339" t="s">
        <v>38</v>
      </c>
      <c r="I1339">
        <v>2766</v>
      </c>
    </row>
    <row r="1340" spans="1:9" ht="14.5" x14ac:dyDescent="0.35">
      <c r="A1340">
        <v>4</v>
      </c>
      <c r="B1340" t="s">
        <v>51</v>
      </c>
      <c r="C1340" t="s">
        <v>85</v>
      </c>
      <c r="D1340" t="s">
        <v>86</v>
      </c>
      <c r="E1340" t="s">
        <v>87</v>
      </c>
      <c r="F1340" t="s">
        <v>89</v>
      </c>
      <c r="G1340" t="s">
        <v>52</v>
      </c>
      <c r="H1340" t="s">
        <v>36</v>
      </c>
      <c r="I1340">
        <v>2973</v>
      </c>
    </row>
    <row r="1341" spans="1:9" ht="14.5" x14ac:dyDescent="0.35">
      <c r="A1341">
        <v>4</v>
      </c>
      <c r="B1341" t="s">
        <v>51</v>
      </c>
      <c r="C1341" t="s">
        <v>85</v>
      </c>
      <c r="D1341" t="s">
        <v>86</v>
      </c>
      <c r="E1341" t="s">
        <v>87</v>
      </c>
      <c r="F1341" t="s">
        <v>89</v>
      </c>
      <c r="G1341" t="s">
        <v>52</v>
      </c>
      <c r="H1341" t="s">
        <v>38</v>
      </c>
      <c r="I1341">
        <v>2977</v>
      </c>
    </row>
    <row r="1342" spans="1:9" ht="14.5" x14ac:dyDescent="0.35">
      <c r="A1342">
        <v>4</v>
      </c>
      <c r="B1342" t="s">
        <v>51</v>
      </c>
      <c r="C1342" t="s">
        <v>85</v>
      </c>
      <c r="D1342" t="s">
        <v>86</v>
      </c>
      <c r="E1342" t="s">
        <v>87</v>
      </c>
      <c r="F1342" t="s">
        <v>90</v>
      </c>
      <c r="G1342" t="s">
        <v>52</v>
      </c>
      <c r="H1342" t="s">
        <v>36</v>
      </c>
      <c r="I1342">
        <v>4442</v>
      </c>
    </row>
    <row r="1343" spans="1:9" ht="14.5" x14ac:dyDescent="0.35">
      <c r="A1343">
        <v>4</v>
      </c>
      <c r="B1343" t="s">
        <v>51</v>
      </c>
      <c r="C1343" t="s">
        <v>85</v>
      </c>
      <c r="D1343" t="s">
        <v>86</v>
      </c>
      <c r="E1343" t="s">
        <v>87</v>
      </c>
      <c r="F1343" t="s">
        <v>90</v>
      </c>
      <c r="G1343" t="s">
        <v>52</v>
      </c>
      <c r="H1343" t="s">
        <v>38</v>
      </c>
      <c r="I1343">
        <v>2307</v>
      </c>
    </row>
    <row r="1344" spans="1:9" ht="14.5" x14ac:dyDescent="0.35">
      <c r="A1344">
        <v>4</v>
      </c>
      <c r="B1344" t="s">
        <v>51</v>
      </c>
      <c r="C1344" t="s">
        <v>85</v>
      </c>
      <c r="D1344" t="s">
        <v>86</v>
      </c>
      <c r="E1344" t="s">
        <v>87</v>
      </c>
      <c r="F1344" t="s">
        <v>91</v>
      </c>
      <c r="G1344" t="s">
        <v>52</v>
      </c>
      <c r="H1344" t="s">
        <v>36</v>
      </c>
      <c r="I1344">
        <v>4089</v>
      </c>
    </row>
    <row r="1345" spans="1:9" ht="14.5" x14ac:dyDescent="0.35">
      <c r="A1345">
        <v>4</v>
      </c>
      <c r="B1345" t="s">
        <v>51</v>
      </c>
      <c r="C1345" t="s">
        <v>85</v>
      </c>
      <c r="D1345" t="s">
        <v>86</v>
      </c>
      <c r="E1345" t="s">
        <v>87</v>
      </c>
      <c r="F1345" t="s">
        <v>91</v>
      </c>
      <c r="G1345" t="s">
        <v>52</v>
      </c>
      <c r="H1345" t="s">
        <v>38</v>
      </c>
      <c r="I1345">
        <v>1926</v>
      </c>
    </row>
    <row r="1346" spans="1:9" ht="14.5" x14ac:dyDescent="0.35">
      <c r="A1346">
        <v>1</v>
      </c>
      <c r="B1346" t="s">
        <v>30</v>
      </c>
      <c r="C1346" t="s">
        <v>85</v>
      </c>
      <c r="D1346" t="s">
        <v>92</v>
      </c>
      <c r="E1346" t="s">
        <v>93</v>
      </c>
      <c r="F1346" t="s">
        <v>94</v>
      </c>
      <c r="G1346" t="s">
        <v>35</v>
      </c>
      <c r="H1346" t="s">
        <v>36</v>
      </c>
      <c r="I1346">
        <v>1886</v>
      </c>
    </row>
    <row r="1347" spans="1:9" ht="14.5" x14ac:dyDescent="0.35">
      <c r="A1347">
        <v>1</v>
      </c>
      <c r="B1347" t="s">
        <v>30</v>
      </c>
      <c r="C1347" t="s">
        <v>85</v>
      </c>
      <c r="D1347" t="s">
        <v>92</v>
      </c>
      <c r="E1347" t="s">
        <v>93</v>
      </c>
      <c r="F1347" t="s">
        <v>94</v>
      </c>
      <c r="G1347" t="s">
        <v>35</v>
      </c>
      <c r="H1347" t="s">
        <v>38</v>
      </c>
      <c r="I1347">
        <v>2487</v>
      </c>
    </row>
    <row r="1348" spans="1:9" ht="14.5" x14ac:dyDescent="0.35">
      <c r="A1348">
        <v>1</v>
      </c>
      <c r="B1348" t="s">
        <v>30</v>
      </c>
      <c r="C1348" t="s">
        <v>85</v>
      </c>
      <c r="D1348" t="s">
        <v>92</v>
      </c>
      <c r="E1348" t="s">
        <v>93</v>
      </c>
      <c r="F1348" t="s">
        <v>95</v>
      </c>
      <c r="G1348" t="s">
        <v>35</v>
      </c>
      <c r="H1348" t="s">
        <v>36</v>
      </c>
      <c r="I1348">
        <v>1009</v>
      </c>
    </row>
    <row r="1349" spans="1:9" ht="14.5" x14ac:dyDescent="0.35">
      <c r="A1349">
        <v>1</v>
      </c>
      <c r="B1349" t="s">
        <v>30</v>
      </c>
      <c r="C1349" t="s">
        <v>85</v>
      </c>
      <c r="D1349" t="s">
        <v>92</v>
      </c>
      <c r="E1349" t="s">
        <v>93</v>
      </c>
      <c r="F1349" t="s">
        <v>95</v>
      </c>
      <c r="G1349" t="s">
        <v>35</v>
      </c>
      <c r="H1349" t="s">
        <v>38</v>
      </c>
      <c r="I1349">
        <v>4873</v>
      </c>
    </row>
    <row r="1350" spans="1:9" ht="14.5" x14ac:dyDescent="0.35">
      <c r="A1350">
        <v>1</v>
      </c>
      <c r="B1350" t="s">
        <v>30</v>
      </c>
      <c r="C1350" t="s">
        <v>85</v>
      </c>
      <c r="D1350" t="s">
        <v>92</v>
      </c>
      <c r="E1350" t="s">
        <v>93</v>
      </c>
      <c r="F1350" t="s">
        <v>96</v>
      </c>
      <c r="G1350" t="s">
        <v>35</v>
      </c>
      <c r="H1350" t="s">
        <v>36</v>
      </c>
      <c r="I1350">
        <v>4208</v>
      </c>
    </row>
    <row r="1351" spans="1:9" ht="14.5" x14ac:dyDescent="0.35">
      <c r="A1351">
        <v>1</v>
      </c>
      <c r="B1351" t="s">
        <v>30</v>
      </c>
      <c r="C1351" t="s">
        <v>85</v>
      </c>
      <c r="D1351" t="s">
        <v>92</v>
      </c>
      <c r="E1351" t="s">
        <v>93</v>
      </c>
      <c r="F1351" t="s">
        <v>96</v>
      </c>
      <c r="G1351" t="s">
        <v>35</v>
      </c>
      <c r="H1351" t="s">
        <v>38</v>
      </c>
      <c r="I1351">
        <v>4033</v>
      </c>
    </row>
    <row r="1352" spans="1:9" ht="14.5" x14ac:dyDescent="0.35">
      <c r="A1352">
        <v>1</v>
      </c>
      <c r="B1352" t="s">
        <v>30</v>
      </c>
      <c r="C1352" t="s">
        <v>85</v>
      </c>
      <c r="D1352" t="s">
        <v>92</v>
      </c>
      <c r="E1352" t="s">
        <v>93</v>
      </c>
      <c r="F1352" t="s">
        <v>97</v>
      </c>
      <c r="G1352" t="s">
        <v>35</v>
      </c>
      <c r="H1352" t="s">
        <v>36</v>
      </c>
      <c r="I1352">
        <v>4758</v>
      </c>
    </row>
    <row r="1353" spans="1:9" ht="14.5" x14ac:dyDescent="0.35">
      <c r="A1353">
        <v>1</v>
      </c>
      <c r="B1353" t="s">
        <v>30</v>
      </c>
      <c r="C1353" t="s">
        <v>85</v>
      </c>
      <c r="D1353" t="s">
        <v>92</v>
      </c>
      <c r="E1353" t="s">
        <v>93</v>
      </c>
      <c r="F1353" t="s">
        <v>97</v>
      </c>
      <c r="G1353" t="s">
        <v>35</v>
      </c>
      <c r="H1353" t="s">
        <v>38</v>
      </c>
      <c r="I1353">
        <v>3041</v>
      </c>
    </row>
    <row r="1354" spans="1:9" ht="14.5" x14ac:dyDescent="0.35">
      <c r="A1354">
        <v>1</v>
      </c>
      <c r="B1354" t="s">
        <v>41</v>
      </c>
      <c r="C1354" t="s">
        <v>85</v>
      </c>
      <c r="D1354" t="s">
        <v>92</v>
      </c>
      <c r="E1354" t="s">
        <v>93</v>
      </c>
      <c r="F1354" t="s">
        <v>94</v>
      </c>
      <c r="G1354" t="s">
        <v>35</v>
      </c>
      <c r="H1354" t="s">
        <v>36</v>
      </c>
      <c r="I1354">
        <v>1766</v>
      </c>
    </row>
    <row r="1355" spans="1:9" ht="14.5" x14ac:dyDescent="0.35">
      <c r="A1355">
        <v>1</v>
      </c>
      <c r="B1355" t="s">
        <v>41</v>
      </c>
      <c r="C1355" t="s">
        <v>85</v>
      </c>
      <c r="D1355" t="s">
        <v>92</v>
      </c>
      <c r="E1355" t="s">
        <v>93</v>
      </c>
      <c r="F1355" t="s">
        <v>94</v>
      </c>
      <c r="G1355" t="s">
        <v>35</v>
      </c>
      <c r="H1355" t="s">
        <v>38</v>
      </c>
      <c r="I1355">
        <v>1310</v>
      </c>
    </row>
    <row r="1356" spans="1:9" ht="14.5" x14ac:dyDescent="0.35">
      <c r="A1356">
        <v>1</v>
      </c>
      <c r="B1356" t="s">
        <v>41</v>
      </c>
      <c r="C1356" t="s">
        <v>85</v>
      </c>
      <c r="D1356" t="s">
        <v>92</v>
      </c>
      <c r="E1356" t="s">
        <v>93</v>
      </c>
      <c r="F1356" t="s">
        <v>95</v>
      </c>
      <c r="G1356" t="s">
        <v>35</v>
      </c>
      <c r="H1356" t="s">
        <v>36</v>
      </c>
      <c r="I1356">
        <v>4585</v>
      </c>
    </row>
    <row r="1357" spans="1:9" ht="14.5" x14ac:dyDescent="0.35">
      <c r="A1357">
        <v>1</v>
      </c>
      <c r="B1357" t="s">
        <v>41</v>
      </c>
      <c r="C1357" t="s">
        <v>85</v>
      </c>
      <c r="D1357" t="s">
        <v>92</v>
      </c>
      <c r="E1357" t="s">
        <v>93</v>
      </c>
      <c r="F1357" t="s">
        <v>95</v>
      </c>
      <c r="G1357" t="s">
        <v>35</v>
      </c>
      <c r="H1357" t="s">
        <v>38</v>
      </c>
      <c r="I1357">
        <v>3520</v>
      </c>
    </row>
    <row r="1358" spans="1:9" ht="14.5" x14ac:dyDescent="0.35">
      <c r="A1358">
        <v>1</v>
      </c>
      <c r="B1358" t="s">
        <v>41</v>
      </c>
      <c r="C1358" t="s">
        <v>85</v>
      </c>
      <c r="D1358" t="s">
        <v>92</v>
      </c>
      <c r="E1358" t="s">
        <v>93</v>
      </c>
      <c r="F1358" t="s">
        <v>96</v>
      </c>
      <c r="G1358" t="s">
        <v>35</v>
      </c>
      <c r="H1358" t="s">
        <v>36</v>
      </c>
      <c r="I1358">
        <v>2668</v>
      </c>
    </row>
    <row r="1359" spans="1:9" ht="14.5" x14ac:dyDescent="0.35">
      <c r="A1359">
        <v>1</v>
      </c>
      <c r="B1359" t="s">
        <v>41</v>
      </c>
      <c r="C1359" t="s">
        <v>85</v>
      </c>
      <c r="D1359" t="s">
        <v>92</v>
      </c>
      <c r="E1359" t="s">
        <v>93</v>
      </c>
      <c r="F1359" t="s">
        <v>96</v>
      </c>
      <c r="G1359" t="s">
        <v>35</v>
      </c>
      <c r="H1359" t="s">
        <v>38</v>
      </c>
      <c r="I1359">
        <v>1990</v>
      </c>
    </row>
    <row r="1360" spans="1:9" ht="14.5" x14ac:dyDescent="0.35">
      <c r="A1360">
        <v>1</v>
      </c>
      <c r="B1360" t="s">
        <v>41</v>
      </c>
      <c r="C1360" t="s">
        <v>85</v>
      </c>
      <c r="D1360" t="s">
        <v>92</v>
      </c>
      <c r="E1360" t="s">
        <v>93</v>
      </c>
      <c r="F1360" t="s">
        <v>97</v>
      </c>
      <c r="G1360" t="s">
        <v>35</v>
      </c>
      <c r="H1360" t="s">
        <v>36</v>
      </c>
      <c r="I1360">
        <v>2398</v>
      </c>
    </row>
    <row r="1361" spans="1:9" ht="14.5" x14ac:dyDescent="0.35">
      <c r="A1361">
        <v>1</v>
      </c>
      <c r="B1361" t="s">
        <v>41</v>
      </c>
      <c r="C1361" t="s">
        <v>85</v>
      </c>
      <c r="D1361" t="s">
        <v>92</v>
      </c>
      <c r="E1361" t="s">
        <v>93</v>
      </c>
      <c r="F1361" t="s">
        <v>97</v>
      </c>
      <c r="G1361" t="s">
        <v>35</v>
      </c>
      <c r="H1361" t="s">
        <v>38</v>
      </c>
      <c r="I1361">
        <v>3517</v>
      </c>
    </row>
    <row r="1362" spans="1:9" ht="14.5" x14ac:dyDescent="0.35">
      <c r="A1362">
        <v>1</v>
      </c>
      <c r="B1362" t="s">
        <v>42</v>
      </c>
      <c r="C1362" t="s">
        <v>85</v>
      </c>
      <c r="D1362" t="s">
        <v>92</v>
      </c>
      <c r="E1362" t="s">
        <v>93</v>
      </c>
      <c r="F1362" t="s">
        <v>94</v>
      </c>
      <c r="G1362" t="s">
        <v>35</v>
      </c>
      <c r="H1362" t="s">
        <v>36</v>
      </c>
      <c r="I1362">
        <v>4481</v>
      </c>
    </row>
    <row r="1363" spans="1:9" ht="14.5" x14ac:dyDescent="0.35">
      <c r="A1363">
        <v>1</v>
      </c>
      <c r="B1363" t="s">
        <v>42</v>
      </c>
      <c r="C1363" t="s">
        <v>85</v>
      </c>
      <c r="D1363" t="s">
        <v>92</v>
      </c>
      <c r="E1363" t="s">
        <v>93</v>
      </c>
      <c r="F1363" t="s">
        <v>94</v>
      </c>
      <c r="G1363" t="s">
        <v>35</v>
      </c>
      <c r="H1363" t="s">
        <v>38</v>
      </c>
      <c r="I1363">
        <v>1677</v>
      </c>
    </row>
    <row r="1364" spans="1:9" ht="14.5" x14ac:dyDescent="0.35">
      <c r="A1364">
        <v>1</v>
      </c>
      <c r="B1364" t="s">
        <v>42</v>
      </c>
      <c r="C1364" t="s">
        <v>85</v>
      </c>
      <c r="D1364" t="s">
        <v>92</v>
      </c>
      <c r="E1364" t="s">
        <v>93</v>
      </c>
      <c r="F1364" t="s">
        <v>95</v>
      </c>
      <c r="G1364" t="s">
        <v>35</v>
      </c>
      <c r="H1364" t="s">
        <v>36</v>
      </c>
      <c r="I1364">
        <v>1322</v>
      </c>
    </row>
    <row r="1365" spans="1:9" ht="14.5" x14ac:dyDescent="0.35">
      <c r="A1365">
        <v>1</v>
      </c>
      <c r="B1365" t="s">
        <v>42</v>
      </c>
      <c r="C1365" t="s">
        <v>85</v>
      </c>
      <c r="D1365" t="s">
        <v>92</v>
      </c>
      <c r="E1365" t="s">
        <v>93</v>
      </c>
      <c r="F1365" t="s">
        <v>95</v>
      </c>
      <c r="G1365" t="s">
        <v>35</v>
      </c>
      <c r="H1365" t="s">
        <v>38</v>
      </c>
      <c r="I1365">
        <v>4704</v>
      </c>
    </row>
    <row r="1366" spans="1:9" ht="14.5" x14ac:dyDescent="0.35">
      <c r="A1366">
        <v>1</v>
      </c>
      <c r="B1366" t="s">
        <v>42</v>
      </c>
      <c r="C1366" t="s">
        <v>85</v>
      </c>
      <c r="D1366" t="s">
        <v>92</v>
      </c>
      <c r="E1366" t="s">
        <v>93</v>
      </c>
      <c r="F1366" t="s">
        <v>96</v>
      </c>
      <c r="G1366" t="s">
        <v>35</v>
      </c>
      <c r="H1366" t="s">
        <v>36</v>
      </c>
      <c r="I1366">
        <v>1275</v>
      </c>
    </row>
    <row r="1367" spans="1:9" ht="14.5" x14ac:dyDescent="0.35">
      <c r="A1367">
        <v>1</v>
      </c>
      <c r="B1367" t="s">
        <v>42</v>
      </c>
      <c r="C1367" t="s">
        <v>85</v>
      </c>
      <c r="D1367" t="s">
        <v>92</v>
      </c>
      <c r="E1367" t="s">
        <v>93</v>
      </c>
      <c r="F1367" t="s">
        <v>96</v>
      </c>
      <c r="G1367" t="s">
        <v>35</v>
      </c>
      <c r="H1367" t="s">
        <v>38</v>
      </c>
      <c r="I1367">
        <v>4857</v>
      </c>
    </row>
    <row r="1368" spans="1:9" ht="14.5" x14ac:dyDescent="0.35">
      <c r="A1368">
        <v>1</v>
      </c>
      <c r="B1368" t="s">
        <v>42</v>
      </c>
      <c r="C1368" t="s">
        <v>85</v>
      </c>
      <c r="D1368" t="s">
        <v>92</v>
      </c>
      <c r="E1368" t="s">
        <v>93</v>
      </c>
      <c r="F1368" t="s">
        <v>97</v>
      </c>
      <c r="G1368" t="s">
        <v>35</v>
      </c>
      <c r="H1368" t="s">
        <v>36</v>
      </c>
      <c r="I1368">
        <v>1744</v>
      </c>
    </row>
    <row r="1369" spans="1:9" ht="14.5" x14ac:dyDescent="0.35">
      <c r="A1369">
        <v>1</v>
      </c>
      <c r="B1369" t="s">
        <v>42</v>
      </c>
      <c r="C1369" t="s">
        <v>85</v>
      </c>
      <c r="D1369" t="s">
        <v>92</v>
      </c>
      <c r="E1369" t="s">
        <v>93</v>
      </c>
      <c r="F1369" t="s">
        <v>97</v>
      </c>
      <c r="G1369" t="s">
        <v>35</v>
      </c>
      <c r="H1369" t="s">
        <v>38</v>
      </c>
      <c r="I1369">
        <v>4122</v>
      </c>
    </row>
    <row r="1370" spans="1:9" ht="14.5" x14ac:dyDescent="0.35">
      <c r="A1370">
        <v>2</v>
      </c>
      <c r="B1370" t="s">
        <v>43</v>
      </c>
      <c r="C1370" t="s">
        <v>85</v>
      </c>
      <c r="D1370" t="s">
        <v>92</v>
      </c>
      <c r="E1370" t="s">
        <v>93</v>
      </c>
      <c r="F1370" t="s">
        <v>94</v>
      </c>
      <c r="G1370" t="s">
        <v>35</v>
      </c>
      <c r="H1370" t="s">
        <v>36</v>
      </c>
      <c r="I1370">
        <v>2231</v>
      </c>
    </row>
    <row r="1371" spans="1:9" ht="14.5" x14ac:dyDescent="0.35">
      <c r="A1371">
        <v>2</v>
      </c>
      <c r="B1371" t="s">
        <v>43</v>
      </c>
      <c r="C1371" t="s">
        <v>85</v>
      </c>
      <c r="D1371" t="s">
        <v>92</v>
      </c>
      <c r="E1371" t="s">
        <v>93</v>
      </c>
      <c r="F1371" t="s">
        <v>94</v>
      </c>
      <c r="G1371" t="s">
        <v>35</v>
      </c>
      <c r="H1371" t="s">
        <v>38</v>
      </c>
      <c r="I1371">
        <v>3366</v>
      </c>
    </row>
    <row r="1372" spans="1:9" ht="14.5" x14ac:dyDescent="0.35">
      <c r="A1372">
        <v>2</v>
      </c>
      <c r="B1372" t="s">
        <v>43</v>
      </c>
      <c r="C1372" t="s">
        <v>85</v>
      </c>
      <c r="D1372" t="s">
        <v>92</v>
      </c>
      <c r="E1372" t="s">
        <v>93</v>
      </c>
      <c r="F1372" t="s">
        <v>95</v>
      </c>
      <c r="G1372" t="s">
        <v>35</v>
      </c>
      <c r="H1372" t="s">
        <v>36</v>
      </c>
      <c r="I1372">
        <v>4598</v>
      </c>
    </row>
    <row r="1373" spans="1:9" ht="14.5" x14ac:dyDescent="0.35">
      <c r="A1373">
        <v>2</v>
      </c>
      <c r="B1373" t="s">
        <v>43</v>
      </c>
      <c r="C1373" t="s">
        <v>85</v>
      </c>
      <c r="D1373" t="s">
        <v>92</v>
      </c>
      <c r="E1373" t="s">
        <v>93</v>
      </c>
      <c r="F1373" t="s">
        <v>95</v>
      </c>
      <c r="G1373" t="s">
        <v>35</v>
      </c>
      <c r="H1373" t="s">
        <v>38</v>
      </c>
      <c r="I1373">
        <v>2942</v>
      </c>
    </row>
    <row r="1374" spans="1:9" ht="14.5" x14ac:dyDescent="0.35">
      <c r="A1374">
        <v>2</v>
      </c>
      <c r="B1374" t="s">
        <v>43</v>
      </c>
      <c r="C1374" t="s">
        <v>85</v>
      </c>
      <c r="D1374" t="s">
        <v>92</v>
      </c>
      <c r="E1374" t="s">
        <v>93</v>
      </c>
      <c r="F1374" t="s">
        <v>96</v>
      </c>
      <c r="G1374" t="s">
        <v>35</v>
      </c>
      <c r="H1374" t="s">
        <v>36</v>
      </c>
      <c r="I1374">
        <v>4459</v>
      </c>
    </row>
    <row r="1375" spans="1:9" ht="14.5" x14ac:dyDescent="0.35">
      <c r="A1375">
        <v>2</v>
      </c>
      <c r="B1375" t="s">
        <v>43</v>
      </c>
      <c r="C1375" t="s">
        <v>85</v>
      </c>
      <c r="D1375" t="s">
        <v>92</v>
      </c>
      <c r="E1375" t="s">
        <v>93</v>
      </c>
      <c r="F1375" t="s">
        <v>96</v>
      </c>
      <c r="G1375" t="s">
        <v>35</v>
      </c>
      <c r="H1375" t="s">
        <v>38</v>
      </c>
      <c r="I1375">
        <v>1997</v>
      </c>
    </row>
    <row r="1376" spans="1:9" ht="14.5" x14ac:dyDescent="0.35">
      <c r="A1376">
        <v>2</v>
      </c>
      <c r="B1376" t="s">
        <v>43</v>
      </c>
      <c r="C1376" t="s">
        <v>85</v>
      </c>
      <c r="D1376" t="s">
        <v>92</v>
      </c>
      <c r="E1376" t="s">
        <v>93</v>
      </c>
      <c r="F1376" t="s">
        <v>97</v>
      </c>
      <c r="G1376" t="s">
        <v>35</v>
      </c>
      <c r="H1376" t="s">
        <v>36</v>
      </c>
      <c r="I1376">
        <v>3770</v>
      </c>
    </row>
    <row r="1377" spans="1:9" ht="14.5" x14ac:dyDescent="0.35">
      <c r="A1377">
        <v>2</v>
      </c>
      <c r="B1377" t="s">
        <v>43</v>
      </c>
      <c r="C1377" t="s">
        <v>85</v>
      </c>
      <c r="D1377" t="s">
        <v>92</v>
      </c>
      <c r="E1377" t="s">
        <v>93</v>
      </c>
      <c r="F1377" t="s">
        <v>97</v>
      </c>
      <c r="G1377" t="s">
        <v>35</v>
      </c>
      <c r="H1377" t="s">
        <v>38</v>
      </c>
      <c r="I1377">
        <v>2759</v>
      </c>
    </row>
    <row r="1378" spans="1:9" ht="14.5" x14ac:dyDescent="0.35">
      <c r="A1378">
        <v>2</v>
      </c>
      <c r="B1378" t="s">
        <v>44</v>
      </c>
      <c r="C1378" t="s">
        <v>85</v>
      </c>
      <c r="D1378" t="s">
        <v>92</v>
      </c>
      <c r="E1378" t="s">
        <v>93</v>
      </c>
      <c r="F1378" t="s">
        <v>94</v>
      </c>
      <c r="G1378" t="s">
        <v>35</v>
      </c>
      <c r="H1378" t="s">
        <v>36</v>
      </c>
      <c r="I1378">
        <v>2891</v>
      </c>
    </row>
    <row r="1379" spans="1:9" ht="14.5" x14ac:dyDescent="0.35">
      <c r="A1379">
        <v>2</v>
      </c>
      <c r="B1379" t="s">
        <v>44</v>
      </c>
      <c r="C1379" t="s">
        <v>85</v>
      </c>
      <c r="D1379" t="s">
        <v>92</v>
      </c>
      <c r="E1379" t="s">
        <v>93</v>
      </c>
      <c r="F1379" t="s">
        <v>94</v>
      </c>
      <c r="G1379" t="s">
        <v>35</v>
      </c>
      <c r="H1379" t="s">
        <v>38</v>
      </c>
      <c r="I1379">
        <v>2756</v>
      </c>
    </row>
    <row r="1380" spans="1:9" ht="14.5" x14ac:dyDescent="0.35">
      <c r="A1380">
        <v>2</v>
      </c>
      <c r="B1380" t="s">
        <v>44</v>
      </c>
      <c r="C1380" t="s">
        <v>85</v>
      </c>
      <c r="D1380" t="s">
        <v>92</v>
      </c>
      <c r="E1380" t="s">
        <v>93</v>
      </c>
      <c r="F1380" t="s">
        <v>95</v>
      </c>
      <c r="G1380" t="s">
        <v>35</v>
      </c>
      <c r="H1380" t="s">
        <v>36</v>
      </c>
      <c r="I1380">
        <v>3550</v>
      </c>
    </row>
    <row r="1381" spans="1:9" ht="14.5" x14ac:dyDescent="0.35">
      <c r="A1381">
        <v>2</v>
      </c>
      <c r="B1381" t="s">
        <v>44</v>
      </c>
      <c r="C1381" t="s">
        <v>85</v>
      </c>
      <c r="D1381" t="s">
        <v>92</v>
      </c>
      <c r="E1381" t="s">
        <v>93</v>
      </c>
      <c r="F1381" t="s">
        <v>95</v>
      </c>
      <c r="G1381" t="s">
        <v>35</v>
      </c>
      <c r="H1381" t="s">
        <v>38</v>
      </c>
      <c r="I1381">
        <v>3090</v>
      </c>
    </row>
    <row r="1382" spans="1:9" ht="14.5" x14ac:dyDescent="0.35">
      <c r="A1382">
        <v>2</v>
      </c>
      <c r="B1382" t="s">
        <v>44</v>
      </c>
      <c r="C1382" t="s">
        <v>85</v>
      </c>
      <c r="D1382" t="s">
        <v>92</v>
      </c>
      <c r="E1382" t="s">
        <v>93</v>
      </c>
      <c r="F1382" t="s">
        <v>96</v>
      </c>
      <c r="G1382" t="s">
        <v>35</v>
      </c>
      <c r="H1382" t="s">
        <v>36</v>
      </c>
      <c r="I1382">
        <v>4532</v>
      </c>
    </row>
    <row r="1383" spans="1:9" ht="14.5" x14ac:dyDescent="0.35">
      <c r="A1383">
        <v>2</v>
      </c>
      <c r="B1383" t="s">
        <v>44</v>
      </c>
      <c r="C1383" t="s">
        <v>85</v>
      </c>
      <c r="D1383" t="s">
        <v>92</v>
      </c>
      <c r="E1383" t="s">
        <v>93</v>
      </c>
      <c r="F1383" t="s">
        <v>96</v>
      </c>
      <c r="G1383" t="s">
        <v>35</v>
      </c>
      <c r="H1383" t="s">
        <v>38</v>
      </c>
      <c r="I1383">
        <v>2642</v>
      </c>
    </row>
    <row r="1384" spans="1:9" ht="14.5" x14ac:dyDescent="0.35">
      <c r="A1384">
        <v>2</v>
      </c>
      <c r="B1384" t="s">
        <v>44</v>
      </c>
      <c r="C1384" t="s">
        <v>85</v>
      </c>
      <c r="D1384" t="s">
        <v>92</v>
      </c>
      <c r="E1384" t="s">
        <v>93</v>
      </c>
      <c r="F1384" t="s">
        <v>97</v>
      </c>
      <c r="G1384" t="s">
        <v>35</v>
      </c>
      <c r="H1384" t="s">
        <v>36</v>
      </c>
      <c r="I1384">
        <v>1235</v>
      </c>
    </row>
    <row r="1385" spans="1:9" ht="14.5" x14ac:dyDescent="0.35">
      <c r="A1385">
        <v>2</v>
      </c>
      <c r="B1385" t="s">
        <v>44</v>
      </c>
      <c r="C1385" t="s">
        <v>85</v>
      </c>
      <c r="D1385" t="s">
        <v>92</v>
      </c>
      <c r="E1385" t="s">
        <v>93</v>
      </c>
      <c r="F1385" t="s">
        <v>97</v>
      </c>
      <c r="G1385" t="s">
        <v>35</v>
      </c>
      <c r="H1385" t="s">
        <v>38</v>
      </c>
      <c r="I1385">
        <v>1634</v>
      </c>
    </row>
    <row r="1386" spans="1:9" ht="14.5" x14ac:dyDescent="0.35">
      <c r="A1386">
        <v>2</v>
      </c>
      <c r="B1386" t="s">
        <v>45</v>
      </c>
      <c r="C1386" t="s">
        <v>85</v>
      </c>
      <c r="D1386" t="s">
        <v>92</v>
      </c>
      <c r="E1386" t="s">
        <v>93</v>
      </c>
      <c r="F1386" t="s">
        <v>94</v>
      </c>
      <c r="G1386" t="s">
        <v>35</v>
      </c>
      <c r="H1386" t="s">
        <v>36</v>
      </c>
      <c r="I1386">
        <v>1808</v>
      </c>
    </row>
    <row r="1387" spans="1:9" ht="14.5" x14ac:dyDescent="0.35">
      <c r="A1387">
        <v>2</v>
      </c>
      <c r="B1387" t="s">
        <v>45</v>
      </c>
      <c r="C1387" t="s">
        <v>85</v>
      </c>
      <c r="D1387" t="s">
        <v>92</v>
      </c>
      <c r="E1387" t="s">
        <v>93</v>
      </c>
      <c r="F1387" t="s">
        <v>94</v>
      </c>
      <c r="G1387" t="s">
        <v>35</v>
      </c>
      <c r="H1387" t="s">
        <v>38</v>
      </c>
      <c r="I1387">
        <v>3337</v>
      </c>
    </row>
    <row r="1388" spans="1:9" ht="14.5" x14ac:dyDescent="0.35">
      <c r="A1388">
        <v>2</v>
      </c>
      <c r="B1388" t="s">
        <v>45</v>
      </c>
      <c r="C1388" t="s">
        <v>85</v>
      </c>
      <c r="D1388" t="s">
        <v>92</v>
      </c>
      <c r="E1388" t="s">
        <v>93</v>
      </c>
      <c r="F1388" t="s">
        <v>95</v>
      </c>
      <c r="G1388" t="s">
        <v>35</v>
      </c>
      <c r="H1388" t="s">
        <v>36</v>
      </c>
      <c r="I1388">
        <v>2734</v>
      </c>
    </row>
    <row r="1389" spans="1:9" ht="14.5" x14ac:dyDescent="0.35">
      <c r="A1389">
        <v>2</v>
      </c>
      <c r="B1389" t="s">
        <v>45</v>
      </c>
      <c r="C1389" t="s">
        <v>85</v>
      </c>
      <c r="D1389" t="s">
        <v>92</v>
      </c>
      <c r="E1389" t="s">
        <v>93</v>
      </c>
      <c r="F1389" t="s">
        <v>95</v>
      </c>
      <c r="G1389" t="s">
        <v>35</v>
      </c>
      <c r="H1389" t="s">
        <v>38</v>
      </c>
      <c r="I1389">
        <v>4106</v>
      </c>
    </row>
    <row r="1390" spans="1:9" ht="14.5" x14ac:dyDescent="0.35">
      <c r="A1390">
        <v>2</v>
      </c>
      <c r="B1390" t="s">
        <v>45</v>
      </c>
      <c r="C1390" t="s">
        <v>85</v>
      </c>
      <c r="D1390" t="s">
        <v>92</v>
      </c>
      <c r="E1390" t="s">
        <v>93</v>
      </c>
      <c r="F1390" t="s">
        <v>96</v>
      </c>
      <c r="G1390" t="s">
        <v>35</v>
      </c>
      <c r="H1390" t="s">
        <v>36</v>
      </c>
      <c r="I1390">
        <v>1434</v>
      </c>
    </row>
    <row r="1391" spans="1:9" ht="14.5" x14ac:dyDescent="0.35">
      <c r="A1391">
        <v>2</v>
      </c>
      <c r="B1391" t="s">
        <v>45</v>
      </c>
      <c r="C1391" t="s">
        <v>85</v>
      </c>
      <c r="D1391" t="s">
        <v>92</v>
      </c>
      <c r="E1391" t="s">
        <v>93</v>
      </c>
      <c r="F1391" t="s">
        <v>96</v>
      </c>
      <c r="G1391" t="s">
        <v>35</v>
      </c>
      <c r="H1391" t="s">
        <v>38</v>
      </c>
      <c r="I1391">
        <v>3590</v>
      </c>
    </row>
    <row r="1392" spans="1:9" ht="14.5" x14ac:dyDescent="0.35">
      <c r="A1392">
        <v>2</v>
      </c>
      <c r="B1392" t="s">
        <v>45</v>
      </c>
      <c r="C1392" t="s">
        <v>85</v>
      </c>
      <c r="D1392" t="s">
        <v>92</v>
      </c>
      <c r="E1392" t="s">
        <v>93</v>
      </c>
      <c r="F1392" t="s">
        <v>97</v>
      </c>
      <c r="G1392" t="s">
        <v>35</v>
      </c>
      <c r="H1392" t="s">
        <v>36</v>
      </c>
      <c r="I1392">
        <v>1804</v>
      </c>
    </row>
    <row r="1393" spans="1:9" ht="14.5" x14ac:dyDescent="0.35">
      <c r="A1393">
        <v>2</v>
      </c>
      <c r="B1393" t="s">
        <v>45</v>
      </c>
      <c r="C1393" t="s">
        <v>85</v>
      </c>
      <c r="D1393" t="s">
        <v>92</v>
      </c>
      <c r="E1393" t="s">
        <v>93</v>
      </c>
      <c r="F1393" t="s">
        <v>97</v>
      </c>
      <c r="G1393" t="s">
        <v>35</v>
      </c>
      <c r="H1393" t="s">
        <v>38</v>
      </c>
      <c r="I1393">
        <v>3630</v>
      </c>
    </row>
    <row r="1394" spans="1:9" ht="14.5" x14ac:dyDescent="0.35">
      <c r="A1394">
        <v>3</v>
      </c>
      <c r="B1394" t="s">
        <v>46</v>
      </c>
      <c r="C1394" t="s">
        <v>85</v>
      </c>
      <c r="D1394" t="s">
        <v>92</v>
      </c>
      <c r="E1394" t="s">
        <v>93</v>
      </c>
      <c r="F1394" t="s">
        <v>94</v>
      </c>
      <c r="G1394" t="s">
        <v>35</v>
      </c>
      <c r="H1394" t="s">
        <v>36</v>
      </c>
      <c r="I1394">
        <v>4276</v>
      </c>
    </row>
    <row r="1395" spans="1:9" ht="14.5" x14ac:dyDescent="0.35">
      <c r="A1395">
        <v>3</v>
      </c>
      <c r="B1395" t="s">
        <v>46</v>
      </c>
      <c r="C1395" t="s">
        <v>85</v>
      </c>
      <c r="D1395" t="s">
        <v>92</v>
      </c>
      <c r="E1395" t="s">
        <v>93</v>
      </c>
      <c r="F1395" t="s">
        <v>94</v>
      </c>
      <c r="G1395" t="s">
        <v>35</v>
      </c>
      <c r="H1395" t="s">
        <v>38</v>
      </c>
      <c r="I1395">
        <v>3091</v>
      </c>
    </row>
    <row r="1396" spans="1:9" ht="14.5" x14ac:dyDescent="0.35">
      <c r="A1396">
        <v>3</v>
      </c>
      <c r="B1396" t="s">
        <v>46</v>
      </c>
      <c r="C1396" t="s">
        <v>85</v>
      </c>
      <c r="D1396" t="s">
        <v>92</v>
      </c>
      <c r="E1396" t="s">
        <v>93</v>
      </c>
      <c r="F1396" t="s">
        <v>95</v>
      </c>
      <c r="G1396" t="s">
        <v>35</v>
      </c>
      <c r="H1396" t="s">
        <v>36</v>
      </c>
      <c r="I1396">
        <v>3367</v>
      </c>
    </row>
    <row r="1397" spans="1:9" ht="14.5" x14ac:dyDescent="0.35">
      <c r="A1397">
        <v>3</v>
      </c>
      <c r="B1397" t="s">
        <v>46</v>
      </c>
      <c r="C1397" t="s">
        <v>85</v>
      </c>
      <c r="D1397" t="s">
        <v>92</v>
      </c>
      <c r="E1397" t="s">
        <v>93</v>
      </c>
      <c r="F1397" t="s">
        <v>95</v>
      </c>
      <c r="G1397" t="s">
        <v>35</v>
      </c>
      <c r="H1397" t="s">
        <v>38</v>
      </c>
      <c r="I1397">
        <v>2019</v>
      </c>
    </row>
    <row r="1398" spans="1:9" ht="14.5" x14ac:dyDescent="0.35">
      <c r="A1398">
        <v>3</v>
      </c>
      <c r="B1398" t="s">
        <v>46</v>
      </c>
      <c r="C1398" t="s">
        <v>85</v>
      </c>
      <c r="D1398" t="s">
        <v>92</v>
      </c>
      <c r="E1398" t="s">
        <v>93</v>
      </c>
      <c r="F1398" t="s">
        <v>96</v>
      </c>
      <c r="G1398" t="s">
        <v>35</v>
      </c>
      <c r="H1398" t="s">
        <v>36</v>
      </c>
      <c r="I1398">
        <v>2058</v>
      </c>
    </row>
    <row r="1399" spans="1:9" ht="14.5" x14ac:dyDescent="0.35">
      <c r="A1399">
        <v>3</v>
      </c>
      <c r="B1399" t="s">
        <v>46</v>
      </c>
      <c r="C1399" t="s">
        <v>85</v>
      </c>
      <c r="D1399" t="s">
        <v>92</v>
      </c>
      <c r="E1399" t="s">
        <v>93</v>
      </c>
      <c r="F1399" t="s">
        <v>96</v>
      </c>
      <c r="G1399" t="s">
        <v>35</v>
      </c>
      <c r="H1399" t="s">
        <v>38</v>
      </c>
      <c r="I1399">
        <v>3827</v>
      </c>
    </row>
    <row r="1400" spans="1:9" ht="14.5" x14ac:dyDescent="0.35">
      <c r="A1400">
        <v>3</v>
      </c>
      <c r="B1400" t="s">
        <v>46</v>
      </c>
      <c r="C1400" t="s">
        <v>85</v>
      </c>
      <c r="D1400" t="s">
        <v>92</v>
      </c>
      <c r="E1400" t="s">
        <v>93</v>
      </c>
      <c r="F1400" t="s">
        <v>97</v>
      </c>
      <c r="G1400" t="s">
        <v>35</v>
      </c>
      <c r="H1400" t="s">
        <v>36</v>
      </c>
      <c r="I1400">
        <v>3709</v>
      </c>
    </row>
    <row r="1401" spans="1:9" ht="14.5" x14ac:dyDescent="0.35">
      <c r="A1401">
        <v>3</v>
      </c>
      <c r="B1401" t="s">
        <v>46</v>
      </c>
      <c r="C1401" t="s">
        <v>85</v>
      </c>
      <c r="D1401" t="s">
        <v>92</v>
      </c>
      <c r="E1401" t="s">
        <v>93</v>
      </c>
      <c r="F1401" t="s">
        <v>97</v>
      </c>
      <c r="G1401" t="s">
        <v>35</v>
      </c>
      <c r="H1401" t="s">
        <v>38</v>
      </c>
      <c r="I1401">
        <v>1236</v>
      </c>
    </row>
    <row r="1402" spans="1:9" ht="14.5" x14ac:dyDescent="0.35">
      <c r="A1402">
        <v>3</v>
      </c>
      <c r="B1402" t="s">
        <v>47</v>
      </c>
      <c r="C1402" t="s">
        <v>85</v>
      </c>
      <c r="D1402" t="s">
        <v>92</v>
      </c>
      <c r="E1402" t="s">
        <v>93</v>
      </c>
      <c r="F1402" t="s">
        <v>94</v>
      </c>
      <c r="G1402" t="s">
        <v>35</v>
      </c>
      <c r="H1402" t="s">
        <v>36</v>
      </c>
      <c r="I1402">
        <v>4442</v>
      </c>
    </row>
    <row r="1403" spans="1:9" ht="14.5" x14ac:dyDescent="0.35">
      <c r="A1403">
        <v>3</v>
      </c>
      <c r="B1403" t="s">
        <v>47</v>
      </c>
      <c r="C1403" t="s">
        <v>85</v>
      </c>
      <c r="D1403" t="s">
        <v>92</v>
      </c>
      <c r="E1403" t="s">
        <v>93</v>
      </c>
      <c r="F1403" t="s">
        <v>94</v>
      </c>
      <c r="G1403" t="s">
        <v>35</v>
      </c>
      <c r="H1403" t="s">
        <v>38</v>
      </c>
      <c r="I1403">
        <v>2699</v>
      </c>
    </row>
    <row r="1404" spans="1:9" ht="14.5" x14ac:dyDescent="0.35">
      <c r="A1404">
        <v>3</v>
      </c>
      <c r="B1404" t="s">
        <v>47</v>
      </c>
      <c r="C1404" t="s">
        <v>85</v>
      </c>
      <c r="D1404" t="s">
        <v>92</v>
      </c>
      <c r="E1404" t="s">
        <v>93</v>
      </c>
      <c r="F1404" t="s">
        <v>95</v>
      </c>
      <c r="G1404" t="s">
        <v>35</v>
      </c>
      <c r="H1404" t="s">
        <v>36</v>
      </c>
      <c r="I1404">
        <v>2058</v>
      </c>
    </row>
    <row r="1405" spans="1:9" ht="14.5" x14ac:dyDescent="0.35">
      <c r="A1405">
        <v>3</v>
      </c>
      <c r="B1405" t="s">
        <v>47</v>
      </c>
      <c r="C1405" t="s">
        <v>85</v>
      </c>
      <c r="D1405" t="s">
        <v>92</v>
      </c>
      <c r="E1405" t="s">
        <v>93</v>
      </c>
      <c r="F1405" t="s">
        <v>95</v>
      </c>
      <c r="G1405" t="s">
        <v>35</v>
      </c>
      <c r="H1405" t="s">
        <v>38</v>
      </c>
      <c r="I1405">
        <v>1941</v>
      </c>
    </row>
    <row r="1406" spans="1:9" ht="14.5" x14ac:dyDescent="0.35">
      <c r="A1406">
        <v>3</v>
      </c>
      <c r="B1406" t="s">
        <v>47</v>
      </c>
      <c r="C1406" t="s">
        <v>85</v>
      </c>
      <c r="D1406" t="s">
        <v>92</v>
      </c>
      <c r="E1406" t="s">
        <v>93</v>
      </c>
      <c r="F1406" t="s">
        <v>96</v>
      </c>
      <c r="G1406" t="s">
        <v>35</v>
      </c>
      <c r="H1406" t="s">
        <v>36</v>
      </c>
      <c r="I1406">
        <v>2775</v>
      </c>
    </row>
    <row r="1407" spans="1:9" ht="14.5" x14ac:dyDescent="0.35">
      <c r="A1407">
        <v>3</v>
      </c>
      <c r="B1407" t="s">
        <v>47</v>
      </c>
      <c r="C1407" t="s">
        <v>85</v>
      </c>
      <c r="D1407" t="s">
        <v>92</v>
      </c>
      <c r="E1407" t="s">
        <v>93</v>
      </c>
      <c r="F1407" t="s">
        <v>96</v>
      </c>
      <c r="G1407" t="s">
        <v>35</v>
      </c>
      <c r="H1407" t="s">
        <v>38</v>
      </c>
      <c r="I1407">
        <v>1850</v>
      </c>
    </row>
    <row r="1408" spans="1:9" ht="14.5" x14ac:dyDescent="0.35">
      <c r="A1408">
        <v>3</v>
      </c>
      <c r="B1408" t="s">
        <v>47</v>
      </c>
      <c r="C1408" t="s">
        <v>85</v>
      </c>
      <c r="D1408" t="s">
        <v>92</v>
      </c>
      <c r="E1408" t="s">
        <v>93</v>
      </c>
      <c r="F1408" t="s">
        <v>97</v>
      </c>
      <c r="G1408" t="s">
        <v>35</v>
      </c>
      <c r="H1408" t="s">
        <v>36</v>
      </c>
      <c r="I1408">
        <v>3601</v>
      </c>
    </row>
    <row r="1409" spans="1:9" ht="14.5" x14ac:dyDescent="0.35">
      <c r="A1409">
        <v>3</v>
      </c>
      <c r="B1409" t="s">
        <v>47</v>
      </c>
      <c r="C1409" t="s">
        <v>85</v>
      </c>
      <c r="D1409" t="s">
        <v>92</v>
      </c>
      <c r="E1409" t="s">
        <v>93</v>
      </c>
      <c r="F1409" t="s">
        <v>97</v>
      </c>
      <c r="G1409" t="s">
        <v>35</v>
      </c>
      <c r="H1409" t="s">
        <v>38</v>
      </c>
      <c r="I1409">
        <v>1578</v>
      </c>
    </row>
    <row r="1410" spans="1:9" ht="14.5" x14ac:dyDescent="0.35">
      <c r="A1410">
        <v>3</v>
      </c>
      <c r="B1410" t="s">
        <v>48</v>
      </c>
      <c r="C1410" t="s">
        <v>85</v>
      </c>
      <c r="D1410" t="s">
        <v>92</v>
      </c>
      <c r="E1410" t="s">
        <v>93</v>
      </c>
      <c r="F1410" t="s">
        <v>94</v>
      </c>
      <c r="G1410" t="s">
        <v>35</v>
      </c>
      <c r="H1410" t="s">
        <v>36</v>
      </c>
      <c r="I1410">
        <v>2998</v>
      </c>
    </row>
    <row r="1411" spans="1:9" ht="14.5" x14ac:dyDescent="0.35">
      <c r="A1411">
        <v>3</v>
      </c>
      <c r="B1411" t="s">
        <v>48</v>
      </c>
      <c r="C1411" t="s">
        <v>85</v>
      </c>
      <c r="D1411" t="s">
        <v>92</v>
      </c>
      <c r="E1411" t="s">
        <v>93</v>
      </c>
      <c r="F1411" t="s">
        <v>94</v>
      </c>
      <c r="G1411" t="s">
        <v>35</v>
      </c>
      <c r="H1411" t="s">
        <v>38</v>
      </c>
      <c r="I1411">
        <v>1651</v>
      </c>
    </row>
    <row r="1412" spans="1:9" ht="14.5" x14ac:dyDescent="0.35">
      <c r="A1412">
        <v>3</v>
      </c>
      <c r="B1412" t="s">
        <v>48</v>
      </c>
      <c r="C1412" t="s">
        <v>85</v>
      </c>
      <c r="D1412" t="s">
        <v>92</v>
      </c>
      <c r="E1412" t="s">
        <v>93</v>
      </c>
      <c r="F1412" t="s">
        <v>95</v>
      </c>
      <c r="G1412" t="s">
        <v>35</v>
      </c>
      <c r="H1412" t="s">
        <v>36</v>
      </c>
      <c r="I1412">
        <v>4603</v>
      </c>
    </row>
    <row r="1413" spans="1:9" ht="14.5" x14ac:dyDescent="0.35">
      <c r="A1413">
        <v>3</v>
      </c>
      <c r="B1413" t="s">
        <v>48</v>
      </c>
      <c r="C1413" t="s">
        <v>85</v>
      </c>
      <c r="D1413" t="s">
        <v>92</v>
      </c>
      <c r="E1413" t="s">
        <v>93</v>
      </c>
      <c r="F1413" t="s">
        <v>95</v>
      </c>
      <c r="G1413" t="s">
        <v>35</v>
      </c>
      <c r="H1413" t="s">
        <v>38</v>
      </c>
      <c r="I1413">
        <v>3026</v>
      </c>
    </row>
    <row r="1414" spans="1:9" ht="14.5" x14ac:dyDescent="0.35">
      <c r="A1414">
        <v>3</v>
      </c>
      <c r="B1414" t="s">
        <v>48</v>
      </c>
      <c r="C1414" t="s">
        <v>85</v>
      </c>
      <c r="D1414" t="s">
        <v>92</v>
      </c>
      <c r="E1414" t="s">
        <v>93</v>
      </c>
      <c r="F1414" t="s">
        <v>96</v>
      </c>
      <c r="G1414" t="s">
        <v>35</v>
      </c>
      <c r="H1414" t="s">
        <v>36</v>
      </c>
      <c r="I1414">
        <v>4790</v>
      </c>
    </row>
    <row r="1415" spans="1:9" ht="14.5" x14ac:dyDescent="0.35">
      <c r="A1415">
        <v>3</v>
      </c>
      <c r="B1415" t="s">
        <v>48</v>
      </c>
      <c r="C1415" t="s">
        <v>85</v>
      </c>
      <c r="D1415" t="s">
        <v>92</v>
      </c>
      <c r="E1415" t="s">
        <v>93</v>
      </c>
      <c r="F1415" t="s">
        <v>96</v>
      </c>
      <c r="G1415" t="s">
        <v>35</v>
      </c>
      <c r="H1415" t="s">
        <v>38</v>
      </c>
      <c r="I1415">
        <v>3829</v>
      </c>
    </row>
    <row r="1416" spans="1:9" ht="14.5" x14ac:dyDescent="0.35">
      <c r="A1416">
        <v>3</v>
      </c>
      <c r="B1416" t="s">
        <v>48</v>
      </c>
      <c r="C1416" t="s">
        <v>85</v>
      </c>
      <c r="D1416" t="s">
        <v>92</v>
      </c>
      <c r="E1416" t="s">
        <v>93</v>
      </c>
      <c r="F1416" t="s">
        <v>97</v>
      </c>
      <c r="G1416" t="s">
        <v>35</v>
      </c>
      <c r="H1416" t="s">
        <v>36</v>
      </c>
      <c r="I1416">
        <v>2091</v>
      </c>
    </row>
    <row r="1417" spans="1:9" ht="14.5" x14ac:dyDescent="0.35">
      <c r="A1417">
        <v>3</v>
      </c>
      <c r="B1417" t="s">
        <v>48</v>
      </c>
      <c r="C1417" t="s">
        <v>85</v>
      </c>
      <c r="D1417" t="s">
        <v>92</v>
      </c>
      <c r="E1417" t="s">
        <v>93</v>
      </c>
      <c r="F1417" t="s">
        <v>97</v>
      </c>
      <c r="G1417" t="s">
        <v>35</v>
      </c>
      <c r="H1417" t="s">
        <v>38</v>
      </c>
      <c r="I1417">
        <v>1987</v>
      </c>
    </row>
    <row r="1418" spans="1:9" ht="14.5" x14ac:dyDescent="0.35">
      <c r="A1418">
        <v>4</v>
      </c>
      <c r="B1418" t="s">
        <v>49</v>
      </c>
      <c r="C1418" t="s">
        <v>85</v>
      </c>
      <c r="D1418" t="s">
        <v>92</v>
      </c>
      <c r="E1418" t="s">
        <v>93</v>
      </c>
      <c r="F1418" t="s">
        <v>94</v>
      </c>
      <c r="G1418" t="s">
        <v>35</v>
      </c>
      <c r="H1418" t="s">
        <v>36</v>
      </c>
      <c r="I1418">
        <v>4967</v>
      </c>
    </row>
    <row r="1419" spans="1:9" ht="14.5" x14ac:dyDescent="0.35">
      <c r="A1419">
        <v>4</v>
      </c>
      <c r="B1419" t="s">
        <v>49</v>
      </c>
      <c r="C1419" t="s">
        <v>85</v>
      </c>
      <c r="D1419" t="s">
        <v>92</v>
      </c>
      <c r="E1419" t="s">
        <v>93</v>
      </c>
      <c r="F1419" t="s">
        <v>94</v>
      </c>
      <c r="G1419" t="s">
        <v>35</v>
      </c>
      <c r="H1419" t="s">
        <v>38</v>
      </c>
      <c r="I1419">
        <v>3243</v>
      </c>
    </row>
    <row r="1420" spans="1:9" ht="14.5" x14ac:dyDescent="0.35">
      <c r="A1420">
        <v>4</v>
      </c>
      <c r="B1420" t="s">
        <v>49</v>
      </c>
      <c r="C1420" t="s">
        <v>85</v>
      </c>
      <c r="D1420" t="s">
        <v>92</v>
      </c>
      <c r="E1420" t="s">
        <v>93</v>
      </c>
      <c r="F1420" t="s">
        <v>95</v>
      </c>
      <c r="G1420" t="s">
        <v>35</v>
      </c>
      <c r="H1420" t="s">
        <v>36</v>
      </c>
      <c r="I1420">
        <v>4859</v>
      </c>
    </row>
    <row r="1421" spans="1:9" ht="14.5" x14ac:dyDescent="0.35">
      <c r="A1421">
        <v>4</v>
      </c>
      <c r="B1421" t="s">
        <v>49</v>
      </c>
      <c r="C1421" t="s">
        <v>85</v>
      </c>
      <c r="D1421" t="s">
        <v>92</v>
      </c>
      <c r="E1421" t="s">
        <v>93</v>
      </c>
      <c r="F1421" t="s">
        <v>95</v>
      </c>
      <c r="G1421" t="s">
        <v>35</v>
      </c>
      <c r="H1421" t="s">
        <v>38</v>
      </c>
      <c r="I1421">
        <v>4138</v>
      </c>
    </row>
    <row r="1422" spans="1:9" ht="14.5" x14ac:dyDescent="0.35">
      <c r="A1422">
        <v>4</v>
      </c>
      <c r="B1422" t="s">
        <v>49</v>
      </c>
      <c r="C1422" t="s">
        <v>85</v>
      </c>
      <c r="D1422" t="s">
        <v>92</v>
      </c>
      <c r="E1422" t="s">
        <v>93</v>
      </c>
      <c r="F1422" t="s">
        <v>96</v>
      </c>
      <c r="G1422" t="s">
        <v>35</v>
      </c>
      <c r="H1422" t="s">
        <v>36</v>
      </c>
      <c r="I1422">
        <v>4313</v>
      </c>
    </row>
    <row r="1423" spans="1:9" ht="14.5" x14ac:dyDescent="0.35">
      <c r="A1423">
        <v>4</v>
      </c>
      <c r="B1423" t="s">
        <v>49</v>
      </c>
      <c r="C1423" t="s">
        <v>85</v>
      </c>
      <c r="D1423" t="s">
        <v>92</v>
      </c>
      <c r="E1423" t="s">
        <v>93</v>
      </c>
      <c r="F1423" t="s">
        <v>96</v>
      </c>
      <c r="G1423" t="s">
        <v>35</v>
      </c>
      <c r="H1423" t="s">
        <v>38</v>
      </c>
      <c r="I1423">
        <v>2951</v>
      </c>
    </row>
    <row r="1424" spans="1:9" ht="14.5" x14ac:dyDescent="0.35">
      <c r="A1424">
        <v>4</v>
      </c>
      <c r="B1424" t="s">
        <v>49</v>
      </c>
      <c r="C1424" t="s">
        <v>85</v>
      </c>
      <c r="D1424" t="s">
        <v>92</v>
      </c>
      <c r="E1424" t="s">
        <v>93</v>
      </c>
      <c r="F1424" t="s">
        <v>97</v>
      </c>
      <c r="G1424" t="s">
        <v>35</v>
      </c>
      <c r="H1424" t="s">
        <v>36</v>
      </c>
      <c r="I1424">
        <v>2032</v>
      </c>
    </row>
    <row r="1425" spans="1:9" ht="14.5" x14ac:dyDescent="0.35">
      <c r="A1425">
        <v>4</v>
      </c>
      <c r="B1425" t="s">
        <v>49</v>
      </c>
      <c r="C1425" t="s">
        <v>85</v>
      </c>
      <c r="D1425" t="s">
        <v>92</v>
      </c>
      <c r="E1425" t="s">
        <v>93</v>
      </c>
      <c r="F1425" t="s">
        <v>97</v>
      </c>
      <c r="G1425" t="s">
        <v>35</v>
      </c>
      <c r="H1425" t="s">
        <v>38</v>
      </c>
      <c r="I1425">
        <v>4036</v>
      </c>
    </row>
    <row r="1426" spans="1:9" ht="14.5" x14ac:dyDescent="0.35">
      <c r="A1426">
        <v>4</v>
      </c>
      <c r="B1426" t="s">
        <v>50</v>
      </c>
      <c r="C1426" t="s">
        <v>85</v>
      </c>
      <c r="D1426" t="s">
        <v>92</v>
      </c>
      <c r="E1426" t="s">
        <v>93</v>
      </c>
      <c r="F1426" t="s">
        <v>94</v>
      </c>
      <c r="G1426" t="s">
        <v>35</v>
      </c>
      <c r="H1426" t="s">
        <v>36</v>
      </c>
      <c r="I1426">
        <v>1363</v>
      </c>
    </row>
    <row r="1427" spans="1:9" ht="14.5" x14ac:dyDescent="0.35">
      <c r="A1427">
        <v>4</v>
      </c>
      <c r="B1427" t="s">
        <v>50</v>
      </c>
      <c r="C1427" t="s">
        <v>85</v>
      </c>
      <c r="D1427" t="s">
        <v>92</v>
      </c>
      <c r="E1427" t="s">
        <v>93</v>
      </c>
      <c r="F1427" t="s">
        <v>94</v>
      </c>
      <c r="G1427" t="s">
        <v>35</v>
      </c>
      <c r="H1427" t="s">
        <v>38</v>
      </c>
      <c r="I1427">
        <v>2354</v>
      </c>
    </row>
    <row r="1428" spans="1:9" ht="14.5" x14ac:dyDescent="0.35">
      <c r="A1428">
        <v>4</v>
      </c>
      <c r="B1428" t="s">
        <v>50</v>
      </c>
      <c r="C1428" t="s">
        <v>85</v>
      </c>
      <c r="D1428" t="s">
        <v>92</v>
      </c>
      <c r="E1428" t="s">
        <v>93</v>
      </c>
      <c r="F1428" t="s">
        <v>95</v>
      </c>
      <c r="G1428" t="s">
        <v>35</v>
      </c>
      <c r="H1428" t="s">
        <v>36</v>
      </c>
      <c r="I1428">
        <v>1871</v>
      </c>
    </row>
    <row r="1429" spans="1:9" ht="14.5" x14ac:dyDescent="0.35">
      <c r="A1429">
        <v>4</v>
      </c>
      <c r="B1429" t="s">
        <v>50</v>
      </c>
      <c r="C1429" t="s">
        <v>85</v>
      </c>
      <c r="D1429" t="s">
        <v>92</v>
      </c>
      <c r="E1429" t="s">
        <v>93</v>
      </c>
      <c r="F1429" t="s">
        <v>95</v>
      </c>
      <c r="G1429" t="s">
        <v>35</v>
      </c>
      <c r="H1429" t="s">
        <v>38</v>
      </c>
      <c r="I1429">
        <v>3384</v>
      </c>
    </row>
    <row r="1430" spans="1:9" ht="14.5" x14ac:dyDescent="0.35">
      <c r="A1430">
        <v>4</v>
      </c>
      <c r="B1430" t="s">
        <v>50</v>
      </c>
      <c r="C1430" t="s">
        <v>85</v>
      </c>
      <c r="D1430" t="s">
        <v>92</v>
      </c>
      <c r="E1430" t="s">
        <v>93</v>
      </c>
      <c r="F1430" t="s">
        <v>96</v>
      </c>
      <c r="G1430" t="s">
        <v>35</v>
      </c>
      <c r="H1430" t="s">
        <v>36</v>
      </c>
      <c r="I1430">
        <v>4729</v>
      </c>
    </row>
    <row r="1431" spans="1:9" ht="14.5" x14ac:dyDescent="0.35">
      <c r="A1431">
        <v>4</v>
      </c>
      <c r="B1431" t="s">
        <v>50</v>
      </c>
      <c r="C1431" t="s">
        <v>85</v>
      </c>
      <c r="D1431" t="s">
        <v>92</v>
      </c>
      <c r="E1431" t="s">
        <v>93</v>
      </c>
      <c r="F1431" t="s">
        <v>96</v>
      </c>
      <c r="G1431" t="s">
        <v>35</v>
      </c>
      <c r="H1431" t="s">
        <v>38</v>
      </c>
      <c r="I1431">
        <v>4112</v>
      </c>
    </row>
    <row r="1432" spans="1:9" ht="14.5" x14ac:dyDescent="0.35">
      <c r="A1432">
        <v>4</v>
      </c>
      <c r="B1432" t="s">
        <v>50</v>
      </c>
      <c r="C1432" t="s">
        <v>85</v>
      </c>
      <c r="D1432" t="s">
        <v>92</v>
      </c>
      <c r="E1432" t="s">
        <v>93</v>
      </c>
      <c r="F1432" t="s">
        <v>97</v>
      </c>
      <c r="G1432" t="s">
        <v>35</v>
      </c>
      <c r="H1432" t="s">
        <v>36</v>
      </c>
      <c r="I1432">
        <v>3194</v>
      </c>
    </row>
    <row r="1433" spans="1:9" ht="14.5" x14ac:dyDescent="0.35">
      <c r="A1433">
        <v>4</v>
      </c>
      <c r="B1433" t="s">
        <v>50</v>
      </c>
      <c r="C1433" t="s">
        <v>85</v>
      </c>
      <c r="D1433" t="s">
        <v>92</v>
      </c>
      <c r="E1433" t="s">
        <v>93</v>
      </c>
      <c r="F1433" t="s">
        <v>97</v>
      </c>
      <c r="G1433" t="s">
        <v>35</v>
      </c>
      <c r="H1433" t="s">
        <v>38</v>
      </c>
      <c r="I1433">
        <v>4067</v>
      </c>
    </row>
    <row r="1434" spans="1:9" ht="14.5" x14ac:dyDescent="0.35">
      <c r="A1434">
        <v>4</v>
      </c>
      <c r="B1434" t="s">
        <v>51</v>
      </c>
      <c r="C1434" t="s">
        <v>85</v>
      </c>
      <c r="D1434" t="s">
        <v>92</v>
      </c>
      <c r="E1434" t="s">
        <v>93</v>
      </c>
      <c r="F1434" t="s">
        <v>94</v>
      </c>
      <c r="G1434" t="s">
        <v>35</v>
      </c>
      <c r="H1434" t="s">
        <v>36</v>
      </c>
      <c r="I1434">
        <v>3496</v>
      </c>
    </row>
    <row r="1435" spans="1:9" ht="14.5" x14ac:dyDescent="0.35">
      <c r="A1435">
        <v>4</v>
      </c>
      <c r="B1435" t="s">
        <v>51</v>
      </c>
      <c r="C1435" t="s">
        <v>85</v>
      </c>
      <c r="D1435" t="s">
        <v>92</v>
      </c>
      <c r="E1435" t="s">
        <v>93</v>
      </c>
      <c r="F1435" t="s">
        <v>94</v>
      </c>
      <c r="G1435" t="s">
        <v>35</v>
      </c>
      <c r="H1435" t="s">
        <v>38</v>
      </c>
      <c r="I1435">
        <v>2374</v>
      </c>
    </row>
    <row r="1436" spans="1:9" ht="14.5" x14ac:dyDescent="0.35">
      <c r="A1436">
        <v>4</v>
      </c>
      <c r="B1436" t="s">
        <v>51</v>
      </c>
      <c r="C1436" t="s">
        <v>85</v>
      </c>
      <c r="D1436" t="s">
        <v>92</v>
      </c>
      <c r="E1436" t="s">
        <v>93</v>
      </c>
      <c r="F1436" t="s">
        <v>95</v>
      </c>
      <c r="G1436" t="s">
        <v>35</v>
      </c>
      <c r="H1436" t="s">
        <v>36</v>
      </c>
      <c r="I1436">
        <v>3434</v>
      </c>
    </row>
    <row r="1437" spans="1:9" ht="14.5" x14ac:dyDescent="0.35">
      <c r="A1437">
        <v>4</v>
      </c>
      <c r="B1437" t="s">
        <v>51</v>
      </c>
      <c r="C1437" t="s">
        <v>85</v>
      </c>
      <c r="D1437" t="s">
        <v>92</v>
      </c>
      <c r="E1437" t="s">
        <v>93</v>
      </c>
      <c r="F1437" t="s">
        <v>95</v>
      </c>
      <c r="G1437" t="s">
        <v>35</v>
      </c>
      <c r="H1437" t="s">
        <v>38</v>
      </c>
      <c r="I1437">
        <v>1617</v>
      </c>
    </row>
    <row r="1438" spans="1:9" ht="14.5" x14ac:dyDescent="0.35">
      <c r="A1438">
        <v>4</v>
      </c>
      <c r="B1438" t="s">
        <v>51</v>
      </c>
      <c r="C1438" t="s">
        <v>85</v>
      </c>
      <c r="D1438" t="s">
        <v>92</v>
      </c>
      <c r="E1438" t="s">
        <v>93</v>
      </c>
      <c r="F1438" t="s">
        <v>96</v>
      </c>
      <c r="G1438" t="s">
        <v>35</v>
      </c>
      <c r="H1438" t="s">
        <v>36</v>
      </c>
      <c r="I1438">
        <v>1781</v>
      </c>
    </row>
    <row r="1439" spans="1:9" ht="14.5" x14ac:dyDescent="0.35">
      <c r="A1439">
        <v>4</v>
      </c>
      <c r="B1439" t="s">
        <v>51</v>
      </c>
      <c r="C1439" t="s">
        <v>85</v>
      </c>
      <c r="D1439" t="s">
        <v>92</v>
      </c>
      <c r="E1439" t="s">
        <v>93</v>
      </c>
      <c r="F1439" t="s">
        <v>96</v>
      </c>
      <c r="G1439" t="s">
        <v>35</v>
      </c>
      <c r="H1439" t="s">
        <v>38</v>
      </c>
      <c r="I1439">
        <v>4468</v>
      </c>
    </row>
    <row r="1440" spans="1:9" ht="14.5" x14ac:dyDescent="0.35">
      <c r="A1440">
        <v>4</v>
      </c>
      <c r="B1440" t="s">
        <v>51</v>
      </c>
      <c r="C1440" t="s">
        <v>85</v>
      </c>
      <c r="D1440" t="s">
        <v>92</v>
      </c>
      <c r="E1440" t="s">
        <v>93</v>
      </c>
      <c r="F1440" t="s">
        <v>97</v>
      </c>
      <c r="G1440" t="s">
        <v>35</v>
      </c>
      <c r="H1440" t="s">
        <v>36</v>
      </c>
      <c r="I1440">
        <v>3834</v>
      </c>
    </row>
    <row r="1441" spans="1:9" ht="14.5" x14ac:dyDescent="0.35">
      <c r="A1441">
        <v>4</v>
      </c>
      <c r="B1441" t="s">
        <v>51</v>
      </c>
      <c r="C1441" t="s">
        <v>85</v>
      </c>
      <c r="D1441" t="s">
        <v>92</v>
      </c>
      <c r="E1441" t="s">
        <v>93</v>
      </c>
      <c r="F1441" t="s">
        <v>97</v>
      </c>
      <c r="G1441" t="s">
        <v>35</v>
      </c>
      <c r="H1441" t="s">
        <v>38</v>
      </c>
      <c r="I1441">
        <v>4973</v>
      </c>
    </row>
    <row r="1442" spans="1:9" ht="14.5" x14ac:dyDescent="0.35">
      <c r="A1442">
        <v>1</v>
      </c>
      <c r="B1442" t="s">
        <v>30</v>
      </c>
      <c r="C1442" t="s">
        <v>85</v>
      </c>
      <c r="D1442" t="s">
        <v>92</v>
      </c>
      <c r="E1442" t="s">
        <v>93</v>
      </c>
      <c r="F1442" t="s">
        <v>94</v>
      </c>
      <c r="G1442" t="s">
        <v>52</v>
      </c>
      <c r="H1442" t="s">
        <v>36</v>
      </c>
      <c r="I1442">
        <v>4994</v>
      </c>
    </row>
    <row r="1443" spans="1:9" ht="14.5" x14ac:dyDescent="0.35">
      <c r="A1443">
        <v>1</v>
      </c>
      <c r="B1443" t="s">
        <v>30</v>
      </c>
      <c r="C1443" t="s">
        <v>85</v>
      </c>
      <c r="D1443" t="s">
        <v>92</v>
      </c>
      <c r="E1443" t="s">
        <v>93</v>
      </c>
      <c r="F1443" t="s">
        <v>94</v>
      </c>
      <c r="G1443" t="s">
        <v>52</v>
      </c>
      <c r="H1443" t="s">
        <v>38</v>
      </c>
      <c r="I1443">
        <v>3654</v>
      </c>
    </row>
    <row r="1444" spans="1:9" ht="14.5" x14ac:dyDescent="0.35">
      <c r="A1444">
        <v>1</v>
      </c>
      <c r="B1444" t="s">
        <v>30</v>
      </c>
      <c r="C1444" t="s">
        <v>85</v>
      </c>
      <c r="D1444" t="s">
        <v>92</v>
      </c>
      <c r="E1444" t="s">
        <v>93</v>
      </c>
      <c r="F1444" t="s">
        <v>95</v>
      </c>
      <c r="G1444" t="s">
        <v>52</v>
      </c>
      <c r="H1444" t="s">
        <v>36</v>
      </c>
      <c r="I1444">
        <v>2533</v>
      </c>
    </row>
    <row r="1445" spans="1:9" ht="14.5" x14ac:dyDescent="0.35">
      <c r="A1445">
        <v>1</v>
      </c>
      <c r="B1445" t="s">
        <v>30</v>
      </c>
      <c r="C1445" t="s">
        <v>85</v>
      </c>
      <c r="D1445" t="s">
        <v>92</v>
      </c>
      <c r="E1445" t="s">
        <v>93</v>
      </c>
      <c r="F1445" t="s">
        <v>95</v>
      </c>
      <c r="G1445" t="s">
        <v>52</v>
      </c>
      <c r="H1445" t="s">
        <v>38</v>
      </c>
      <c r="I1445">
        <v>2028</v>
      </c>
    </row>
    <row r="1446" spans="1:9" ht="14.5" x14ac:dyDescent="0.35">
      <c r="A1446">
        <v>1</v>
      </c>
      <c r="B1446" t="s">
        <v>30</v>
      </c>
      <c r="C1446" t="s">
        <v>85</v>
      </c>
      <c r="D1446" t="s">
        <v>92</v>
      </c>
      <c r="E1446" t="s">
        <v>93</v>
      </c>
      <c r="F1446" t="s">
        <v>96</v>
      </c>
      <c r="G1446" t="s">
        <v>52</v>
      </c>
      <c r="H1446" t="s">
        <v>36</v>
      </c>
      <c r="I1446">
        <v>4693</v>
      </c>
    </row>
    <row r="1447" spans="1:9" ht="14.5" x14ac:dyDescent="0.35">
      <c r="A1447">
        <v>1</v>
      </c>
      <c r="B1447" t="s">
        <v>30</v>
      </c>
      <c r="C1447" t="s">
        <v>85</v>
      </c>
      <c r="D1447" t="s">
        <v>92</v>
      </c>
      <c r="E1447" t="s">
        <v>93</v>
      </c>
      <c r="F1447" t="s">
        <v>96</v>
      </c>
      <c r="G1447" t="s">
        <v>52</v>
      </c>
      <c r="H1447" t="s">
        <v>38</v>
      </c>
      <c r="I1447">
        <v>4379</v>
      </c>
    </row>
    <row r="1448" spans="1:9" ht="14.5" x14ac:dyDescent="0.35">
      <c r="A1448">
        <v>1</v>
      </c>
      <c r="B1448" t="s">
        <v>30</v>
      </c>
      <c r="C1448" t="s">
        <v>85</v>
      </c>
      <c r="D1448" t="s">
        <v>92</v>
      </c>
      <c r="E1448" t="s">
        <v>93</v>
      </c>
      <c r="F1448" t="s">
        <v>97</v>
      </c>
      <c r="G1448" t="s">
        <v>52</v>
      </c>
      <c r="H1448" t="s">
        <v>36</v>
      </c>
      <c r="I1448">
        <v>1710</v>
      </c>
    </row>
    <row r="1449" spans="1:9" ht="14.5" x14ac:dyDescent="0.35">
      <c r="A1449">
        <v>1</v>
      </c>
      <c r="B1449" t="s">
        <v>30</v>
      </c>
      <c r="C1449" t="s">
        <v>85</v>
      </c>
      <c r="D1449" t="s">
        <v>92</v>
      </c>
      <c r="E1449" t="s">
        <v>93</v>
      </c>
      <c r="F1449" t="s">
        <v>97</v>
      </c>
      <c r="G1449" t="s">
        <v>52</v>
      </c>
      <c r="H1449" t="s">
        <v>38</v>
      </c>
      <c r="I1449">
        <v>1100</v>
      </c>
    </row>
    <row r="1450" spans="1:9" ht="14.5" x14ac:dyDescent="0.35">
      <c r="A1450">
        <v>1</v>
      </c>
      <c r="B1450" t="s">
        <v>41</v>
      </c>
      <c r="C1450" t="s">
        <v>85</v>
      </c>
      <c r="D1450" t="s">
        <v>92</v>
      </c>
      <c r="E1450" t="s">
        <v>93</v>
      </c>
      <c r="F1450" t="s">
        <v>94</v>
      </c>
      <c r="G1450" t="s">
        <v>52</v>
      </c>
      <c r="H1450" t="s">
        <v>36</v>
      </c>
      <c r="I1450">
        <v>2658</v>
      </c>
    </row>
    <row r="1451" spans="1:9" ht="14.5" x14ac:dyDescent="0.35">
      <c r="A1451">
        <v>1</v>
      </c>
      <c r="B1451" t="s">
        <v>41</v>
      </c>
      <c r="C1451" t="s">
        <v>85</v>
      </c>
      <c r="D1451" t="s">
        <v>92</v>
      </c>
      <c r="E1451" t="s">
        <v>93</v>
      </c>
      <c r="F1451" t="s">
        <v>94</v>
      </c>
      <c r="G1451" t="s">
        <v>52</v>
      </c>
      <c r="H1451" t="s">
        <v>38</v>
      </c>
      <c r="I1451">
        <v>1416</v>
      </c>
    </row>
    <row r="1452" spans="1:9" ht="14.5" x14ac:dyDescent="0.35">
      <c r="A1452">
        <v>1</v>
      </c>
      <c r="B1452" t="s">
        <v>41</v>
      </c>
      <c r="C1452" t="s">
        <v>85</v>
      </c>
      <c r="D1452" t="s">
        <v>92</v>
      </c>
      <c r="E1452" t="s">
        <v>93</v>
      </c>
      <c r="F1452" t="s">
        <v>95</v>
      </c>
      <c r="G1452" t="s">
        <v>52</v>
      </c>
      <c r="H1452" t="s">
        <v>36</v>
      </c>
      <c r="I1452">
        <v>4308</v>
      </c>
    </row>
    <row r="1453" spans="1:9" ht="14.5" x14ac:dyDescent="0.35">
      <c r="A1453">
        <v>1</v>
      </c>
      <c r="B1453" t="s">
        <v>41</v>
      </c>
      <c r="C1453" t="s">
        <v>85</v>
      </c>
      <c r="D1453" t="s">
        <v>92</v>
      </c>
      <c r="E1453" t="s">
        <v>93</v>
      </c>
      <c r="F1453" t="s">
        <v>95</v>
      </c>
      <c r="G1453" t="s">
        <v>52</v>
      </c>
      <c r="H1453" t="s">
        <v>38</v>
      </c>
      <c r="I1453">
        <v>1379</v>
      </c>
    </row>
    <row r="1454" spans="1:9" ht="14.5" x14ac:dyDescent="0.35">
      <c r="A1454">
        <v>1</v>
      </c>
      <c r="B1454" t="s">
        <v>41</v>
      </c>
      <c r="C1454" t="s">
        <v>85</v>
      </c>
      <c r="D1454" t="s">
        <v>92</v>
      </c>
      <c r="E1454" t="s">
        <v>93</v>
      </c>
      <c r="F1454" t="s">
        <v>96</v>
      </c>
      <c r="G1454" t="s">
        <v>52</v>
      </c>
      <c r="H1454" t="s">
        <v>36</v>
      </c>
      <c r="I1454">
        <v>2584</v>
      </c>
    </row>
    <row r="1455" spans="1:9" ht="14.5" x14ac:dyDescent="0.35">
      <c r="A1455">
        <v>1</v>
      </c>
      <c r="B1455" t="s">
        <v>41</v>
      </c>
      <c r="C1455" t="s">
        <v>85</v>
      </c>
      <c r="D1455" t="s">
        <v>92</v>
      </c>
      <c r="E1455" t="s">
        <v>93</v>
      </c>
      <c r="F1455" t="s">
        <v>96</v>
      </c>
      <c r="G1455" t="s">
        <v>52</v>
      </c>
      <c r="H1455" t="s">
        <v>38</v>
      </c>
      <c r="I1455">
        <v>3799</v>
      </c>
    </row>
    <row r="1456" spans="1:9" ht="14.5" x14ac:dyDescent="0.35">
      <c r="A1456">
        <v>1</v>
      </c>
      <c r="B1456" t="s">
        <v>41</v>
      </c>
      <c r="C1456" t="s">
        <v>85</v>
      </c>
      <c r="D1456" t="s">
        <v>92</v>
      </c>
      <c r="E1456" t="s">
        <v>93</v>
      </c>
      <c r="F1456" t="s">
        <v>97</v>
      </c>
      <c r="G1456" t="s">
        <v>52</v>
      </c>
      <c r="H1456" t="s">
        <v>36</v>
      </c>
      <c r="I1456">
        <v>1761</v>
      </c>
    </row>
    <row r="1457" spans="1:9" ht="14.5" x14ac:dyDescent="0.35">
      <c r="A1457">
        <v>1</v>
      </c>
      <c r="B1457" t="s">
        <v>41</v>
      </c>
      <c r="C1457" t="s">
        <v>85</v>
      </c>
      <c r="D1457" t="s">
        <v>92</v>
      </c>
      <c r="E1457" t="s">
        <v>93</v>
      </c>
      <c r="F1457" t="s">
        <v>97</v>
      </c>
      <c r="G1457" t="s">
        <v>52</v>
      </c>
      <c r="H1457" t="s">
        <v>38</v>
      </c>
      <c r="I1457">
        <v>2153</v>
      </c>
    </row>
    <row r="1458" spans="1:9" ht="14.5" x14ac:dyDescent="0.35">
      <c r="A1458">
        <v>1</v>
      </c>
      <c r="B1458" t="s">
        <v>42</v>
      </c>
      <c r="C1458" t="s">
        <v>85</v>
      </c>
      <c r="D1458" t="s">
        <v>92</v>
      </c>
      <c r="E1458" t="s">
        <v>93</v>
      </c>
      <c r="F1458" t="s">
        <v>94</v>
      </c>
      <c r="G1458" t="s">
        <v>52</v>
      </c>
      <c r="H1458" t="s">
        <v>36</v>
      </c>
      <c r="I1458">
        <v>1114</v>
      </c>
    </row>
    <row r="1459" spans="1:9" ht="14.5" x14ac:dyDescent="0.35">
      <c r="A1459">
        <v>1</v>
      </c>
      <c r="B1459" t="s">
        <v>42</v>
      </c>
      <c r="C1459" t="s">
        <v>85</v>
      </c>
      <c r="D1459" t="s">
        <v>92</v>
      </c>
      <c r="E1459" t="s">
        <v>93</v>
      </c>
      <c r="F1459" t="s">
        <v>94</v>
      </c>
      <c r="G1459" t="s">
        <v>52</v>
      </c>
      <c r="H1459" t="s">
        <v>38</v>
      </c>
      <c r="I1459">
        <v>3053</v>
      </c>
    </row>
    <row r="1460" spans="1:9" ht="14.5" x14ac:dyDescent="0.35">
      <c r="A1460">
        <v>1</v>
      </c>
      <c r="B1460" t="s">
        <v>42</v>
      </c>
      <c r="C1460" t="s">
        <v>85</v>
      </c>
      <c r="D1460" t="s">
        <v>92</v>
      </c>
      <c r="E1460" t="s">
        <v>93</v>
      </c>
      <c r="F1460" t="s">
        <v>95</v>
      </c>
      <c r="G1460" t="s">
        <v>52</v>
      </c>
      <c r="H1460" t="s">
        <v>36</v>
      </c>
      <c r="I1460">
        <v>4826</v>
      </c>
    </row>
    <row r="1461" spans="1:9" ht="14.5" x14ac:dyDescent="0.35">
      <c r="A1461">
        <v>1</v>
      </c>
      <c r="B1461" t="s">
        <v>42</v>
      </c>
      <c r="C1461" t="s">
        <v>85</v>
      </c>
      <c r="D1461" t="s">
        <v>92</v>
      </c>
      <c r="E1461" t="s">
        <v>93</v>
      </c>
      <c r="F1461" t="s">
        <v>95</v>
      </c>
      <c r="G1461" t="s">
        <v>52</v>
      </c>
      <c r="H1461" t="s">
        <v>38</v>
      </c>
      <c r="I1461">
        <v>1731</v>
      </c>
    </row>
    <row r="1462" spans="1:9" ht="14.5" x14ac:dyDescent="0.35">
      <c r="A1462">
        <v>1</v>
      </c>
      <c r="B1462" t="s">
        <v>42</v>
      </c>
      <c r="C1462" t="s">
        <v>85</v>
      </c>
      <c r="D1462" t="s">
        <v>92</v>
      </c>
      <c r="E1462" t="s">
        <v>93</v>
      </c>
      <c r="F1462" t="s">
        <v>96</v>
      </c>
      <c r="G1462" t="s">
        <v>52</v>
      </c>
      <c r="H1462" t="s">
        <v>36</v>
      </c>
      <c r="I1462">
        <v>3590</v>
      </c>
    </row>
    <row r="1463" spans="1:9" ht="14.5" x14ac:dyDescent="0.35">
      <c r="A1463">
        <v>1</v>
      </c>
      <c r="B1463" t="s">
        <v>42</v>
      </c>
      <c r="C1463" t="s">
        <v>85</v>
      </c>
      <c r="D1463" t="s">
        <v>92</v>
      </c>
      <c r="E1463" t="s">
        <v>93</v>
      </c>
      <c r="F1463" t="s">
        <v>96</v>
      </c>
      <c r="G1463" t="s">
        <v>52</v>
      </c>
      <c r="H1463" t="s">
        <v>38</v>
      </c>
      <c r="I1463">
        <v>2522</v>
      </c>
    </row>
    <row r="1464" spans="1:9" ht="14.5" x14ac:dyDescent="0.35">
      <c r="A1464">
        <v>1</v>
      </c>
      <c r="B1464" t="s">
        <v>42</v>
      </c>
      <c r="C1464" t="s">
        <v>85</v>
      </c>
      <c r="D1464" t="s">
        <v>92</v>
      </c>
      <c r="E1464" t="s">
        <v>93</v>
      </c>
      <c r="F1464" t="s">
        <v>97</v>
      </c>
      <c r="G1464" t="s">
        <v>52</v>
      </c>
      <c r="H1464" t="s">
        <v>36</v>
      </c>
      <c r="I1464">
        <v>1893</v>
      </c>
    </row>
    <row r="1465" spans="1:9" ht="14.5" x14ac:dyDescent="0.35">
      <c r="A1465">
        <v>1</v>
      </c>
      <c r="B1465" t="s">
        <v>42</v>
      </c>
      <c r="C1465" t="s">
        <v>85</v>
      </c>
      <c r="D1465" t="s">
        <v>92</v>
      </c>
      <c r="E1465" t="s">
        <v>93</v>
      </c>
      <c r="F1465" t="s">
        <v>97</v>
      </c>
      <c r="G1465" t="s">
        <v>52</v>
      </c>
      <c r="H1465" t="s">
        <v>38</v>
      </c>
      <c r="I1465">
        <v>3275</v>
      </c>
    </row>
    <row r="1466" spans="1:9" ht="14.5" x14ac:dyDescent="0.35">
      <c r="A1466">
        <v>2</v>
      </c>
      <c r="B1466" t="s">
        <v>43</v>
      </c>
      <c r="C1466" t="s">
        <v>85</v>
      </c>
      <c r="D1466" t="s">
        <v>92</v>
      </c>
      <c r="E1466" t="s">
        <v>93</v>
      </c>
      <c r="F1466" t="s">
        <v>94</v>
      </c>
      <c r="G1466" t="s">
        <v>52</v>
      </c>
      <c r="H1466" t="s">
        <v>36</v>
      </c>
      <c r="I1466">
        <v>3839</v>
      </c>
    </row>
    <row r="1467" spans="1:9" ht="14.5" x14ac:dyDescent="0.35">
      <c r="A1467">
        <v>2</v>
      </c>
      <c r="B1467" t="s">
        <v>43</v>
      </c>
      <c r="C1467" t="s">
        <v>85</v>
      </c>
      <c r="D1467" t="s">
        <v>92</v>
      </c>
      <c r="E1467" t="s">
        <v>93</v>
      </c>
      <c r="F1467" t="s">
        <v>94</v>
      </c>
      <c r="G1467" t="s">
        <v>52</v>
      </c>
      <c r="H1467" t="s">
        <v>38</v>
      </c>
      <c r="I1467">
        <v>3551</v>
      </c>
    </row>
    <row r="1468" spans="1:9" ht="14.5" x14ac:dyDescent="0.35">
      <c r="A1468">
        <v>2</v>
      </c>
      <c r="B1468" t="s">
        <v>43</v>
      </c>
      <c r="C1468" t="s">
        <v>85</v>
      </c>
      <c r="D1468" t="s">
        <v>92</v>
      </c>
      <c r="E1468" t="s">
        <v>93</v>
      </c>
      <c r="F1468" t="s">
        <v>95</v>
      </c>
      <c r="G1468" t="s">
        <v>52</v>
      </c>
      <c r="H1468" t="s">
        <v>36</v>
      </c>
      <c r="I1468">
        <v>3683</v>
      </c>
    </row>
    <row r="1469" spans="1:9" ht="14.5" x14ac:dyDescent="0.35">
      <c r="A1469">
        <v>2</v>
      </c>
      <c r="B1469" t="s">
        <v>43</v>
      </c>
      <c r="C1469" t="s">
        <v>85</v>
      </c>
      <c r="D1469" t="s">
        <v>92</v>
      </c>
      <c r="E1469" t="s">
        <v>93</v>
      </c>
      <c r="F1469" t="s">
        <v>95</v>
      </c>
      <c r="G1469" t="s">
        <v>52</v>
      </c>
      <c r="H1469" t="s">
        <v>38</v>
      </c>
      <c r="I1469">
        <v>2625</v>
      </c>
    </row>
    <row r="1470" spans="1:9" ht="14.5" x14ac:dyDescent="0.35">
      <c r="A1470">
        <v>2</v>
      </c>
      <c r="B1470" t="s">
        <v>43</v>
      </c>
      <c r="C1470" t="s">
        <v>85</v>
      </c>
      <c r="D1470" t="s">
        <v>92</v>
      </c>
      <c r="E1470" t="s">
        <v>93</v>
      </c>
      <c r="F1470" t="s">
        <v>96</v>
      </c>
      <c r="G1470" t="s">
        <v>52</v>
      </c>
      <c r="H1470" t="s">
        <v>36</v>
      </c>
      <c r="I1470">
        <v>4451</v>
      </c>
    </row>
    <row r="1471" spans="1:9" ht="14.5" x14ac:dyDescent="0.35">
      <c r="A1471">
        <v>2</v>
      </c>
      <c r="B1471" t="s">
        <v>43</v>
      </c>
      <c r="C1471" t="s">
        <v>85</v>
      </c>
      <c r="D1471" t="s">
        <v>92</v>
      </c>
      <c r="E1471" t="s">
        <v>93</v>
      </c>
      <c r="F1471" t="s">
        <v>96</v>
      </c>
      <c r="G1471" t="s">
        <v>52</v>
      </c>
      <c r="H1471" t="s">
        <v>38</v>
      </c>
      <c r="I1471">
        <v>3274</v>
      </c>
    </row>
    <row r="1472" spans="1:9" ht="14.5" x14ac:dyDescent="0.35">
      <c r="A1472">
        <v>2</v>
      </c>
      <c r="B1472" t="s">
        <v>43</v>
      </c>
      <c r="C1472" t="s">
        <v>85</v>
      </c>
      <c r="D1472" t="s">
        <v>92</v>
      </c>
      <c r="E1472" t="s">
        <v>93</v>
      </c>
      <c r="F1472" t="s">
        <v>97</v>
      </c>
      <c r="G1472" t="s">
        <v>52</v>
      </c>
      <c r="H1472" t="s">
        <v>36</v>
      </c>
      <c r="I1472">
        <v>4256</v>
      </c>
    </row>
    <row r="1473" spans="1:9" ht="14.5" x14ac:dyDescent="0.35">
      <c r="A1473">
        <v>2</v>
      </c>
      <c r="B1473" t="s">
        <v>43</v>
      </c>
      <c r="C1473" t="s">
        <v>85</v>
      </c>
      <c r="D1473" t="s">
        <v>92</v>
      </c>
      <c r="E1473" t="s">
        <v>93</v>
      </c>
      <c r="F1473" t="s">
        <v>97</v>
      </c>
      <c r="G1473" t="s">
        <v>52</v>
      </c>
      <c r="H1473" t="s">
        <v>38</v>
      </c>
      <c r="I1473">
        <v>3330</v>
      </c>
    </row>
    <row r="1474" spans="1:9" ht="14.5" x14ac:dyDescent="0.35">
      <c r="A1474">
        <v>2</v>
      </c>
      <c r="B1474" t="s">
        <v>44</v>
      </c>
      <c r="C1474" t="s">
        <v>85</v>
      </c>
      <c r="D1474" t="s">
        <v>92</v>
      </c>
      <c r="E1474" t="s">
        <v>93</v>
      </c>
      <c r="F1474" t="s">
        <v>94</v>
      </c>
      <c r="G1474" t="s">
        <v>52</v>
      </c>
      <c r="H1474" t="s">
        <v>36</v>
      </c>
      <c r="I1474">
        <v>2842</v>
      </c>
    </row>
    <row r="1475" spans="1:9" ht="14.5" x14ac:dyDescent="0.35">
      <c r="A1475">
        <v>2</v>
      </c>
      <c r="B1475" t="s">
        <v>44</v>
      </c>
      <c r="C1475" t="s">
        <v>85</v>
      </c>
      <c r="D1475" t="s">
        <v>92</v>
      </c>
      <c r="E1475" t="s">
        <v>93</v>
      </c>
      <c r="F1475" t="s">
        <v>94</v>
      </c>
      <c r="G1475" t="s">
        <v>52</v>
      </c>
      <c r="H1475" t="s">
        <v>38</v>
      </c>
      <c r="I1475">
        <v>3760</v>
      </c>
    </row>
    <row r="1476" spans="1:9" ht="14.5" x14ac:dyDescent="0.35">
      <c r="A1476">
        <v>2</v>
      </c>
      <c r="B1476" t="s">
        <v>44</v>
      </c>
      <c r="C1476" t="s">
        <v>85</v>
      </c>
      <c r="D1476" t="s">
        <v>92</v>
      </c>
      <c r="E1476" t="s">
        <v>93</v>
      </c>
      <c r="F1476" t="s">
        <v>95</v>
      </c>
      <c r="G1476" t="s">
        <v>52</v>
      </c>
      <c r="H1476" t="s">
        <v>36</v>
      </c>
      <c r="I1476">
        <v>1696</v>
      </c>
    </row>
    <row r="1477" spans="1:9" ht="14.5" x14ac:dyDescent="0.35">
      <c r="A1477">
        <v>2</v>
      </c>
      <c r="B1477" t="s">
        <v>44</v>
      </c>
      <c r="C1477" t="s">
        <v>85</v>
      </c>
      <c r="D1477" t="s">
        <v>92</v>
      </c>
      <c r="E1477" t="s">
        <v>93</v>
      </c>
      <c r="F1477" t="s">
        <v>95</v>
      </c>
      <c r="G1477" t="s">
        <v>52</v>
      </c>
      <c r="H1477" t="s">
        <v>38</v>
      </c>
      <c r="I1477">
        <v>3823</v>
      </c>
    </row>
    <row r="1478" spans="1:9" ht="14.5" x14ac:dyDescent="0.35">
      <c r="A1478">
        <v>2</v>
      </c>
      <c r="B1478" t="s">
        <v>44</v>
      </c>
      <c r="C1478" t="s">
        <v>85</v>
      </c>
      <c r="D1478" t="s">
        <v>92</v>
      </c>
      <c r="E1478" t="s">
        <v>93</v>
      </c>
      <c r="F1478" t="s">
        <v>96</v>
      </c>
      <c r="G1478" t="s">
        <v>52</v>
      </c>
      <c r="H1478" t="s">
        <v>36</v>
      </c>
      <c r="I1478">
        <v>1131</v>
      </c>
    </row>
    <row r="1479" spans="1:9" ht="14.5" x14ac:dyDescent="0.35">
      <c r="A1479">
        <v>2</v>
      </c>
      <c r="B1479" t="s">
        <v>44</v>
      </c>
      <c r="C1479" t="s">
        <v>85</v>
      </c>
      <c r="D1479" t="s">
        <v>92</v>
      </c>
      <c r="E1479" t="s">
        <v>93</v>
      </c>
      <c r="F1479" t="s">
        <v>96</v>
      </c>
      <c r="G1479" t="s">
        <v>52</v>
      </c>
      <c r="H1479" t="s">
        <v>38</v>
      </c>
      <c r="I1479">
        <v>3143</v>
      </c>
    </row>
    <row r="1480" spans="1:9" ht="14.5" x14ac:dyDescent="0.35">
      <c r="A1480">
        <v>2</v>
      </c>
      <c r="B1480" t="s">
        <v>44</v>
      </c>
      <c r="C1480" t="s">
        <v>85</v>
      </c>
      <c r="D1480" t="s">
        <v>92</v>
      </c>
      <c r="E1480" t="s">
        <v>93</v>
      </c>
      <c r="F1480" t="s">
        <v>97</v>
      </c>
      <c r="G1480" t="s">
        <v>52</v>
      </c>
      <c r="H1480" t="s">
        <v>36</v>
      </c>
      <c r="I1480">
        <v>3635</v>
      </c>
    </row>
    <row r="1481" spans="1:9" ht="14.5" x14ac:dyDescent="0.35">
      <c r="A1481">
        <v>2</v>
      </c>
      <c r="B1481" t="s">
        <v>44</v>
      </c>
      <c r="C1481" t="s">
        <v>85</v>
      </c>
      <c r="D1481" t="s">
        <v>92</v>
      </c>
      <c r="E1481" t="s">
        <v>93</v>
      </c>
      <c r="F1481" t="s">
        <v>97</v>
      </c>
      <c r="G1481" t="s">
        <v>52</v>
      </c>
      <c r="H1481" t="s">
        <v>38</v>
      </c>
      <c r="I1481">
        <v>1755</v>
      </c>
    </row>
    <row r="1482" spans="1:9" ht="14.5" x14ac:dyDescent="0.35">
      <c r="A1482">
        <v>2</v>
      </c>
      <c r="B1482" t="s">
        <v>45</v>
      </c>
      <c r="C1482" t="s">
        <v>85</v>
      </c>
      <c r="D1482" t="s">
        <v>92</v>
      </c>
      <c r="E1482" t="s">
        <v>93</v>
      </c>
      <c r="F1482" t="s">
        <v>94</v>
      </c>
      <c r="G1482" t="s">
        <v>52</v>
      </c>
      <c r="H1482" t="s">
        <v>36</v>
      </c>
      <c r="I1482">
        <v>4880</v>
      </c>
    </row>
    <row r="1483" spans="1:9" ht="14.5" x14ac:dyDescent="0.35">
      <c r="A1483">
        <v>2</v>
      </c>
      <c r="B1483" t="s">
        <v>45</v>
      </c>
      <c r="C1483" t="s">
        <v>85</v>
      </c>
      <c r="D1483" t="s">
        <v>92</v>
      </c>
      <c r="E1483" t="s">
        <v>93</v>
      </c>
      <c r="F1483" t="s">
        <v>94</v>
      </c>
      <c r="G1483" t="s">
        <v>52</v>
      </c>
      <c r="H1483" t="s">
        <v>38</v>
      </c>
      <c r="I1483">
        <v>1797</v>
      </c>
    </row>
    <row r="1484" spans="1:9" ht="14.5" x14ac:dyDescent="0.35">
      <c r="A1484">
        <v>2</v>
      </c>
      <c r="B1484" t="s">
        <v>45</v>
      </c>
      <c r="C1484" t="s">
        <v>85</v>
      </c>
      <c r="D1484" t="s">
        <v>92</v>
      </c>
      <c r="E1484" t="s">
        <v>93</v>
      </c>
      <c r="F1484" t="s">
        <v>95</v>
      </c>
      <c r="G1484" t="s">
        <v>52</v>
      </c>
      <c r="H1484" t="s">
        <v>36</v>
      </c>
      <c r="I1484">
        <v>3507</v>
      </c>
    </row>
    <row r="1485" spans="1:9" ht="14.5" x14ac:dyDescent="0.35">
      <c r="A1485">
        <v>2</v>
      </c>
      <c r="B1485" t="s">
        <v>45</v>
      </c>
      <c r="C1485" t="s">
        <v>85</v>
      </c>
      <c r="D1485" t="s">
        <v>92</v>
      </c>
      <c r="E1485" t="s">
        <v>93</v>
      </c>
      <c r="F1485" t="s">
        <v>95</v>
      </c>
      <c r="G1485" t="s">
        <v>52</v>
      </c>
      <c r="H1485" t="s">
        <v>38</v>
      </c>
      <c r="I1485">
        <v>3775</v>
      </c>
    </row>
    <row r="1486" spans="1:9" ht="14.5" x14ac:dyDescent="0.35">
      <c r="A1486">
        <v>2</v>
      </c>
      <c r="B1486" t="s">
        <v>45</v>
      </c>
      <c r="C1486" t="s">
        <v>85</v>
      </c>
      <c r="D1486" t="s">
        <v>92</v>
      </c>
      <c r="E1486" t="s">
        <v>93</v>
      </c>
      <c r="F1486" t="s">
        <v>96</v>
      </c>
      <c r="G1486" t="s">
        <v>52</v>
      </c>
      <c r="H1486" t="s">
        <v>36</v>
      </c>
      <c r="I1486">
        <v>2618</v>
      </c>
    </row>
    <row r="1487" spans="1:9" ht="14.5" x14ac:dyDescent="0.35">
      <c r="A1487">
        <v>2</v>
      </c>
      <c r="B1487" t="s">
        <v>45</v>
      </c>
      <c r="C1487" t="s">
        <v>85</v>
      </c>
      <c r="D1487" t="s">
        <v>92</v>
      </c>
      <c r="E1487" t="s">
        <v>93</v>
      </c>
      <c r="F1487" t="s">
        <v>96</v>
      </c>
      <c r="G1487" t="s">
        <v>52</v>
      </c>
      <c r="H1487" t="s">
        <v>38</v>
      </c>
      <c r="I1487">
        <v>4204</v>
      </c>
    </row>
    <row r="1488" spans="1:9" ht="14.5" x14ac:dyDescent="0.35">
      <c r="A1488">
        <v>2</v>
      </c>
      <c r="B1488" t="s">
        <v>45</v>
      </c>
      <c r="C1488" t="s">
        <v>85</v>
      </c>
      <c r="D1488" t="s">
        <v>92</v>
      </c>
      <c r="E1488" t="s">
        <v>93</v>
      </c>
      <c r="F1488" t="s">
        <v>97</v>
      </c>
      <c r="G1488" t="s">
        <v>52</v>
      </c>
      <c r="H1488" t="s">
        <v>36</v>
      </c>
      <c r="I1488">
        <v>2640</v>
      </c>
    </row>
    <row r="1489" spans="1:9" ht="14.5" x14ac:dyDescent="0.35">
      <c r="A1489">
        <v>2</v>
      </c>
      <c r="B1489" t="s">
        <v>45</v>
      </c>
      <c r="C1489" t="s">
        <v>85</v>
      </c>
      <c r="D1489" t="s">
        <v>92</v>
      </c>
      <c r="E1489" t="s">
        <v>93</v>
      </c>
      <c r="F1489" t="s">
        <v>97</v>
      </c>
      <c r="G1489" t="s">
        <v>52</v>
      </c>
      <c r="H1489" t="s">
        <v>38</v>
      </c>
      <c r="I1489">
        <v>2170</v>
      </c>
    </row>
    <row r="1490" spans="1:9" ht="14.5" x14ac:dyDescent="0.35">
      <c r="A1490">
        <v>3</v>
      </c>
      <c r="B1490" t="s">
        <v>46</v>
      </c>
      <c r="C1490" t="s">
        <v>85</v>
      </c>
      <c r="D1490" t="s">
        <v>92</v>
      </c>
      <c r="E1490" t="s">
        <v>93</v>
      </c>
      <c r="F1490" t="s">
        <v>94</v>
      </c>
      <c r="G1490" t="s">
        <v>52</v>
      </c>
      <c r="H1490" t="s">
        <v>36</v>
      </c>
      <c r="I1490">
        <v>4152</v>
      </c>
    </row>
    <row r="1491" spans="1:9" ht="14.5" x14ac:dyDescent="0.35">
      <c r="A1491">
        <v>3</v>
      </c>
      <c r="B1491" t="s">
        <v>46</v>
      </c>
      <c r="C1491" t="s">
        <v>85</v>
      </c>
      <c r="D1491" t="s">
        <v>92</v>
      </c>
      <c r="E1491" t="s">
        <v>93</v>
      </c>
      <c r="F1491" t="s">
        <v>94</v>
      </c>
      <c r="G1491" t="s">
        <v>52</v>
      </c>
      <c r="H1491" t="s">
        <v>38</v>
      </c>
      <c r="I1491">
        <v>2582</v>
      </c>
    </row>
    <row r="1492" spans="1:9" ht="14.5" x14ac:dyDescent="0.35">
      <c r="A1492">
        <v>3</v>
      </c>
      <c r="B1492" t="s">
        <v>46</v>
      </c>
      <c r="C1492" t="s">
        <v>85</v>
      </c>
      <c r="D1492" t="s">
        <v>92</v>
      </c>
      <c r="E1492" t="s">
        <v>93</v>
      </c>
      <c r="F1492" t="s">
        <v>95</v>
      </c>
      <c r="G1492" t="s">
        <v>52</v>
      </c>
      <c r="H1492" t="s">
        <v>36</v>
      </c>
      <c r="I1492">
        <v>2565</v>
      </c>
    </row>
    <row r="1493" spans="1:9" ht="14.5" x14ac:dyDescent="0.35">
      <c r="A1493">
        <v>3</v>
      </c>
      <c r="B1493" t="s">
        <v>46</v>
      </c>
      <c r="C1493" t="s">
        <v>85</v>
      </c>
      <c r="D1493" t="s">
        <v>92</v>
      </c>
      <c r="E1493" t="s">
        <v>93</v>
      </c>
      <c r="F1493" t="s">
        <v>95</v>
      </c>
      <c r="G1493" t="s">
        <v>52</v>
      </c>
      <c r="H1493" t="s">
        <v>38</v>
      </c>
      <c r="I1493">
        <v>3824</v>
      </c>
    </row>
    <row r="1494" spans="1:9" ht="14.5" x14ac:dyDescent="0.35">
      <c r="A1494">
        <v>3</v>
      </c>
      <c r="B1494" t="s">
        <v>46</v>
      </c>
      <c r="C1494" t="s">
        <v>85</v>
      </c>
      <c r="D1494" t="s">
        <v>92</v>
      </c>
      <c r="E1494" t="s">
        <v>93</v>
      </c>
      <c r="F1494" t="s">
        <v>96</v>
      </c>
      <c r="G1494" t="s">
        <v>52</v>
      </c>
      <c r="H1494" t="s">
        <v>36</v>
      </c>
      <c r="I1494">
        <v>4182</v>
      </c>
    </row>
    <row r="1495" spans="1:9" ht="14.5" x14ac:dyDescent="0.35">
      <c r="A1495">
        <v>3</v>
      </c>
      <c r="B1495" t="s">
        <v>46</v>
      </c>
      <c r="C1495" t="s">
        <v>85</v>
      </c>
      <c r="D1495" t="s">
        <v>92</v>
      </c>
      <c r="E1495" t="s">
        <v>93</v>
      </c>
      <c r="F1495" t="s">
        <v>96</v>
      </c>
      <c r="G1495" t="s">
        <v>52</v>
      </c>
      <c r="H1495" t="s">
        <v>38</v>
      </c>
      <c r="I1495">
        <v>2548</v>
      </c>
    </row>
    <row r="1496" spans="1:9" ht="14.5" x14ac:dyDescent="0.35">
      <c r="A1496">
        <v>3</v>
      </c>
      <c r="B1496" t="s">
        <v>46</v>
      </c>
      <c r="C1496" t="s">
        <v>85</v>
      </c>
      <c r="D1496" t="s">
        <v>92</v>
      </c>
      <c r="E1496" t="s">
        <v>93</v>
      </c>
      <c r="F1496" t="s">
        <v>97</v>
      </c>
      <c r="G1496" t="s">
        <v>52</v>
      </c>
      <c r="H1496" t="s">
        <v>36</v>
      </c>
      <c r="I1496">
        <v>3365</v>
      </c>
    </row>
    <row r="1497" spans="1:9" ht="14.5" x14ac:dyDescent="0.35">
      <c r="A1497">
        <v>3</v>
      </c>
      <c r="B1497" t="s">
        <v>46</v>
      </c>
      <c r="C1497" t="s">
        <v>85</v>
      </c>
      <c r="D1497" t="s">
        <v>92</v>
      </c>
      <c r="E1497" t="s">
        <v>93</v>
      </c>
      <c r="F1497" t="s">
        <v>97</v>
      </c>
      <c r="G1497" t="s">
        <v>52</v>
      </c>
      <c r="H1497" t="s">
        <v>38</v>
      </c>
      <c r="I1497">
        <v>1637</v>
      </c>
    </row>
    <row r="1498" spans="1:9" ht="14.5" x14ac:dyDescent="0.35">
      <c r="A1498">
        <v>3</v>
      </c>
      <c r="B1498" t="s">
        <v>47</v>
      </c>
      <c r="C1498" t="s">
        <v>85</v>
      </c>
      <c r="D1498" t="s">
        <v>92</v>
      </c>
      <c r="E1498" t="s">
        <v>93</v>
      </c>
      <c r="F1498" t="s">
        <v>94</v>
      </c>
      <c r="G1498" t="s">
        <v>52</v>
      </c>
      <c r="H1498" t="s">
        <v>36</v>
      </c>
      <c r="I1498">
        <v>1944</v>
      </c>
    </row>
    <row r="1499" spans="1:9" ht="14.5" x14ac:dyDescent="0.35">
      <c r="A1499">
        <v>3</v>
      </c>
      <c r="B1499" t="s">
        <v>47</v>
      </c>
      <c r="C1499" t="s">
        <v>85</v>
      </c>
      <c r="D1499" t="s">
        <v>92</v>
      </c>
      <c r="E1499" t="s">
        <v>93</v>
      </c>
      <c r="F1499" t="s">
        <v>94</v>
      </c>
      <c r="G1499" t="s">
        <v>52</v>
      </c>
      <c r="H1499" t="s">
        <v>38</v>
      </c>
      <c r="I1499">
        <v>1672</v>
      </c>
    </row>
    <row r="1500" spans="1:9" ht="14.5" x14ac:dyDescent="0.35">
      <c r="A1500">
        <v>3</v>
      </c>
      <c r="B1500" t="s">
        <v>47</v>
      </c>
      <c r="C1500" t="s">
        <v>85</v>
      </c>
      <c r="D1500" t="s">
        <v>92</v>
      </c>
      <c r="E1500" t="s">
        <v>93</v>
      </c>
      <c r="F1500" t="s">
        <v>95</v>
      </c>
      <c r="G1500" t="s">
        <v>52</v>
      </c>
      <c r="H1500" t="s">
        <v>36</v>
      </c>
      <c r="I1500">
        <v>1369</v>
      </c>
    </row>
    <row r="1501" spans="1:9" ht="14.5" x14ac:dyDescent="0.35">
      <c r="A1501">
        <v>3</v>
      </c>
      <c r="B1501" t="s">
        <v>47</v>
      </c>
      <c r="C1501" t="s">
        <v>85</v>
      </c>
      <c r="D1501" t="s">
        <v>92</v>
      </c>
      <c r="E1501" t="s">
        <v>93</v>
      </c>
      <c r="F1501" t="s">
        <v>95</v>
      </c>
      <c r="G1501" t="s">
        <v>52</v>
      </c>
      <c r="H1501" t="s">
        <v>38</v>
      </c>
      <c r="I1501">
        <v>3693</v>
      </c>
    </row>
    <row r="1502" spans="1:9" ht="14.5" x14ac:dyDescent="0.35">
      <c r="A1502">
        <v>3</v>
      </c>
      <c r="B1502" t="s">
        <v>47</v>
      </c>
      <c r="C1502" t="s">
        <v>85</v>
      </c>
      <c r="D1502" t="s">
        <v>92</v>
      </c>
      <c r="E1502" t="s">
        <v>93</v>
      </c>
      <c r="F1502" t="s">
        <v>96</v>
      </c>
      <c r="G1502" t="s">
        <v>52</v>
      </c>
      <c r="H1502" t="s">
        <v>36</v>
      </c>
      <c r="I1502">
        <v>3063</v>
      </c>
    </row>
    <row r="1503" spans="1:9" ht="14.5" x14ac:dyDescent="0.35">
      <c r="A1503">
        <v>3</v>
      </c>
      <c r="B1503" t="s">
        <v>47</v>
      </c>
      <c r="C1503" t="s">
        <v>85</v>
      </c>
      <c r="D1503" t="s">
        <v>92</v>
      </c>
      <c r="E1503" t="s">
        <v>93</v>
      </c>
      <c r="F1503" t="s">
        <v>96</v>
      </c>
      <c r="G1503" t="s">
        <v>52</v>
      </c>
      <c r="H1503" t="s">
        <v>38</v>
      </c>
      <c r="I1503">
        <v>1964</v>
      </c>
    </row>
    <row r="1504" spans="1:9" ht="14.5" x14ac:dyDescent="0.35">
      <c r="A1504">
        <v>3</v>
      </c>
      <c r="B1504" t="s">
        <v>47</v>
      </c>
      <c r="C1504" t="s">
        <v>85</v>
      </c>
      <c r="D1504" t="s">
        <v>92</v>
      </c>
      <c r="E1504" t="s">
        <v>93</v>
      </c>
      <c r="F1504" t="s">
        <v>97</v>
      </c>
      <c r="G1504" t="s">
        <v>52</v>
      </c>
      <c r="H1504" t="s">
        <v>36</v>
      </c>
      <c r="I1504">
        <v>3671</v>
      </c>
    </row>
    <row r="1505" spans="1:9" ht="14.5" x14ac:dyDescent="0.35">
      <c r="A1505">
        <v>3</v>
      </c>
      <c r="B1505" t="s">
        <v>47</v>
      </c>
      <c r="C1505" t="s">
        <v>85</v>
      </c>
      <c r="D1505" t="s">
        <v>92</v>
      </c>
      <c r="E1505" t="s">
        <v>93</v>
      </c>
      <c r="F1505" t="s">
        <v>97</v>
      </c>
      <c r="G1505" t="s">
        <v>52</v>
      </c>
      <c r="H1505" t="s">
        <v>38</v>
      </c>
      <c r="I1505">
        <v>1471</v>
      </c>
    </row>
    <row r="1506" spans="1:9" ht="14.5" x14ac:dyDescent="0.35">
      <c r="A1506">
        <v>3</v>
      </c>
      <c r="B1506" t="s">
        <v>48</v>
      </c>
      <c r="C1506" t="s">
        <v>85</v>
      </c>
      <c r="D1506" t="s">
        <v>92</v>
      </c>
      <c r="E1506" t="s">
        <v>93</v>
      </c>
      <c r="F1506" t="s">
        <v>94</v>
      </c>
      <c r="G1506" t="s">
        <v>52</v>
      </c>
      <c r="H1506" t="s">
        <v>36</v>
      </c>
      <c r="I1506">
        <v>2340</v>
      </c>
    </row>
    <row r="1507" spans="1:9" ht="14.5" x14ac:dyDescent="0.35">
      <c r="A1507">
        <v>3</v>
      </c>
      <c r="B1507" t="s">
        <v>48</v>
      </c>
      <c r="C1507" t="s">
        <v>85</v>
      </c>
      <c r="D1507" t="s">
        <v>92</v>
      </c>
      <c r="E1507" t="s">
        <v>93</v>
      </c>
      <c r="F1507" t="s">
        <v>94</v>
      </c>
      <c r="G1507" t="s">
        <v>52</v>
      </c>
      <c r="H1507" t="s">
        <v>38</v>
      </c>
      <c r="I1507">
        <v>1980</v>
      </c>
    </row>
    <row r="1508" spans="1:9" ht="14.5" x14ac:dyDescent="0.35">
      <c r="A1508">
        <v>3</v>
      </c>
      <c r="B1508" t="s">
        <v>48</v>
      </c>
      <c r="C1508" t="s">
        <v>85</v>
      </c>
      <c r="D1508" t="s">
        <v>92</v>
      </c>
      <c r="E1508" t="s">
        <v>93</v>
      </c>
      <c r="F1508" t="s">
        <v>95</v>
      </c>
      <c r="G1508" t="s">
        <v>52</v>
      </c>
      <c r="H1508" t="s">
        <v>36</v>
      </c>
      <c r="I1508">
        <v>4421</v>
      </c>
    </row>
    <row r="1509" spans="1:9" ht="14.5" x14ac:dyDescent="0.35">
      <c r="A1509">
        <v>3</v>
      </c>
      <c r="B1509" t="s">
        <v>48</v>
      </c>
      <c r="C1509" t="s">
        <v>85</v>
      </c>
      <c r="D1509" t="s">
        <v>92</v>
      </c>
      <c r="E1509" t="s">
        <v>93</v>
      </c>
      <c r="F1509" t="s">
        <v>95</v>
      </c>
      <c r="G1509" t="s">
        <v>52</v>
      </c>
      <c r="H1509" t="s">
        <v>38</v>
      </c>
      <c r="I1509">
        <v>3606</v>
      </c>
    </row>
    <row r="1510" spans="1:9" ht="14.5" x14ac:dyDescent="0.35">
      <c r="A1510">
        <v>3</v>
      </c>
      <c r="B1510" t="s">
        <v>48</v>
      </c>
      <c r="C1510" t="s">
        <v>85</v>
      </c>
      <c r="D1510" t="s">
        <v>92</v>
      </c>
      <c r="E1510" t="s">
        <v>93</v>
      </c>
      <c r="F1510" t="s">
        <v>96</v>
      </c>
      <c r="G1510" t="s">
        <v>52</v>
      </c>
      <c r="H1510" t="s">
        <v>36</v>
      </c>
      <c r="I1510">
        <v>3144</v>
      </c>
    </row>
    <row r="1511" spans="1:9" ht="14.5" x14ac:dyDescent="0.35">
      <c r="A1511">
        <v>3</v>
      </c>
      <c r="B1511" t="s">
        <v>48</v>
      </c>
      <c r="C1511" t="s">
        <v>85</v>
      </c>
      <c r="D1511" t="s">
        <v>92</v>
      </c>
      <c r="E1511" t="s">
        <v>93</v>
      </c>
      <c r="F1511" t="s">
        <v>96</v>
      </c>
      <c r="G1511" t="s">
        <v>52</v>
      </c>
      <c r="H1511" t="s">
        <v>38</v>
      </c>
      <c r="I1511">
        <v>4455</v>
      </c>
    </row>
    <row r="1512" spans="1:9" ht="14.5" x14ac:dyDescent="0.35">
      <c r="A1512">
        <v>3</v>
      </c>
      <c r="B1512" t="s">
        <v>48</v>
      </c>
      <c r="C1512" t="s">
        <v>85</v>
      </c>
      <c r="D1512" t="s">
        <v>92</v>
      </c>
      <c r="E1512" t="s">
        <v>93</v>
      </c>
      <c r="F1512" t="s">
        <v>97</v>
      </c>
      <c r="G1512" t="s">
        <v>52</v>
      </c>
      <c r="H1512" t="s">
        <v>36</v>
      </c>
      <c r="I1512">
        <v>3465</v>
      </c>
    </row>
    <row r="1513" spans="1:9" ht="14.5" x14ac:dyDescent="0.35">
      <c r="A1513">
        <v>3</v>
      </c>
      <c r="B1513" t="s">
        <v>48</v>
      </c>
      <c r="C1513" t="s">
        <v>85</v>
      </c>
      <c r="D1513" t="s">
        <v>92</v>
      </c>
      <c r="E1513" t="s">
        <v>93</v>
      </c>
      <c r="F1513" t="s">
        <v>97</v>
      </c>
      <c r="G1513" t="s">
        <v>52</v>
      </c>
      <c r="H1513" t="s">
        <v>38</v>
      </c>
      <c r="I1513">
        <v>1546</v>
      </c>
    </row>
    <row r="1514" spans="1:9" ht="14.5" x14ac:dyDescent="0.35">
      <c r="A1514">
        <v>4</v>
      </c>
      <c r="B1514" t="s">
        <v>49</v>
      </c>
      <c r="C1514" t="s">
        <v>85</v>
      </c>
      <c r="D1514" t="s">
        <v>92</v>
      </c>
      <c r="E1514" t="s">
        <v>93</v>
      </c>
      <c r="F1514" t="s">
        <v>94</v>
      </c>
      <c r="G1514" t="s">
        <v>52</v>
      </c>
      <c r="H1514" t="s">
        <v>36</v>
      </c>
      <c r="I1514">
        <v>3419</v>
      </c>
    </row>
    <row r="1515" spans="1:9" ht="14.5" x14ac:dyDescent="0.35">
      <c r="A1515">
        <v>4</v>
      </c>
      <c r="B1515" t="s">
        <v>49</v>
      </c>
      <c r="C1515" t="s">
        <v>85</v>
      </c>
      <c r="D1515" t="s">
        <v>92</v>
      </c>
      <c r="E1515" t="s">
        <v>93</v>
      </c>
      <c r="F1515" t="s">
        <v>94</v>
      </c>
      <c r="G1515" t="s">
        <v>52</v>
      </c>
      <c r="H1515" t="s">
        <v>38</v>
      </c>
      <c r="I1515">
        <v>1596</v>
      </c>
    </row>
    <row r="1516" spans="1:9" ht="14.5" x14ac:dyDescent="0.35">
      <c r="A1516">
        <v>4</v>
      </c>
      <c r="B1516" t="s">
        <v>49</v>
      </c>
      <c r="C1516" t="s">
        <v>85</v>
      </c>
      <c r="D1516" t="s">
        <v>92</v>
      </c>
      <c r="E1516" t="s">
        <v>93</v>
      </c>
      <c r="F1516" t="s">
        <v>95</v>
      </c>
      <c r="G1516" t="s">
        <v>52</v>
      </c>
      <c r="H1516" t="s">
        <v>36</v>
      </c>
      <c r="I1516">
        <v>1441</v>
      </c>
    </row>
    <row r="1517" spans="1:9" ht="14.5" x14ac:dyDescent="0.35">
      <c r="A1517">
        <v>4</v>
      </c>
      <c r="B1517" t="s">
        <v>49</v>
      </c>
      <c r="C1517" t="s">
        <v>85</v>
      </c>
      <c r="D1517" t="s">
        <v>92</v>
      </c>
      <c r="E1517" t="s">
        <v>93</v>
      </c>
      <c r="F1517" t="s">
        <v>95</v>
      </c>
      <c r="G1517" t="s">
        <v>52</v>
      </c>
      <c r="H1517" t="s">
        <v>38</v>
      </c>
      <c r="I1517">
        <v>1777</v>
      </c>
    </row>
    <row r="1518" spans="1:9" ht="14.5" x14ac:dyDescent="0.35">
      <c r="A1518">
        <v>4</v>
      </c>
      <c r="B1518" t="s">
        <v>49</v>
      </c>
      <c r="C1518" t="s">
        <v>85</v>
      </c>
      <c r="D1518" t="s">
        <v>92</v>
      </c>
      <c r="E1518" t="s">
        <v>93</v>
      </c>
      <c r="F1518" t="s">
        <v>96</v>
      </c>
      <c r="G1518" t="s">
        <v>52</v>
      </c>
      <c r="H1518" t="s">
        <v>36</v>
      </c>
      <c r="I1518">
        <v>2758</v>
      </c>
    </row>
    <row r="1519" spans="1:9" ht="14.5" x14ac:dyDescent="0.35">
      <c r="A1519">
        <v>4</v>
      </c>
      <c r="B1519" t="s">
        <v>49</v>
      </c>
      <c r="C1519" t="s">
        <v>85</v>
      </c>
      <c r="D1519" t="s">
        <v>92</v>
      </c>
      <c r="E1519" t="s">
        <v>93</v>
      </c>
      <c r="F1519" t="s">
        <v>96</v>
      </c>
      <c r="G1519" t="s">
        <v>52</v>
      </c>
      <c r="H1519" t="s">
        <v>38</v>
      </c>
      <c r="I1519">
        <v>1012</v>
      </c>
    </row>
    <row r="1520" spans="1:9" ht="14.5" x14ac:dyDescent="0.35">
      <c r="A1520">
        <v>4</v>
      </c>
      <c r="B1520" t="s">
        <v>49</v>
      </c>
      <c r="C1520" t="s">
        <v>85</v>
      </c>
      <c r="D1520" t="s">
        <v>92</v>
      </c>
      <c r="E1520" t="s">
        <v>93</v>
      </c>
      <c r="F1520" t="s">
        <v>97</v>
      </c>
      <c r="G1520" t="s">
        <v>52</v>
      </c>
      <c r="H1520" t="s">
        <v>36</v>
      </c>
      <c r="I1520">
        <v>2199</v>
      </c>
    </row>
    <row r="1521" spans="1:9" ht="14.5" x14ac:dyDescent="0.35">
      <c r="A1521">
        <v>4</v>
      </c>
      <c r="B1521" t="s">
        <v>49</v>
      </c>
      <c r="C1521" t="s">
        <v>85</v>
      </c>
      <c r="D1521" t="s">
        <v>92</v>
      </c>
      <c r="E1521" t="s">
        <v>93</v>
      </c>
      <c r="F1521" t="s">
        <v>97</v>
      </c>
      <c r="G1521" t="s">
        <v>52</v>
      </c>
      <c r="H1521" t="s">
        <v>38</v>
      </c>
      <c r="I1521">
        <v>3086</v>
      </c>
    </row>
    <row r="1522" spans="1:9" ht="14.5" x14ac:dyDescent="0.35">
      <c r="A1522">
        <v>4</v>
      </c>
      <c r="B1522" t="s">
        <v>50</v>
      </c>
      <c r="C1522" t="s">
        <v>85</v>
      </c>
      <c r="D1522" t="s">
        <v>92</v>
      </c>
      <c r="E1522" t="s">
        <v>93</v>
      </c>
      <c r="F1522" t="s">
        <v>94</v>
      </c>
      <c r="G1522" t="s">
        <v>52</v>
      </c>
      <c r="H1522" t="s">
        <v>36</v>
      </c>
      <c r="I1522">
        <v>2667</v>
      </c>
    </row>
    <row r="1523" spans="1:9" ht="14.5" x14ac:dyDescent="0.35">
      <c r="A1523">
        <v>4</v>
      </c>
      <c r="B1523" t="s">
        <v>50</v>
      </c>
      <c r="C1523" t="s">
        <v>85</v>
      </c>
      <c r="D1523" t="s">
        <v>92</v>
      </c>
      <c r="E1523" t="s">
        <v>93</v>
      </c>
      <c r="F1523" t="s">
        <v>94</v>
      </c>
      <c r="G1523" t="s">
        <v>52</v>
      </c>
      <c r="H1523" t="s">
        <v>38</v>
      </c>
      <c r="I1523">
        <v>3459</v>
      </c>
    </row>
    <row r="1524" spans="1:9" ht="14.5" x14ac:dyDescent="0.35">
      <c r="A1524">
        <v>4</v>
      </c>
      <c r="B1524" t="s">
        <v>50</v>
      </c>
      <c r="C1524" t="s">
        <v>85</v>
      </c>
      <c r="D1524" t="s">
        <v>92</v>
      </c>
      <c r="E1524" t="s">
        <v>93</v>
      </c>
      <c r="F1524" t="s">
        <v>95</v>
      </c>
      <c r="G1524" t="s">
        <v>52</v>
      </c>
      <c r="H1524" t="s">
        <v>36</v>
      </c>
      <c r="I1524">
        <v>3556</v>
      </c>
    </row>
    <row r="1525" spans="1:9" ht="14.5" x14ac:dyDescent="0.35">
      <c r="A1525">
        <v>4</v>
      </c>
      <c r="B1525" t="s">
        <v>50</v>
      </c>
      <c r="C1525" t="s">
        <v>85</v>
      </c>
      <c r="D1525" t="s">
        <v>92</v>
      </c>
      <c r="E1525" t="s">
        <v>93</v>
      </c>
      <c r="F1525" t="s">
        <v>95</v>
      </c>
      <c r="G1525" t="s">
        <v>52</v>
      </c>
      <c r="H1525" t="s">
        <v>38</v>
      </c>
      <c r="I1525">
        <v>3411</v>
      </c>
    </row>
    <row r="1526" spans="1:9" ht="14.5" x14ac:dyDescent="0.35">
      <c r="A1526">
        <v>4</v>
      </c>
      <c r="B1526" t="s">
        <v>50</v>
      </c>
      <c r="C1526" t="s">
        <v>85</v>
      </c>
      <c r="D1526" t="s">
        <v>92</v>
      </c>
      <c r="E1526" t="s">
        <v>93</v>
      </c>
      <c r="F1526" t="s">
        <v>96</v>
      </c>
      <c r="G1526" t="s">
        <v>52</v>
      </c>
      <c r="H1526" t="s">
        <v>36</v>
      </c>
      <c r="I1526">
        <v>3750</v>
      </c>
    </row>
    <row r="1527" spans="1:9" ht="14.5" x14ac:dyDescent="0.35">
      <c r="A1527">
        <v>4</v>
      </c>
      <c r="B1527" t="s">
        <v>50</v>
      </c>
      <c r="C1527" t="s">
        <v>85</v>
      </c>
      <c r="D1527" t="s">
        <v>92</v>
      </c>
      <c r="E1527" t="s">
        <v>93</v>
      </c>
      <c r="F1527" t="s">
        <v>96</v>
      </c>
      <c r="G1527" t="s">
        <v>52</v>
      </c>
      <c r="H1527" t="s">
        <v>38</v>
      </c>
      <c r="I1527">
        <v>3776</v>
      </c>
    </row>
    <row r="1528" spans="1:9" ht="14.5" x14ac:dyDescent="0.35">
      <c r="A1528">
        <v>4</v>
      </c>
      <c r="B1528" t="s">
        <v>50</v>
      </c>
      <c r="C1528" t="s">
        <v>85</v>
      </c>
      <c r="D1528" t="s">
        <v>92</v>
      </c>
      <c r="E1528" t="s">
        <v>93</v>
      </c>
      <c r="F1528" t="s">
        <v>97</v>
      </c>
      <c r="G1528" t="s">
        <v>52</v>
      </c>
      <c r="H1528" t="s">
        <v>36</v>
      </c>
      <c r="I1528">
        <v>4439</v>
      </c>
    </row>
    <row r="1529" spans="1:9" ht="14.5" x14ac:dyDescent="0.35">
      <c r="A1529">
        <v>4</v>
      </c>
      <c r="B1529" t="s">
        <v>50</v>
      </c>
      <c r="C1529" t="s">
        <v>85</v>
      </c>
      <c r="D1529" t="s">
        <v>92</v>
      </c>
      <c r="E1529" t="s">
        <v>93</v>
      </c>
      <c r="F1529" t="s">
        <v>97</v>
      </c>
      <c r="G1529" t="s">
        <v>52</v>
      </c>
      <c r="H1529" t="s">
        <v>38</v>
      </c>
      <c r="I1529">
        <v>3567</v>
      </c>
    </row>
    <row r="1530" spans="1:9" ht="14.5" x14ac:dyDescent="0.35">
      <c r="A1530">
        <v>4</v>
      </c>
      <c r="B1530" t="s">
        <v>51</v>
      </c>
      <c r="C1530" t="s">
        <v>85</v>
      </c>
      <c r="D1530" t="s">
        <v>92</v>
      </c>
      <c r="E1530" t="s">
        <v>93</v>
      </c>
      <c r="F1530" t="s">
        <v>94</v>
      </c>
      <c r="G1530" t="s">
        <v>52</v>
      </c>
      <c r="H1530" t="s">
        <v>36</v>
      </c>
      <c r="I1530">
        <v>4358</v>
      </c>
    </row>
    <row r="1531" spans="1:9" ht="14.5" x14ac:dyDescent="0.35">
      <c r="A1531">
        <v>4</v>
      </c>
      <c r="B1531" t="s">
        <v>51</v>
      </c>
      <c r="C1531" t="s">
        <v>85</v>
      </c>
      <c r="D1531" t="s">
        <v>92</v>
      </c>
      <c r="E1531" t="s">
        <v>93</v>
      </c>
      <c r="F1531" t="s">
        <v>94</v>
      </c>
      <c r="G1531" t="s">
        <v>52</v>
      </c>
      <c r="H1531" t="s">
        <v>38</v>
      </c>
      <c r="I1531">
        <v>3687</v>
      </c>
    </row>
    <row r="1532" spans="1:9" ht="14.5" x14ac:dyDescent="0.35">
      <c r="A1532">
        <v>4</v>
      </c>
      <c r="B1532" t="s">
        <v>51</v>
      </c>
      <c r="C1532" t="s">
        <v>85</v>
      </c>
      <c r="D1532" t="s">
        <v>92</v>
      </c>
      <c r="E1532" t="s">
        <v>93</v>
      </c>
      <c r="F1532" t="s">
        <v>95</v>
      </c>
      <c r="G1532" t="s">
        <v>52</v>
      </c>
      <c r="H1532" t="s">
        <v>36</v>
      </c>
      <c r="I1532">
        <v>2478</v>
      </c>
    </row>
    <row r="1533" spans="1:9" ht="14.5" x14ac:dyDescent="0.35">
      <c r="A1533">
        <v>4</v>
      </c>
      <c r="B1533" t="s">
        <v>51</v>
      </c>
      <c r="C1533" t="s">
        <v>85</v>
      </c>
      <c r="D1533" t="s">
        <v>92</v>
      </c>
      <c r="E1533" t="s">
        <v>93</v>
      </c>
      <c r="F1533" t="s">
        <v>95</v>
      </c>
      <c r="G1533" t="s">
        <v>52</v>
      </c>
      <c r="H1533" t="s">
        <v>38</v>
      </c>
      <c r="I1533">
        <v>1379</v>
      </c>
    </row>
    <row r="1534" spans="1:9" ht="14.5" x14ac:dyDescent="0.35">
      <c r="A1534">
        <v>4</v>
      </c>
      <c r="B1534" t="s">
        <v>51</v>
      </c>
      <c r="C1534" t="s">
        <v>85</v>
      </c>
      <c r="D1534" t="s">
        <v>92</v>
      </c>
      <c r="E1534" t="s">
        <v>93</v>
      </c>
      <c r="F1534" t="s">
        <v>96</v>
      </c>
      <c r="G1534" t="s">
        <v>52</v>
      </c>
      <c r="H1534" t="s">
        <v>36</v>
      </c>
      <c r="I1534">
        <v>2703</v>
      </c>
    </row>
    <row r="1535" spans="1:9" ht="14.5" x14ac:dyDescent="0.35">
      <c r="A1535">
        <v>4</v>
      </c>
      <c r="B1535" t="s">
        <v>51</v>
      </c>
      <c r="C1535" t="s">
        <v>85</v>
      </c>
      <c r="D1535" t="s">
        <v>92</v>
      </c>
      <c r="E1535" t="s">
        <v>93</v>
      </c>
      <c r="F1535" t="s">
        <v>96</v>
      </c>
      <c r="G1535" t="s">
        <v>52</v>
      </c>
      <c r="H1535" t="s">
        <v>38</v>
      </c>
      <c r="I1535">
        <v>3322</v>
      </c>
    </row>
    <row r="1536" spans="1:9" ht="14.5" x14ac:dyDescent="0.35">
      <c r="A1536">
        <v>4</v>
      </c>
      <c r="B1536" t="s">
        <v>51</v>
      </c>
      <c r="C1536" t="s">
        <v>85</v>
      </c>
      <c r="D1536" t="s">
        <v>92</v>
      </c>
      <c r="E1536" t="s">
        <v>93</v>
      </c>
      <c r="F1536" t="s">
        <v>97</v>
      </c>
      <c r="G1536" t="s">
        <v>52</v>
      </c>
      <c r="H1536" t="s">
        <v>36</v>
      </c>
      <c r="I1536">
        <v>4666</v>
      </c>
    </row>
    <row r="1537" spans="1:9" ht="14.5" x14ac:dyDescent="0.35">
      <c r="A1537">
        <v>4</v>
      </c>
      <c r="B1537" t="s">
        <v>51</v>
      </c>
      <c r="C1537" t="s">
        <v>85</v>
      </c>
      <c r="D1537" t="s">
        <v>92</v>
      </c>
      <c r="E1537" t="s">
        <v>93</v>
      </c>
      <c r="F1537" t="s">
        <v>97</v>
      </c>
      <c r="G1537" t="s">
        <v>52</v>
      </c>
      <c r="H1537" t="s">
        <v>38</v>
      </c>
      <c r="I1537">
        <v>3170</v>
      </c>
    </row>
  </sheetData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CB4FF-8EB6-4033-A211-220A48F7C761}">
  <dimension ref="A1"/>
  <sheetViews>
    <sheetView zoomScale="150" zoomScaleNormal="180" workbookViewId="0"/>
  </sheetViews>
  <sheetFormatPr defaultRowHeight="14.5" x14ac:dyDescent="0.35"/>
  <cols>
    <col min="1" max="7" width="9.26953125" customWidth="1"/>
  </cols>
  <sheetData/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360C1-A2A4-4E71-8E09-DFA76F5F6FF7}">
  <dimension ref="A1:J25"/>
  <sheetViews>
    <sheetView zoomScale="115" zoomScaleNormal="160" workbookViewId="0">
      <selection activeCell="J6" sqref="J6"/>
    </sheetView>
  </sheetViews>
  <sheetFormatPr defaultColWidth="8.81640625" defaultRowHeight="14.5" x14ac:dyDescent="0.35"/>
  <cols>
    <col min="1" max="1" width="8.26953125" bestFit="1" customWidth="1"/>
    <col min="2" max="2" width="7.1796875" bestFit="1" customWidth="1"/>
    <col min="3" max="3" width="9.08984375" bestFit="1" customWidth="1"/>
    <col min="4" max="4" width="11.90625" bestFit="1" customWidth="1"/>
    <col min="5" max="5" width="9.08984375" bestFit="1" customWidth="1"/>
    <col min="6" max="6" width="12.26953125" bestFit="1" customWidth="1"/>
    <col min="7" max="7" width="9" bestFit="1" customWidth="1"/>
    <col min="8" max="8" width="21.6328125" style="97" bestFit="1" customWidth="1"/>
  </cols>
  <sheetData>
    <row r="1" spans="1:10" ht="15.5" x14ac:dyDescent="0.35">
      <c r="A1" s="95" t="s">
        <v>22</v>
      </c>
      <c r="B1" s="95" t="s">
        <v>23</v>
      </c>
      <c r="C1" s="95" t="s">
        <v>25</v>
      </c>
      <c r="D1" s="95" t="s">
        <v>26</v>
      </c>
      <c r="E1" s="95" t="s">
        <v>27</v>
      </c>
      <c r="F1" s="95" t="s">
        <v>28</v>
      </c>
      <c r="G1" s="95" t="s">
        <v>29</v>
      </c>
      <c r="H1" s="96" t="s">
        <v>98</v>
      </c>
      <c r="J1" s="5" t="s">
        <v>0</v>
      </c>
    </row>
    <row r="2" spans="1:10" ht="29" x14ac:dyDescent="0.35">
      <c r="A2" t="s">
        <v>30</v>
      </c>
      <c r="B2" t="s">
        <v>31</v>
      </c>
      <c r="C2" t="s">
        <v>33</v>
      </c>
      <c r="D2" t="s">
        <v>34</v>
      </c>
      <c r="E2" t="s">
        <v>35</v>
      </c>
      <c r="F2" t="s">
        <v>36</v>
      </c>
      <c r="G2">
        <v>3677</v>
      </c>
      <c r="H2" s="97" t="s">
        <v>99</v>
      </c>
      <c r="J2" t="s">
        <v>100</v>
      </c>
    </row>
    <row r="3" spans="1:10" ht="29" x14ac:dyDescent="0.35">
      <c r="A3" t="s">
        <v>30</v>
      </c>
      <c r="B3" t="s">
        <v>31</v>
      </c>
      <c r="C3" t="s">
        <v>33</v>
      </c>
      <c r="D3" t="s">
        <v>37</v>
      </c>
      <c r="E3" t="s">
        <v>35</v>
      </c>
      <c r="F3" t="s">
        <v>38</v>
      </c>
      <c r="G3">
        <v>2248</v>
      </c>
      <c r="H3" s="97" t="s">
        <v>99</v>
      </c>
      <c r="J3" t="s">
        <v>101</v>
      </c>
    </row>
    <row r="4" spans="1:10" ht="29" x14ac:dyDescent="0.35">
      <c r="A4" t="s">
        <v>30</v>
      </c>
      <c r="B4" t="s">
        <v>31</v>
      </c>
      <c r="C4" t="s">
        <v>33</v>
      </c>
      <c r="D4" t="s">
        <v>39</v>
      </c>
      <c r="E4" t="s">
        <v>35</v>
      </c>
      <c r="F4" t="s">
        <v>38</v>
      </c>
      <c r="G4">
        <v>1184</v>
      </c>
      <c r="H4" s="97" t="s">
        <v>99</v>
      </c>
      <c r="J4" t="s">
        <v>102</v>
      </c>
    </row>
    <row r="5" spans="1:10" ht="29" x14ac:dyDescent="0.35">
      <c r="A5" t="s">
        <v>30</v>
      </c>
      <c r="B5" t="s">
        <v>31</v>
      </c>
      <c r="C5" t="s">
        <v>33</v>
      </c>
      <c r="D5" t="s">
        <v>37</v>
      </c>
      <c r="E5" t="s">
        <v>35</v>
      </c>
      <c r="F5" t="s">
        <v>36</v>
      </c>
      <c r="G5">
        <v>2454</v>
      </c>
      <c r="H5" s="97" t="s">
        <v>99</v>
      </c>
    </row>
    <row r="6" spans="1:10" ht="29" x14ac:dyDescent="0.35">
      <c r="A6" t="s">
        <v>30</v>
      </c>
      <c r="B6" t="s">
        <v>31</v>
      </c>
      <c r="C6" t="s">
        <v>33</v>
      </c>
      <c r="D6" t="s">
        <v>40</v>
      </c>
      <c r="E6" t="s">
        <v>35</v>
      </c>
      <c r="F6" t="s">
        <v>36</v>
      </c>
      <c r="G6">
        <v>1226</v>
      </c>
      <c r="H6" s="97" t="s">
        <v>99</v>
      </c>
    </row>
    <row r="7" spans="1:10" ht="29" x14ac:dyDescent="0.35">
      <c r="A7" t="s">
        <v>30</v>
      </c>
      <c r="B7" t="s">
        <v>31</v>
      </c>
      <c r="C7" t="s">
        <v>33</v>
      </c>
      <c r="D7" t="s">
        <v>40</v>
      </c>
      <c r="E7" t="s">
        <v>35</v>
      </c>
      <c r="F7" t="s">
        <v>38</v>
      </c>
      <c r="G7">
        <v>4967</v>
      </c>
      <c r="H7" s="97" t="s">
        <v>99</v>
      </c>
    </row>
    <row r="8" spans="1:10" ht="29" x14ac:dyDescent="0.35">
      <c r="A8" t="s">
        <v>30</v>
      </c>
      <c r="B8" t="s">
        <v>31</v>
      </c>
      <c r="C8" t="s">
        <v>33</v>
      </c>
      <c r="D8" t="s">
        <v>39</v>
      </c>
      <c r="E8" t="s">
        <v>35</v>
      </c>
      <c r="F8" t="s">
        <v>36</v>
      </c>
      <c r="G8">
        <v>2022</v>
      </c>
      <c r="H8" s="97" t="s">
        <v>99</v>
      </c>
    </row>
    <row r="9" spans="1:10" ht="29" x14ac:dyDescent="0.35">
      <c r="A9" t="s">
        <v>30</v>
      </c>
      <c r="B9" t="s">
        <v>31</v>
      </c>
      <c r="C9" t="s">
        <v>33</v>
      </c>
      <c r="D9" t="s">
        <v>34</v>
      </c>
      <c r="E9" t="s">
        <v>35</v>
      </c>
      <c r="F9" t="s">
        <v>38</v>
      </c>
      <c r="G9">
        <v>3498</v>
      </c>
      <c r="H9" s="97" t="s">
        <v>99</v>
      </c>
    </row>
    <row r="10" spans="1:10" ht="29" x14ac:dyDescent="0.35">
      <c r="A10" t="s">
        <v>41</v>
      </c>
      <c r="B10" t="s">
        <v>31</v>
      </c>
      <c r="C10" t="s">
        <v>33</v>
      </c>
      <c r="D10" t="s">
        <v>37</v>
      </c>
      <c r="E10" t="s">
        <v>35</v>
      </c>
      <c r="F10" t="s">
        <v>36</v>
      </c>
      <c r="G10">
        <v>3951</v>
      </c>
      <c r="H10" s="97" t="s">
        <v>99</v>
      </c>
    </row>
    <row r="11" spans="1:10" ht="29" x14ac:dyDescent="0.35">
      <c r="A11" t="s">
        <v>41</v>
      </c>
      <c r="B11" t="s">
        <v>31</v>
      </c>
      <c r="C11" t="s">
        <v>33</v>
      </c>
      <c r="D11" t="s">
        <v>37</v>
      </c>
      <c r="E11" t="s">
        <v>35</v>
      </c>
      <c r="F11" t="s">
        <v>38</v>
      </c>
      <c r="G11">
        <v>4498</v>
      </c>
      <c r="H11" s="97" t="s">
        <v>99</v>
      </c>
    </row>
    <row r="12" spans="1:10" ht="29" x14ac:dyDescent="0.35">
      <c r="A12" t="s">
        <v>41</v>
      </c>
      <c r="B12" t="s">
        <v>31</v>
      </c>
      <c r="C12" t="s">
        <v>33</v>
      </c>
      <c r="D12" t="s">
        <v>40</v>
      </c>
      <c r="E12" t="s">
        <v>35</v>
      </c>
      <c r="F12" t="s">
        <v>36</v>
      </c>
      <c r="G12">
        <v>2216</v>
      </c>
      <c r="H12" s="97" t="s">
        <v>99</v>
      </c>
    </row>
    <row r="13" spans="1:10" ht="29" x14ac:dyDescent="0.35">
      <c r="A13" t="s">
        <v>41</v>
      </c>
      <c r="B13" t="s">
        <v>31</v>
      </c>
      <c r="C13" t="s">
        <v>33</v>
      </c>
      <c r="D13" t="s">
        <v>40</v>
      </c>
      <c r="E13" t="s">
        <v>35</v>
      </c>
      <c r="F13" t="s">
        <v>38</v>
      </c>
      <c r="G13">
        <v>2340</v>
      </c>
      <c r="H13" s="97" t="s">
        <v>99</v>
      </c>
    </row>
    <row r="14" spans="1:10" ht="29" x14ac:dyDescent="0.35">
      <c r="A14" t="s">
        <v>41</v>
      </c>
      <c r="B14" t="s">
        <v>31</v>
      </c>
      <c r="C14" t="s">
        <v>33</v>
      </c>
      <c r="D14" t="s">
        <v>39</v>
      </c>
      <c r="E14" t="s">
        <v>35</v>
      </c>
      <c r="F14" t="s">
        <v>36</v>
      </c>
      <c r="G14">
        <v>3864</v>
      </c>
      <c r="H14" s="97" t="s">
        <v>99</v>
      </c>
    </row>
    <row r="15" spans="1:10" ht="29" x14ac:dyDescent="0.35">
      <c r="A15" t="s">
        <v>41</v>
      </c>
      <c r="B15" t="s">
        <v>31</v>
      </c>
      <c r="C15" t="s">
        <v>33</v>
      </c>
      <c r="D15" t="s">
        <v>39</v>
      </c>
      <c r="E15" t="s">
        <v>35</v>
      </c>
      <c r="F15" t="s">
        <v>38</v>
      </c>
      <c r="G15">
        <v>1812</v>
      </c>
      <c r="H15" s="97" t="s">
        <v>99</v>
      </c>
    </row>
    <row r="16" spans="1:10" ht="29" x14ac:dyDescent="0.35">
      <c r="A16" t="s">
        <v>41</v>
      </c>
      <c r="B16" t="s">
        <v>31</v>
      </c>
      <c r="C16" t="s">
        <v>33</v>
      </c>
      <c r="D16" t="s">
        <v>34</v>
      </c>
      <c r="E16" t="s">
        <v>35</v>
      </c>
      <c r="F16" t="s">
        <v>36</v>
      </c>
      <c r="G16">
        <v>4978</v>
      </c>
      <c r="H16" s="97" t="s">
        <v>99</v>
      </c>
    </row>
    <row r="17" spans="1:8" ht="29" x14ac:dyDescent="0.35">
      <c r="A17" t="s">
        <v>41</v>
      </c>
      <c r="B17" t="s">
        <v>31</v>
      </c>
      <c r="C17" t="s">
        <v>33</v>
      </c>
      <c r="D17" t="s">
        <v>34</v>
      </c>
      <c r="E17" t="s">
        <v>35</v>
      </c>
      <c r="F17" t="s">
        <v>38</v>
      </c>
      <c r="G17">
        <v>2719</v>
      </c>
      <c r="H17" s="97" t="s">
        <v>99</v>
      </c>
    </row>
    <row r="18" spans="1:8" ht="29" x14ac:dyDescent="0.35">
      <c r="A18" t="s">
        <v>42</v>
      </c>
      <c r="B18" t="s">
        <v>31</v>
      </c>
      <c r="C18" t="s">
        <v>33</v>
      </c>
      <c r="D18" t="s">
        <v>37</v>
      </c>
      <c r="E18" t="s">
        <v>35</v>
      </c>
      <c r="F18" t="s">
        <v>36</v>
      </c>
      <c r="G18">
        <v>2146</v>
      </c>
      <c r="H18" s="97" t="s">
        <v>99</v>
      </c>
    </row>
    <row r="19" spans="1:8" ht="29" x14ac:dyDescent="0.35">
      <c r="A19" t="s">
        <v>42</v>
      </c>
      <c r="B19" t="s">
        <v>31</v>
      </c>
      <c r="C19" t="s">
        <v>33</v>
      </c>
      <c r="D19" t="s">
        <v>37</v>
      </c>
      <c r="E19" t="s">
        <v>35</v>
      </c>
      <c r="F19" t="s">
        <v>38</v>
      </c>
      <c r="G19">
        <v>4269</v>
      </c>
      <c r="H19" s="97" t="s">
        <v>99</v>
      </c>
    </row>
    <row r="20" spans="1:8" ht="29" x14ac:dyDescent="0.35">
      <c r="A20" t="s">
        <v>42</v>
      </c>
      <c r="B20" t="s">
        <v>31</v>
      </c>
      <c r="C20" t="s">
        <v>33</v>
      </c>
      <c r="D20" t="s">
        <v>40</v>
      </c>
      <c r="E20" t="s">
        <v>35</v>
      </c>
      <c r="F20" t="s">
        <v>36</v>
      </c>
      <c r="G20">
        <v>1285</v>
      </c>
      <c r="H20" s="97" t="s">
        <v>99</v>
      </c>
    </row>
    <row r="21" spans="1:8" ht="29" x14ac:dyDescent="0.35">
      <c r="A21" t="s">
        <v>42</v>
      </c>
      <c r="B21" t="s">
        <v>31</v>
      </c>
      <c r="C21" t="s">
        <v>33</v>
      </c>
      <c r="D21" t="s">
        <v>40</v>
      </c>
      <c r="E21" t="s">
        <v>35</v>
      </c>
      <c r="F21" t="s">
        <v>38</v>
      </c>
      <c r="G21">
        <v>2437</v>
      </c>
      <c r="H21" s="97" t="s">
        <v>99</v>
      </c>
    </row>
    <row r="22" spans="1:8" ht="29" x14ac:dyDescent="0.35">
      <c r="A22" t="s">
        <v>42</v>
      </c>
      <c r="B22" t="s">
        <v>31</v>
      </c>
      <c r="C22" t="s">
        <v>33</v>
      </c>
      <c r="D22" t="s">
        <v>39</v>
      </c>
      <c r="E22" t="s">
        <v>35</v>
      </c>
      <c r="F22" t="s">
        <v>36</v>
      </c>
      <c r="G22">
        <v>3395</v>
      </c>
      <c r="H22" s="97" t="s">
        <v>99</v>
      </c>
    </row>
    <row r="23" spans="1:8" ht="29" x14ac:dyDescent="0.35">
      <c r="A23" t="s">
        <v>42</v>
      </c>
      <c r="B23" t="s">
        <v>31</v>
      </c>
      <c r="C23" t="s">
        <v>33</v>
      </c>
      <c r="D23" t="s">
        <v>39</v>
      </c>
      <c r="E23" t="s">
        <v>35</v>
      </c>
      <c r="F23" t="s">
        <v>38</v>
      </c>
      <c r="G23">
        <v>2703</v>
      </c>
      <c r="H23" s="97" t="s">
        <v>99</v>
      </c>
    </row>
    <row r="24" spans="1:8" ht="29" x14ac:dyDescent="0.35">
      <c r="A24" t="s">
        <v>42</v>
      </c>
      <c r="B24" t="s">
        <v>31</v>
      </c>
      <c r="C24" t="s">
        <v>33</v>
      </c>
      <c r="D24" t="s">
        <v>34</v>
      </c>
      <c r="E24" t="s">
        <v>35</v>
      </c>
      <c r="F24" t="s">
        <v>36</v>
      </c>
      <c r="G24">
        <v>4184</v>
      </c>
      <c r="H24" s="97" t="s">
        <v>99</v>
      </c>
    </row>
    <row r="25" spans="1:8" ht="29" x14ac:dyDescent="0.35">
      <c r="A25" t="s">
        <v>42</v>
      </c>
      <c r="B25" t="s">
        <v>31</v>
      </c>
      <c r="C25" t="s">
        <v>33</v>
      </c>
      <c r="D25" t="s">
        <v>34</v>
      </c>
      <c r="E25" t="s">
        <v>35</v>
      </c>
      <c r="F25" t="s">
        <v>38</v>
      </c>
      <c r="G25">
        <v>1693</v>
      </c>
      <c r="H25" s="97" t="s">
        <v>99</v>
      </c>
    </row>
  </sheetData>
  <phoneticPr fontId="19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7E9A4-DAC4-41EF-8416-76C883968C21}">
  <dimension ref="A1:I13"/>
  <sheetViews>
    <sheetView zoomScale="175" zoomScaleNormal="175" workbookViewId="0">
      <selection activeCell="E13" sqref="E13"/>
    </sheetView>
  </sheetViews>
  <sheetFormatPr defaultRowHeight="14.5" x14ac:dyDescent="0.35"/>
  <cols>
    <col min="1" max="1" width="26.54296875" bestFit="1" customWidth="1"/>
  </cols>
  <sheetData>
    <row r="1" spans="1:9" x14ac:dyDescent="0.35">
      <c r="A1" s="1" t="s">
        <v>103</v>
      </c>
      <c r="B1" s="2" t="s">
        <v>104</v>
      </c>
      <c r="C1" s="2" t="s">
        <v>105</v>
      </c>
      <c r="D1" s="2" t="s">
        <v>106</v>
      </c>
      <c r="E1" s="2" t="s">
        <v>107</v>
      </c>
      <c r="H1" s="5" t="s">
        <v>0</v>
      </c>
    </row>
    <row r="2" spans="1:9" x14ac:dyDescent="0.35">
      <c r="A2" s="3" t="s">
        <v>108</v>
      </c>
      <c r="B2" s="98">
        <v>29120</v>
      </c>
      <c r="C2" s="45">
        <v>19162</v>
      </c>
      <c r="D2" s="45">
        <v>19219</v>
      </c>
      <c r="E2" s="45">
        <v>13240</v>
      </c>
      <c r="H2" t="s">
        <v>109</v>
      </c>
      <c r="I2" s="4"/>
    </row>
    <row r="3" spans="1:9" x14ac:dyDescent="0.35">
      <c r="A3" s="3" t="s">
        <v>110</v>
      </c>
      <c r="B3" s="45">
        <v>15154</v>
      </c>
      <c r="C3" s="45">
        <v>24516</v>
      </c>
      <c r="D3" s="45">
        <v>29110</v>
      </c>
      <c r="E3" s="45">
        <v>28228</v>
      </c>
      <c r="H3" t="s">
        <v>111</v>
      </c>
      <c r="I3" s="4"/>
    </row>
    <row r="4" spans="1:9" x14ac:dyDescent="0.35">
      <c r="A4" s="3" t="s">
        <v>112</v>
      </c>
      <c r="B4" s="45">
        <v>12005</v>
      </c>
      <c r="C4" s="45">
        <v>20728</v>
      </c>
      <c r="D4" s="98">
        <v>25454</v>
      </c>
      <c r="E4" s="45">
        <v>28650</v>
      </c>
      <c r="H4" t="s">
        <v>113</v>
      </c>
    </row>
    <row r="5" spans="1:9" x14ac:dyDescent="0.35">
      <c r="A5" s="3" t="s">
        <v>114</v>
      </c>
      <c r="B5" s="45">
        <v>12724</v>
      </c>
      <c r="C5" s="45">
        <v>20714</v>
      </c>
      <c r="D5" s="45">
        <v>16969</v>
      </c>
      <c r="E5" s="45">
        <v>19777</v>
      </c>
    </row>
    <row r="6" spans="1:9" x14ac:dyDescent="0.35">
      <c r="A6" s="3" t="s">
        <v>115</v>
      </c>
      <c r="B6" s="98">
        <v>29893</v>
      </c>
      <c r="C6" s="98">
        <v>25585</v>
      </c>
      <c r="D6" s="45">
        <v>15244</v>
      </c>
      <c r="E6" s="98">
        <v>22373</v>
      </c>
    </row>
    <row r="7" spans="1:9" x14ac:dyDescent="0.35">
      <c r="A7" s="3" t="s">
        <v>116</v>
      </c>
      <c r="B7" s="45">
        <v>19505</v>
      </c>
      <c r="C7" s="45">
        <v>26123</v>
      </c>
      <c r="D7" s="45">
        <v>14444</v>
      </c>
      <c r="E7" s="45">
        <v>25501</v>
      </c>
    </row>
    <row r="8" spans="1:9" x14ac:dyDescent="0.35">
      <c r="A8" s="3" t="s">
        <v>117</v>
      </c>
      <c r="B8" s="98">
        <v>13074</v>
      </c>
      <c r="C8" s="45">
        <v>10495</v>
      </c>
      <c r="D8" s="45">
        <v>21567</v>
      </c>
      <c r="E8" s="45">
        <v>12334</v>
      </c>
    </row>
    <row r="9" spans="1:9" x14ac:dyDescent="0.35">
      <c r="A9" s="3" t="s">
        <v>118</v>
      </c>
      <c r="B9" s="45">
        <v>12818</v>
      </c>
      <c r="C9" s="45">
        <v>26835</v>
      </c>
      <c r="D9" s="45">
        <v>28948</v>
      </c>
      <c r="E9" s="98">
        <v>11872</v>
      </c>
    </row>
    <row r="10" spans="1:9" x14ac:dyDescent="0.35">
      <c r="A10" s="3" t="s">
        <v>119</v>
      </c>
      <c r="B10" s="45">
        <v>24981</v>
      </c>
      <c r="C10" s="45">
        <v>16197</v>
      </c>
      <c r="D10" s="45">
        <v>19031</v>
      </c>
      <c r="E10" s="45">
        <v>16269</v>
      </c>
    </row>
    <row r="11" spans="1:9" x14ac:dyDescent="0.35">
      <c r="A11" s="3" t="s">
        <v>120</v>
      </c>
      <c r="B11" s="45">
        <v>24555</v>
      </c>
      <c r="C11" s="98">
        <v>19244</v>
      </c>
      <c r="D11" s="98">
        <v>12817</v>
      </c>
      <c r="E11" s="45">
        <v>15713</v>
      </c>
    </row>
    <row r="12" spans="1:9" x14ac:dyDescent="0.35">
      <c r="A12" s="3" t="s">
        <v>121</v>
      </c>
      <c r="B12" s="45">
        <v>27825</v>
      </c>
      <c r="C12" s="45">
        <v>26673</v>
      </c>
      <c r="D12" s="45">
        <v>21549</v>
      </c>
      <c r="E12" s="45">
        <v>20681</v>
      </c>
    </row>
    <row r="13" spans="1:9" x14ac:dyDescent="0.35">
      <c r="A13" s="3" t="s">
        <v>122</v>
      </c>
      <c r="B13" s="45">
        <v>23815</v>
      </c>
      <c r="C13" s="45">
        <v>26861</v>
      </c>
      <c r="D13" s="45">
        <v>20381</v>
      </c>
      <c r="E13" s="98">
        <v>22299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7647-8678-4F0A-AE12-15CBBC17E83D}">
  <dimension ref="A1:G10"/>
  <sheetViews>
    <sheetView zoomScale="180" zoomScaleNormal="180" workbookViewId="0">
      <selection activeCell="G2" sqref="G2"/>
    </sheetView>
  </sheetViews>
  <sheetFormatPr defaultRowHeight="14.5" x14ac:dyDescent="0.35"/>
  <cols>
    <col min="1" max="1" width="5.26953125" bestFit="1" customWidth="1"/>
    <col min="2" max="6" width="9.26953125" customWidth="1"/>
    <col min="7" max="7" width="10.453125" bestFit="1" customWidth="1"/>
  </cols>
  <sheetData>
    <row r="1" spans="1:7" x14ac:dyDescent="0.35">
      <c r="A1" s="59" t="s">
        <v>123</v>
      </c>
      <c r="B1" s="59" t="s">
        <v>124</v>
      </c>
      <c r="C1" s="59" t="s">
        <v>125</v>
      </c>
      <c r="D1" s="59" t="s">
        <v>126</v>
      </c>
      <c r="E1" s="59" t="s">
        <v>127</v>
      </c>
      <c r="F1" s="59" t="s">
        <v>128</v>
      </c>
      <c r="G1" s="59" t="s">
        <v>129</v>
      </c>
    </row>
    <row r="2" spans="1:7" x14ac:dyDescent="0.35">
      <c r="A2" s="58">
        <v>1</v>
      </c>
      <c r="B2" s="58" t="s">
        <v>130</v>
      </c>
      <c r="C2" s="58">
        <v>159</v>
      </c>
      <c r="D2" s="58">
        <v>173</v>
      </c>
      <c r="E2" s="58">
        <v>135</v>
      </c>
      <c r="F2" s="58">
        <f>SUM(C2:E2)</f>
        <v>467</v>
      </c>
      <c r="G2" s="58"/>
    </row>
    <row r="3" spans="1:7" x14ac:dyDescent="0.35">
      <c r="A3" s="58">
        <v>2</v>
      </c>
      <c r="B3" s="58" t="s">
        <v>131</v>
      </c>
      <c r="C3" s="58">
        <v>168</v>
      </c>
      <c r="D3" s="58">
        <v>169</v>
      </c>
      <c r="E3" s="58">
        <v>180</v>
      </c>
      <c r="F3" s="58">
        <f t="shared" ref="F3:F5" si="0">SUM(C3:E3)</f>
        <v>517</v>
      </c>
      <c r="G3" s="58"/>
    </row>
    <row r="4" spans="1:7" x14ac:dyDescent="0.35">
      <c r="A4" s="58">
        <v>3</v>
      </c>
      <c r="B4" s="58" t="s">
        <v>132</v>
      </c>
      <c r="C4" s="58">
        <v>133</v>
      </c>
      <c r="D4" s="58">
        <v>159</v>
      </c>
      <c r="E4" s="58">
        <v>144</v>
      </c>
      <c r="F4" s="58">
        <f t="shared" si="0"/>
        <v>436</v>
      </c>
      <c r="G4" s="58"/>
    </row>
    <row r="5" spans="1:7" x14ac:dyDescent="0.35">
      <c r="A5" s="58">
        <v>4</v>
      </c>
      <c r="B5" s="58" t="s">
        <v>133</v>
      </c>
      <c r="C5" s="58">
        <v>166</v>
      </c>
      <c r="D5" s="58">
        <v>184</v>
      </c>
      <c r="E5" s="58">
        <v>149</v>
      </c>
      <c r="F5" s="58">
        <f t="shared" si="0"/>
        <v>499</v>
      </c>
      <c r="G5" s="58"/>
    </row>
    <row r="8" spans="1:7" x14ac:dyDescent="0.35">
      <c r="A8" s="60" t="s">
        <v>134</v>
      </c>
    </row>
    <row r="9" spans="1:7" x14ac:dyDescent="0.35">
      <c r="A9" t="s">
        <v>135</v>
      </c>
    </row>
    <row r="10" spans="1:7" x14ac:dyDescent="0.35">
      <c r="A10" t="s">
        <v>136</v>
      </c>
    </row>
  </sheetData>
  <phoneticPr fontId="1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E66E0-3ABF-475B-ACFD-C7F2E1E76B97}">
  <dimension ref="A1:K67"/>
  <sheetViews>
    <sheetView zoomScale="115" zoomScaleNormal="115" workbookViewId="0">
      <selection activeCell="B10" sqref="B10:H12"/>
    </sheetView>
  </sheetViews>
  <sheetFormatPr defaultColWidth="9.1796875" defaultRowHeight="13" x14ac:dyDescent="0.3"/>
  <cols>
    <col min="1" max="1" width="26.7265625" style="21" bestFit="1" customWidth="1"/>
    <col min="2" max="7" width="12.7265625" style="21" bestFit="1" customWidth="1"/>
    <col min="8" max="8" width="13.81640625" style="21" bestFit="1" customWidth="1"/>
    <col min="9" max="16384" width="9.1796875" style="21"/>
  </cols>
  <sheetData>
    <row r="1" spans="1:11" ht="14.5" x14ac:dyDescent="0.35">
      <c r="A1" s="20" t="s">
        <v>137</v>
      </c>
      <c r="B1"/>
      <c r="C1"/>
      <c r="D1"/>
      <c r="E1"/>
      <c r="F1"/>
      <c r="G1"/>
      <c r="H1"/>
      <c r="K1" s="60" t="s">
        <v>0</v>
      </c>
    </row>
    <row r="2" spans="1:11" ht="14.5" x14ac:dyDescent="0.35">
      <c r="A2" s="22"/>
      <c r="B2"/>
      <c r="C2"/>
      <c r="D2"/>
      <c r="E2"/>
      <c r="F2"/>
      <c r="G2"/>
      <c r="H2"/>
      <c r="K2" t="s">
        <v>138</v>
      </c>
    </row>
    <row r="3" spans="1:11" ht="14.5" x14ac:dyDescent="0.35">
      <c r="A3" s="22" t="s">
        <v>139</v>
      </c>
      <c r="B3" s="62">
        <v>2019</v>
      </c>
      <c r="C3" s="62">
        <v>2020</v>
      </c>
      <c r="D3" s="62">
        <v>2021</v>
      </c>
      <c r="E3" s="62">
        <v>2022</v>
      </c>
      <c r="F3" s="62">
        <v>2023</v>
      </c>
      <c r="G3" s="62">
        <v>2024</v>
      </c>
      <c r="H3" s="62" t="s">
        <v>128</v>
      </c>
      <c r="K3"/>
    </row>
    <row r="4" spans="1:11" ht="14.5" x14ac:dyDescent="0.35">
      <c r="A4" t="s">
        <v>140</v>
      </c>
      <c r="B4">
        <v>1491130</v>
      </c>
      <c r="C4">
        <v>1452706</v>
      </c>
      <c r="D4">
        <v>1507427</v>
      </c>
      <c r="E4">
        <v>1426132</v>
      </c>
      <c r="F4">
        <v>1345068</v>
      </c>
      <c r="G4">
        <v>1063127</v>
      </c>
      <c r="H4" s="29">
        <f>SUM(B4:G4)</f>
        <v>8285590</v>
      </c>
    </row>
    <row r="5" spans="1:11" ht="14.5" x14ac:dyDescent="0.35">
      <c r="A5" t="s">
        <v>141</v>
      </c>
      <c r="B5">
        <v>317776</v>
      </c>
      <c r="C5">
        <v>317599</v>
      </c>
      <c r="D5">
        <v>342125</v>
      </c>
      <c r="E5">
        <v>381556</v>
      </c>
      <c r="F5">
        <v>373949</v>
      </c>
      <c r="G5">
        <v>368126</v>
      </c>
      <c r="H5" s="29">
        <f>SUM(B5:G5)</f>
        <v>2101131</v>
      </c>
    </row>
    <row r="6" spans="1:11" ht="14.5" x14ac:dyDescent="0.35">
      <c r="A6" t="s">
        <v>142</v>
      </c>
      <c r="B6">
        <v>578329</v>
      </c>
      <c r="C6">
        <v>545644</v>
      </c>
      <c r="D6">
        <v>462748</v>
      </c>
      <c r="E6">
        <v>471324</v>
      </c>
      <c r="F6">
        <v>458755</v>
      </c>
      <c r="G6">
        <v>533591</v>
      </c>
      <c r="H6" s="29">
        <f>SUM(B6:G6)</f>
        <v>3050391</v>
      </c>
    </row>
    <row r="7" spans="1:11" ht="14.5" x14ac:dyDescent="0.35">
      <c r="A7" t="s">
        <v>143</v>
      </c>
      <c r="B7" s="30">
        <f t="shared" ref="B7:G7" si="0">SUM(B4:B6)</f>
        <v>2387235</v>
      </c>
      <c r="C7" s="30">
        <f t="shared" si="0"/>
        <v>2315949</v>
      </c>
      <c r="D7" s="30">
        <f t="shared" si="0"/>
        <v>2312300</v>
      </c>
      <c r="E7" s="30">
        <f t="shared" si="0"/>
        <v>2279012</v>
      </c>
      <c r="F7" s="30">
        <f t="shared" si="0"/>
        <v>2177772</v>
      </c>
      <c r="G7" s="30">
        <f t="shared" si="0"/>
        <v>1964844</v>
      </c>
      <c r="H7" s="30">
        <f>SUM(B7:G7)</f>
        <v>13437112</v>
      </c>
    </row>
    <row r="8" spans="1:11" ht="14.5" x14ac:dyDescent="0.35">
      <c r="A8"/>
      <c r="B8" s="23"/>
      <c r="C8" s="23"/>
      <c r="D8" s="23"/>
      <c r="E8" s="23"/>
      <c r="F8" s="23"/>
      <c r="G8" s="23"/>
      <c r="H8" s="23"/>
    </row>
    <row r="9" spans="1:11" ht="14.5" x14ac:dyDescent="0.35">
      <c r="A9" s="22" t="s">
        <v>144</v>
      </c>
      <c r="B9"/>
      <c r="C9"/>
      <c r="D9"/>
      <c r="E9"/>
      <c r="F9"/>
      <c r="G9"/>
      <c r="H9"/>
    </row>
    <row r="10" spans="1:11" ht="14.5" x14ac:dyDescent="0.35">
      <c r="A10" t="s">
        <v>145</v>
      </c>
      <c r="B10" s="99">
        <v>1342471</v>
      </c>
      <c r="C10" s="99">
        <v>1276004</v>
      </c>
      <c r="D10" s="99">
        <v>1380166</v>
      </c>
      <c r="E10" s="99">
        <v>1190726</v>
      </c>
      <c r="F10" s="99">
        <v>1313880</v>
      </c>
      <c r="G10" s="99">
        <v>1321234</v>
      </c>
      <c r="H10" s="100">
        <f>SUM(B10:G10)</f>
        <v>7824481</v>
      </c>
    </row>
    <row r="11" spans="1:11" ht="14.5" x14ac:dyDescent="0.35">
      <c r="A11" t="s">
        <v>146</v>
      </c>
      <c r="B11" s="99">
        <v>1044764</v>
      </c>
      <c r="C11" s="99">
        <v>1039945</v>
      </c>
      <c r="D11" s="99">
        <v>932134</v>
      </c>
      <c r="E11" s="99">
        <v>1088286</v>
      </c>
      <c r="F11" s="99">
        <v>863892</v>
      </c>
      <c r="G11" s="99">
        <v>643610</v>
      </c>
      <c r="H11" s="100">
        <f>SUM(B11:G11)</f>
        <v>5612631</v>
      </c>
    </row>
    <row r="12" spans="1:11" ht="14.5" x14ac:dyDescent="0.35">
      <c r="A12" t="s">
        <v>147</v>
      </c>
      <c r="B12" s="101">
        <f t="shared" ref="B12:G12" si="1">SUM(B10:B11)</f>
        <v>2387235</v>
      </c>
      <c r="C12" s="101">
        <f t="shared" si="1"/>
        <v>2315949</v>
      </c>
      <c r="D12" s="101">
        <f t="shared" si="1"/>
        <v>2312300</v>
      </c>
      <c r="E12" s="101">
        <f t="shared" si="1"/>
        <v>2279012</v>
      </c>
      <c r="F12" s="101">
        <f t="shared" si="1"/>
        <v>2177772</v>
      </c>
      <c r="G12" s="101">
        <f t="shared" si="1"/>
        <v>1964844</v>
      </c>
      <c r="H12" s="101">
        <f>SUM(B12:G12)</f>
        <v>13437112</v>
      </c>
    </row>
    <row r="13" spans="1:11" ht="14.5" x14ac:dyDescent="0.35">
      <c r="A13"/>
      <c r="B13"/>
      <c r="C13"/>
      <c r="D13"/>
      <c r="E13"/>
      <c r="F13"/>
    </row>
    <row r="14" spans="1:11" ht="14.5" x14ac:dyDescent="0.35">
      <c r="A14"/>
      <c r="B14"/>
      <c r="C14"/>
      <c r="D14"/>
      <c r="E14"/>
      <c r="F14"/>
    </row>
    <row r="15" spans="1:11" ht="14.5" x14ac:dyDescent="0.35">
      <c r="A15" s="5"/>
    </row>
    <row r="16" spans="1:11" ht="14.5" x14ac:dyDescent="0.35">
      <c r="A16"/>
    </row>
    <row r="17" spans="1:6" ht="14.5" x14ac:dyDescent="0.35">
      <c r="A17"/>
    </row>
    <row r="18" spans="1:6" x14ac:dyDescent="0.3">
      <c r="B18" s="24"/>
      <c r="C18" s="24"/>
      <c r="D18" s="24"/>
      <c r="E18" s="24"/>
      <c r="F18" s="25"/>
    </row>
    <row r="35" spans="2:6" x14ac:dyDescent="0.3">
      <c r="B35" s="25"/>
      <c r="C35" s="25"/>
      <c r="D35" s="25"/>
      <c r="E35" s="25"/>
      <c r="F35" s="25"/>
    </row>
    <row r="52" spans="2:6" x14ac:dyDescent="0.3">
      <c r="B52" s="25"/>
      <c r="C52" s="25"/>
      <c r="D52" s="25"/>
      <c r="E52" s="25"/>
      <c r="F52" s="25"/>
    </row>
    <row r="67" spans="2:6" x14ac:dyDescent="0.3">
      <c r="B67" s="25"/>
      <c r="C67" s="25"/>
      <c r="D67" s="25"/>
      <c r="E67" s="25"/>
      <c r="F67" s="25"/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62DB1-BA9B-49B9-AFB6-797C0B2AA4F6}">
  <dimension ref="A1:J30"/>
  <sheetViews>
    <sheetView zoomScale="140" zoomScaleNormal="150" workbookViewId="0">
      <selection activeCell="B11" sqref="B11"/>
    </sheetView>
  </sheetViews>
  <sheetFormatPr defaultRowHeight="14.5" x14ac:dyDescent="0.35"/>
  <sheetData>
    <row r="1" spans="1:10" x14ac:dyDescent="0.35">
      <c r="A1" s="61" t="s">
        <v>148</v>
      </c>
      <c r="B1" s="61" t="s">
        <v>149</v>
      </c>
      <c r="C1" s="61" t="s">
        <v>150</v>
      </c>
      <c r="D1" s="61" t="s">
        <v>151</v>
      </c>
      <c r="E1" s="61" t="s">
        <v>152</v>
      </c>
      <c r="F1" s="61" t="s">
        <v>153</v>
      </c>
      <c r="G1" s="61" t="s">
        <v>154</v>
      </c>
      <c r="J1" s="60" t="s">
        <v>0</v>
      </c>
    </row>
    <row r="2" spans="1:10" x14ac:dyDescent="0.35">
      <c r="A2">
        <v>2</v>
      </c>
      <c r="B2">
        <v>4</v>
      </c>
      <c r="C2">
        <v>2</v>
      </c>
      <c r="D2">
        <v>2</v>
      </c>
      <c r="J2" t="s">
        <v>155</v>
      </c>
    </row>
    <row r="3" spans="1:10" x14ac:dyDescent="0.35">
      <c r="A3">
        <v>4</v>
      </c>
      <c r="B3">
        <v>2</v>
      </c>
      <c r="C3">
        <v>10</v>
      </c>
      <c r="D3">
        <v>4</v>
      </c>
    </row>
    <row r="5" spans="1:10" x14ac:dyDescent="0.35">
      <c r="A5" s="29">
        <f>SUM(A2:A4)</f>
        <v>6</v>
      </c>
      <c r="B5" s="29">
        <f>B2-B3</f>
        <v>2</v>
      </c>
      <c r="C5" s="29">
        <f>C3/C2</f>
        <v>5</v>
      </c>
      <c r="D5" s="29">
        <f>D3*D2</f>
        <v>8</v>
      </c>
      <c r="E5" s="29">
        <f>MIN(A2:D3)</f>
        <v>2</v>
      </c>
      <c r="F5" s="29">
        <f>MAX(A2:D3)</f>
        <v>10</v>
      </c>
      <c r="G5" s="29">
        <f>AVERAGE(A2:D3)</f>
        <v>3.75</v>
      </c>
    </row>
    <row r="8" spans="1:10" x14ac:dyDescent="0.35">
      <c r="A8" s="61" t="s">
        <v>129</v>
      </c>
      <c r="B8" s="61"/>
    </row>
    <row r="9" spans="1:10" x14ac:dyDescent="0.35">
      <c r="A9" t="s">
        <v>156</v>
      </c>
      <c r="B9" t="s">
        <v>157</v>
      </c>
    </row>
    <row r="10" spans="1:10" x14ac:dyDescent="0.35">
      <c r="A10">
        <v>100000</v>
      </c>
      <c r="B10">
        <f>A10*13%</f>
        <v>13000</v>
      </c>
    </row>
    <row r="12" spans="1:10" x14ac:dyDescent="0.35">
      <c r="A12" t="s">
        <v>156</v>
      </c>
      <c r="B12" t="s">
        <v>158</v>
      </c>
      <c r="C12" t="s">
        <v>157</v>
      </c>
    </row>
    <row r="13" spans="1:10" x14ac:dyDescent="0.35">
      <c r="A13">
        <v>10000</v>
      </c>
      <c r="B13" s="27"/>
    </row>
    <row r="14" spans="1:10" x14ac:dyDescent="0.35">
      <c r="A14">
        <v>250000</v>
      </c>
      <c r="B14" s="27"/>
    </row>
    <row r="15" spans="1:10" x14ac:dyDescent="0.35">
      <c r="B15" s="27"/>
    </row>
    <row r="16" spans="1:10" x14ac:dyDescent="0.35">
      <c r="B16" s="27"/>
    </row>
    <row r="30" spans="2:2" x14ac:dyDescent="0.35">
      <c r="B30" s="2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C2ADD-30FB-4171-B17E-67BE5F3B9E32}">
  <dimension ref="A1:I58"/>
  <sheetViews>
    <sheetView topLeftCell="A2" zoomScale="121" zoomScaleNormal="140" workbookViewId="0">
      <selection activeCell="C49" sqref="C49"/>
    </sheetView>
  </sheetViews>
  <sheetFormatPr defaultRowHeight="14.5" x14ac:dyDescent="0.35"/>
  <cols>
    <col min="1" max="1" width="41.54296875" bestFit="1" customWidth="1"/>
    <col min="2" max="2" width="10.453125" bestFit="1" customWidth="1"/>
    <col min="3" max="3" width="14.81640625" bestFit="1" customWidth="1"/>
    <col min="4" max="4" width="14.26953125" bestFit="1" customWidth="1"/>
    <col min="6" max="6" width="11.1796875" bestFit="1" customWidth="1"/>
  </cols>
  <sheetData>
    <row r="1" spans="1:9" x14ac:dyDescent="0.35">
      <c r="A1" s="109" t="s">
        <v>159</v>
      </c>
      <c r="B1" s="109" t="s">
        <v>160</v>
      </c>
      <c r="C1" s="109" t="s">
        <v>161</v>
      </c>
      <c r="D1" s="36" t="s">
        <v>162</v>
      </c>
      <c r="I1" s="60" t="s">
        <v>0</v>
      </c>
    </row>
    <row r="2" spans="1:9" ht="15" thickBot="1" x14ac:dyDescent="0.4">
      <c r="A2" s="110"/>
      <c r="B2" s="110"/>
      <c r="C2" s="110"/>
      <c r="D2" s="37" t="s">
        <v>163</v>
      </c>
      <c r="F2" t="s">
        <v>164</v>
      </c>
      <c r="I2" t="s">
        <v>155</v>
      </c>
    </row>
    <row r="3" spans="1:9" ht="15" thickBot="1" x14ac:dyDescent="0.4">
      <c r="A3" s="38" t="s">
        <v>165</v>
      </c>
      <c r="B3" s="39">
        <v>45576</v>
      </c>
      <c r="C3" s="40" t="s">
        <v>166</v>
      </c>
      <c r="D3" s="41">
        <v>229147</v>
      </c>
      <c r="F3" t="s">
        <v>167</v>
      </c>
      <c r="I3" t="s">
        <v>168</v>
      </c>
    </row>
    <row r="4" spans="1:9" ht="15" thickBot="1" x14ac:dyDescent="0.4">
      <c r="A4" s="38" t="s">
        <v>169</v>
      </c>
      <c r="B4" s="39">
        <v>45576</v>
      </c>
      <c r="C4" s="40" t="s">
        <v>166</v>
      </c>
      <c r="D4" s="41">
        <v>213633</v>
      </c>
      <c r="F4" t="s">
        <v>170</v>
      </c>
    </row>
    <row r="5" spans="1:9" ht="15" thickBot="1" x14ac:dyDescent="0.4">
      <c r="A5" s="38" t="s">
        <v>171</v>
      </c>
      <c r="B5" s="39">
        <v>45576</v>
      </c>
      <c r="C5" s="40" t="s">
        <v>166</v>
      </c>
      <c r="D5" s="41">
        <v>203796</v>
      </c>
      <c r="F5" t="s">
        <v>172</v>
      </c>
    </row>
    <row r="6" spans="1:9" ht="15" thickBot="1" x14ac:dyDescent="0.4">
      <c r="A6" s="38" t="s">
        <v>173</v>
      </c>
      <c r="B6" s="39">
        <v>45576</v>
      </c>
      <c r="C6" s="40" t="s">
        <v>166</v>
      </c>
      <c r="D6" s="41">
        <v>188122</v>
      </c>
      <c r="F6" t="s">
        <v>174</v>
      </c>
    </row>
    <row r="7" spans="1:9" ht="15" thickBot="1" x14ac:dyDescent="0.4">
      <c r="A7" s="38" t="s">
        <v>175</v>
      </c>
      <c r="B7" s="39">
        <v>45576</v>
      </c>
      <c r="C7" s="40" t="s">
        <v>166</v>
      </c>
      <c r="D7" s="41">
        <v>230262</v>
      </c>
      <c r="F7" t="s">
        <v>176</v>
      </c>
    </row>
    <row r="8" spans="1:9" ht="15" thickBot="1" x14ac:dyDescent="0.4">
      <c r="A8" s="38" t="s">
        <v>177</v>
      </c>
      <c r="B8" s="39">
        <v>45576</v>
      </c>
      <c r="C8" s="40" t="s">
        <v>166</v>
      </c>
      <c r="D8" s="41"/>
    </row>
    <row r="9" spans="1:9" ht="15" thickBot="1" x14ac:dyDescent="0.4">
      <c r="A9" s="38" t="s">
        <v>178</v>
      </c>
      <c r="B9" s="39">
        <v>45576</v>
      </c>
      <c r="C9" s="40" t="s">
        <v>166</v>
      </c>
      <c r="D9" s="41">
        <v>217227</v>
      </c>
    </row>
    <row r="10" spans="1:9" ht="15" thickBot="1" x14ac:dyDescent="0.4">
      <c r="A10" s="38" t="s">
        <v>179</v>
      </c>
      <c r="B10" s="39">
        <v>45576</v>
      </c>
      <c r="C10" s="40" t="s">
        <v>166</v>
      </c>
      <c r="D10" s="41">
        <v>190767</v>
      </c>
    </row>
    <row r="11" spans="1:9" ht="15" thickBot="1" x14ac:dyDescent="0.4">
      <c r="A11" s="38" t="s">
        <v>180</v>
      </c>
      <c r="B11" s="39">
        <v>45576</v>
      </c>
      <c r="C11" s="40" t="s">
        <v>166</v>
      </c>
      <c r="D11" s="41">
        <v>122729</v>
      </c>
    </row>
    <row r="12" spans="1:9" ht="15" thickBot="1" x14ac:dyDescent="0.4">
      <c r="A12" s="38" t="s">
        <v>181</v>
      </c>
      <c r="B12" s="39">
        <v>45576</v>
      </c>
      <c r="C12" s="40" t="s">
        <v>166</v>
      </c>
      <c r="D12" s="41">
        <v>111825</v>
      </c>
    </row>
    <row r="13" spans="1:9" ht="15" thickBot="1" x14ac:dyDescent="0.4">
      <c r="A13" s="38" t="s">
        <v>182</v>
      </c>
      <c r="B13" s="39">
        <v>45576</v>
      </c>
      <c r="C13" s="40" t="s">
        <v>166</v>
      </c>
      <c r="D13" s="41">
        <v>197398</v>
      </c>
    </row>
    <row r="14" spans="1:9" ht="15" thickBot="1" x14ac:dyDescent="0.4">
      <c r="A14" s="38" t="s">
        <v>183</v>
      </c>
      <c r="B14" s="39">
        <v>45576</v>
      </c>
      <c r="C14" s="40" t="s">
        <v>166</v>
      </c>
      <c r="D14" s="41"/>
    </row>
    <row r="15" spans="1:9" ht="15" thickBot="1" x14ac:dyDescent="0.4">
      <c r="A15" s="38" t="s">
        <v>184</v>
      </c>
      <c r="B15" s="39">
        <v>45576</v>
      </c>
      <c r="C15" s="40" t="s">
        <v>166</v>
      </c>
      <c r="D15" s="41">
        <v>159430</v>
      </c>
    </row>
    <row r="16" spans="1:9" ht="15" thickBot="1" x14ac:dyDescent="0.4">
      <c r="A16" s="38" t="s">
        <v>185</v>
      </c>
      <c r="B16" s="39">
        <v>45576</v>
      </c>
      <c r="C16" s="40" t="s">
        <v>166</v>
      </c>
      <c r="D16" s="41">
        <v>191049</v>
      </c>
    </row>
    <row r="17" spans="1:4" ht="15" thickBot="1" x14ac:dyDescent="0.4">
      <c r="A17" s="38" t="s">
        <v>186</v>
      </c>
      <c r="B17" s="39">
        <v>45576</v>
      </c>
      <c r="C17" s="40" t="s">
        <v>166</v>
      </c>
      <c r="D17" s="41">
        <v>262525</v>
      </c>
    </row>
    <row r="18" spans="1:4" ht="15" thickBot="1" x14ac:dyDescent="0.4">
      <c r="A18" s="38" t="s">
        <v>187</v>
      </c>
      <c r="B18" s="39">
        <v>45576</v>
      </c>
      <c r="C18" s="40" t="s">
        <v>166</v>
      </c>
      <c r="D18" s="41">
        <v>151117</v>
      </c>
    </row>
    <row r="19" spans="1:4" ht="15" thickBot="1" x14ac:dyDescent="0.4">
      <c r="A19" s="38" t="s">
        <v>188</v>
      </c>
      <c r="B19" s="39">
        <v>45576</v>
      </c>
      <c r="C19" s="40" t="s">
        <v>166</v>
      </c>
      <c r="D19" s="41"/>
    </row>
    <row r="20" spans="1:4" ht="15" thickBot="1" x14ac:dyDescent="0.4">
      <c r="A20" s="38" t="s">
        <v>189</v>
      </c>
      <c r="B20" s="39">
        <v>45576</v>
      </c>
      <c r="C20" s="40" t="s">
        <v>166</v>
      </c>
      <c r="D20" s="41">
        <v>280567</v>
      </c>
    </row>
    <row r="21" spans="1:4" ht="15" thickBot="1" x14ac:dyDescent="0.4">
      <c r="A21" s="38" t="s">
        <v>190</v>
      </c>
      <c r="B21" s="39">
        <v>45576</v>
      </c>
      <c r="C21" s="40" t="s">
        <v>166</v>
      </c>
      <c r="D21" s="41">
        <v>146189</v>
      </c>
    </row>
    <row r="22" spans="1:4" ht="15" thickBot="1" x14ac:dyDescent="0.4">
      <c r="A22" s="42" t="s">
        <v>191</v>
      </c>
      <c r="B22" s="39">
        <v>45576</v>
      </c>
      <c r="C22" s="40" t="s">
        <v>166</v>
      </c>
      <c r="D22" s="43">
        <v>267855</v>
      </c>
    </row>
    <row r="23" spans="1:4" ht="15" thickBot="1" x14ac:dyDescent="0.4">
      <c r="A23" s="42" t="s">
        <v>192</v>
      </c>
      <c r="B23" s="39">
        <v>45576</v>
      </c>
      <c r="C23" s="40" t="s">
        <v>166</v>
      </c>
      <c r="D23" s="43">
        <v>156610</v>
      </c>
    </row>
    <row r="24" spans="1:4" ht="15" thickBot="1" x14ac:dyDescent="0.4">
      <c r="A24" s="42" t="s">
        <v>193</v>
      </c>
      <c r="B24" s="39">
        <v>45576</v>
      </c>
      <c r="C24" s="40" t="s">
        <v>166</v>
      </c>
      <c r="D24" s="43">
        <v>191136</v>
      </c>
    </row>
    <row r="25" spans="1:4" ht="15" thickBot="1" x14ac:dyDescent="0.4">
      <c r="A25" s="42" t="s">
        <v>194</v>
      </c>
      <c r="B25" s="39">
        <v>45576</v>
      </c>
      <c r="C25" s="40" t="s">
        <v>166</v>
      </c>
      <c r="D25" s="43">
        <v>161873</v>
      </c>
    </row>
    <row r="26" spans="1:4" ht="15" thickBot="1" x14ac:dyDescent="0.4">
      <c r="A26" s="42" t="s">
        <v>195</v>
      </c>
      <c r="B26" s="39">
        <v>45576</v>
      </c>
      <c r="C26" s="40" t="s">
        <v>166</v>
      </c>
      <c r="D26" s="43">
        <v>129475</v>
      </c>
    </row>
    <row r="27" spans="1:4" ht="15" thickBot="1" x14ac:dyDescent="0.4">
      <c r="A27" s="42" t="s">
        <v>196</v>
      </c>
      <c r="B27" s="39">
        <v>45576</v>
      </c>
      <c r="C27" s="40" t="s">
        <v>166</v>
      </c>
      <c r="D27" s="43">
        <v>189525</v>
      </c>
    </row>
    <row r="28" spans="1:4" ht="15" thickBot="1" x14ac:dyDescent="0.4">
      <c r="A28" s="42" t="s">
        <v>197</v>
      </c>
      <c r="B28" s="39">
        <v>45576</v>
      </c>
      <c r="C28" s="40" t="s">
        <v>166</v>
      </c>
      <c r="D28" s="43">
        <v>190639</v>
      </c>
    </row>
    <row r="29" spans="1:4" ht="15" thickBot="1" x14ac:dyDescent="0.4">
      <c r="A29" s="42" t="s">
        <v>198</v>
      </c>
      <c r="B29" s="39">
        <v>45576</v>
      </c>
      <c r="C29" s="40" t="s">
        <v>166</v>
      </c>
      <c r="D29" s="43">
        <v>159892</v>
      </c>
    </row>
    <row r="30" spans="1:4" ht="15" thickBot="1" x14ac:dyDescent="0.4">
      <c r="A30" s="42" t="s">
        <v>199</v>
      </c>
      <c r="B30" s="39">
        <v>45576</v>
      </c>
      <c r="C30" s="40" t="s">
        <v>166</v>
      </c>
      <c r="D30" s="43">
        <v>250222</v>
      </c>
    </row>
    <row r="31" spans="1:4" ht="15" thickBot="1" x14ac:dyDescent="0.4">
      <c r="A31" s="42" t="s">
        <v>200</v>
      </c>
      <c r="B31" s="39">
        <v>45576</v>
      </c>
      <c r="C31" s="40" t="s">
        <v>166</v>
      </c>
      <c r="D31" s="43">
        <v>134485</v>
      </c>
    </row>
    <row r="32" spans="1:4" ht="15" thickBot="1" x14ac:dyDescent="0.4">
      <c r="A32" s="42" t="s">
        <v>201</v>
      </c>
      <c r="B32" s="39">
        <v>45576</v>
      </c>
      <c r="C32" s="40" t="s">
        <v>166</v>
      </c>
      <c r="D32" s="43">
        <v>190170</v>
      </c>
    </row>
    <row r="33" spans="1:4" ht="15" thickBot="1" x14ac:dyDescent="0.4">
      <c r="A33" s="42" t="s">
        <v>202</v>
      </c>
      <c r="B33" s="39">
        <v>45576</v>
      </c>
      <c r="C33" s="40" t="s">
        <v>166</v>
      </c>
      <c r="D33" s="44">
        <v>181146</v>
      </c>
    </row>
    <row r="34" spans="1:4" ht="15" thickBot="1" x14ac:dyDescent="0.4">
      <c r="A34" s="42" t="s">
        <v>203</v>
      </c>
      <c r="B34" s="39">
        <v>45576</v>
      </c>
      <c r="C34" s="40" t="s">
        <v>166</v>
      </c>
      <c r="D34" s="43">
        <v>121283</v>
      </c>
    </row>
    <row r="35" spans="1:4" ht="15" thickBot="1" x14ac:dyDescent="0.4">
      <c r="A35" s="42" t="s">
        <v>204</v>
      </c>
      <c r="B35" s="39">
        <v>45576</v>
      </c>
      <c r="C35" s="40" t="s">
        <v>166</v>
      </c>
      <c r="D35" s="43">
        <v>203471</v>
      </c>
    </row>
    <row r="36" spans="1:4" ht="15" thickBot="1" x14ac:dyDescent="0.4">
      <c r="A36" s="42" t="s">
        <v>205</v>
      </c>
      <c r="B36" s="39">
        <v>45576</v>
      </c>
      <c r="C36" s="40" t="s">
        <v>166</v>
      </c>
      <c r="D36" s="43">
        <v>169343</v>
      </c>
    </row>
    <row r="37" spans="1:4" ht="15" thickBot="1" x14ac:dyDescent="0.4">
      <c r="A37" s="42" t="s">
        <v>206</v>
      </c>
      <c r="B37" s="39">
        <v>45576</v>
      </c>
      <c r="C37" s="40" t="s">
        <v>166</v>
      </c>
      <c r="D37" s="43">
        <v>136522</v>
      </c>
    </row>
    <row r="38" spans="1:4" ht="15" thickBot="1" x14ac:dyDescent="0.4">
      <c r="A38" s="42" t="s">
        <v>207</v>
      </c>
      <c r="B38" s="39">
        <v>45576</v>
      </c>
      <c r="C38" s="40" t="s">
        <v>166</v>
      </c>
      <c r="D38" s="43">
        <v>221415</v>
      </c>
    </row>
    <row r="39" spans="1:4" ht="15" thickBot="1" x14ac:dyDescent="0.4">
      <c r="A39" s="42" t="s">
        <v>208</v>
      </c>
      <c r="B39" s="39">
        <v>45576</v>
      </c>
      <c r="C39" s="40" t="s">
        <v>166</v>
      </c>
      <c r="D39" s="43">
        <v>251696</v>
      </c>
    </row>
    <row r="40" spans="1:4" ht="15" thickBot="1" x14ac:dyDescent="0.4">
      <c r="A40" s="42" t="s">
        <v>209</v>
      </c>
      <c r="B40" s="39">
        <v>45576</v>
      </c>
      <c r="C40" s="40" t="s">
        <v>166</v>
      </c>
      <c r="D40" s="43">
        <v>221665</v>
      </c>
    </row>
    <row r="41" spans="1:4" ht="15" thickBot="1" x14ac:dyDescent="0.4">
      <c r="A41" s="42" t="s">
        <v>210</v>
      </c>
      <c r="B41" s="39">
        <v>45576</v>
      </c>
      <c r="C41" s="40" t="s">
        <v>166</v>
      </c>
      <c r="D41" s="43">
        <v>275555</v>
      </c>
    </row>
    <row r="42" spans="1:4" ht="15" thickBot="1" x14ac:dyDescent="0.4">
      <c r="A42" s="42" t="s">
        <v>211</v>
      </c>
      <c r="B42" s="39">
        <v>45576</v>
      </c>
      <c r="C42" s="40" t="s">
        <v>166</v>
      </c>
      <c r="D42" s="43">
        <v>143909</v>
      </c>
    </row>
    <row r="43" spans="1:4" ht="15" thickBot="1" x14ac:dyDescent="0.4">
      <c r="A43" s="42" t="s">
        <v>212</v>
      </c>
      <c r="B43" s="39">
        <v>45576</v>
      </c>
      <c r="C43" s="40" t="s">
        <v>166</v>
      </c>
      <c r="D43" s="43">
        <v>102876</v>
      </c>
    </row>
    <row r="44" spans="1:4" ht="15" thickBot="1" x14ac:dyDescent="0.4">
      <c r="A44" s="42" t="s">
        <v>213</v>
      </c>
      <c r="B44" s="39">
        <v>45576</v>
      </c>
      <c r="C44" s="40" t="s">
        <v>166</v>
      </c>
      <c r="D44" s="43">
        <v>182358</v>
      </c>
    </row>
    <row r="45" spans="1:4" ht="15" thickBot="1" x14ac:dyDescent="0.4">
      <c r="A45" s="42" t="s">
        <v>214</v>
      </c>
      <c r="B45" s="39">
        <v>45576</v>
      </c>
      <c r="C45" s="40" t="s">
        <v>166</v>
      </c>
      <c r="D45" s="43">
        <v>208388</v>
      </c>
    </row>
    <row r="46" spans="1:4" ht="15" thickBot="1" x14ac:dyDescent="0.4">
      <c r="A46" s="42" t="s">
        <v>215</v>
      </c>
      <c r="B46" s="39">
        <v>45576</v>
      </c>
      <c r="C46" s="40" t="s">
        <v>166</v>
      </c>
      <c r="D46" s="43">
        <v>171272</v>
      </c>
    </row>
    <row r="47" spans="1:4" ht="15" thickBot="1" x14ac:dyDescent="0.4">
      <c r="A47" s="42" t="s">
        <v>216</v>
      </c>
      <c r="B47" s="39">
        <v>45576</v>
      </c>
      <c r="C47" s="40" t="s">
        <v>166</v>
      </c>
      <c r="D47" s="43">
        <v>258583</v>
      </c>
    </row>
    <row r="48" spans="1:4" ht="15" thickBot="1" x14ac:dyDescent="0.4">
      <c r="A48" s="42" t="s">
        <v>217</v>
      </c>
      <c r="B48" s="39">
        <v>45576</v>
      </c>
      <c r="C48" s="40" t="s">
        <v>166</v>
      </c>
      <c r="D48" s="43">
        <v>145902</v>
      </c>
    </row>
    <row r="49" spans="1:4" x14ac:dyDescent="0.35">
      <c r="A49" s="53"/>
      <c r="B49" s="54"/>
      <c r="C49" s="55"/>
      <c r="D49" s="102">
        <f>SUM(D3:D25)</f>
        <v>3873257</v>
      </c>
    </row>
    <row r="50" spans="1:4" x14ac:dyDescent="0.35">
      <c r="A50" s="53"/>
      <c r="B50" s="54"/>
      <c r="C50" s="55"/>
      <c r="D50" s="56"/>
    </row>
    <row r="51" spans="1:4" x14ac:dyDescent="0.35">
      <c r="A51" s="53"/>
      <c r="B51" s="54"/>
      <c r="C51" s="55"/>
      <c r="D51" s="56"/>
    </row>
    <row r="52" spans="1:4" x14ac:dyDescent="0.35">
      <c r="A52" s="53"/>
      <c r="B52" s="54"/>
      <c r="C52" s="55"/>
      <c r="D52" s="56"/>
    </row>
    <row r="53" spans="1:4" x14ac:dyDescent="0.35">
      <c r="A53" s="53"/>
      <c r="B53" s="54"/>
      <c r="C53" s="55"/>
      <c r="D53" s="56"/>
    </row>
    <row r="54" spans="1:4" x14ac:dyDescent="0.35">
      <c r="A54" s="53"/>
      <c r="B54" s="54"/>
      <c r="C54" s="55"/>
      <c r="D54" s="56"/>
    </row>
    <row r="55" spans="1:4" x14ac:dyDescent="0.35">
      <c r="A55" s="53"/>
      <c r="B55" s="54"/>
      <c r="C55" s="55"/>
      <c r="D55" s="56"/>
    </row>
    <row r="56" spans="1:4" x14ac:dyDescent="0.35">
      <c r="D56" s="32"/>
    </row>
    <row r="58" spans="1:4" x14ac:dyDescent="0.35">
      <c r="A58" s="5"/>
    </row>
  </sheetData>
  <mergeCells count="3">
    <mergeCell ref="A1:A2"/>
    <mergeCell ref="B1:B2"/>
    <mergeCell ref="C1:C2"/>
  </mergeCells>
  <pageMargins left="0.7" right="0.7" top="0.75" bottom="0.75" header="0.3" footer="0.3"/>
  <pageSetup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7E7BD-423A-4829-A0DD-7009F5F753DC}">
  <dimension ref="A1:I13"/>
  <sheetViews>
    <sheetView zoomScale="129" zoomScaleNormal="175" workbookViewId="0">
      <selection activeCell="F1" sqref="F1"/>
    </sheetView>
  </sheetViews>
  <sheetFormatPr defaultRowHeight="14.5" x14ac:dyDescent="0.35"/>
  <cols>
    <col min="1" max="1" width="26.54296875" bestFit="1" customWidth="1"/>
  </cols>
  <sheetData>
    <row r="1" spans="1:9" x14ac:dyDescent="0.35">
      <c r="A1" s="63" t="s">
        <v>103</v>
      </c>
      <c r="B1" s="64" t="s">
        <v>104</v>
      </c>
      <c r="C1" s="64" t="s">
        <v>105</v>
      </c>
      <c r="D1" s="64" t="s">
        <v>106</v>
      </c>
      <c r="E1" s="64" t="s">
        <v>107</v>
      </c>
      <c r="H1" s="5" t="s">
        <v>0</v>
      </c>
    </row>
    <row r="2" spans="1:9" x14ac:dyDescent="0.35">
      <c r="A2" s="65" t="s">
        <v>108</v>
      </c>
      <c r="B2" s="65">
        <v>29120</v>
      </c>
      <c r="C2" s="65">
        <v>19162</v>
      </c>
      <c r="D2" s="65">
        <v>19219</v>
      </c>
      <c r="E2" s="65">
        <v>13240</v>
      </c>
      <c r="F2">
        <f>SUM(B2:E2)</f>
        <v>80741</v>
      </c>
      <c r="H2" t="s">
        <v>218</v>
      </c>
      <c r="I2" s="4"/>
    </row>
    <row r="3" spans="1:9" x14ac:dyDescent="0.35">
      <c r="A3" s="65" t="s">
        <v>110</v>
      </c>
      <c r="B3" s="65">
        <v>15154</v>
      </c>
      <c r="C3" s="65">
        <v>24516</v>
      </c>
      <c r="D3" s="65">
        <v>29110</v>
      </c>
      <c r="E3" s="65">
        <v>28228</v>
      </c>
      <c r="F3">
        <f t="shared" ref="F3:F13" si="0">SUM(B3:E3)</f>
        <v>97008</v>
      </c>
      <c r="H3" t="s">
        <v>219</v>
      </c>
      <c r="I3" s="4"/>
    </row>
    <row r="4" spans="1:9" x14ac:dyDescent="0.35">
      <c r="A4" s="65" t="s">
        <v>112</v>
      </c>
      <c r="B4" s="65">
        <v>12005</v>
      </c>
      <c r="C4" s="65">
        <v>20728</v>
      </c>
      <c r="D4" s="65">
        <v>25454</v>
      </c>
      <c r="E4" s="65">
        <v>28650</v>
      </c>
      <c r="F4">
        <f t="shared" si="0"/>
        <v>86837</v>
      </c>
      <c r="H4" t="s">
        <v>220</v>
      </c>
    </row>
    <row r="5" spans="1:9" x14ac:dyDescent="0.35">
      <c r="A5" s="65" t="s">
        <v>114</v>
      </c>
      <c r="B5" s="65">
        <v>12724</v>
      </c>
      <c r="C5" s="65">
        <v>20714</v>
      </c>
      <c r="D5" s="65">
        <v>16969</v>
      </c>
      <c r="E5" s="65">
        <v>19777</v>
      </c>
      <c r="F5">
        <f t="shared" si="0"/>
        <v>70184</v>
      </c>
    </row>
    <row r="6" spans="1:9" x14ac:dyDescent="0.35">
      <c r="A6" s="65" t="s">
        <v>115</v>
      </c>
      <c r="B6" s="65">
        <v>29893</v>
      </c>
      <c r="C6" s="65">
        <v>25585</v>
      </c>
      <c r="D6" s="65">
        <v>15244</v>
      </c>
      <c r="E6" s="65">
        <v>22373</v>
      </c>
      <c r="F6">
        <f t="shared" si="0"/>
        <v>93095</v>
      </c>
    </row>
    <row r="7" spans="1:9" x14ac:dyDescent="0.35">
      <c r="A7" s="65" t="s">
        <v>116</v>
      </c>
      <c r="B7" s="65">
        <v>19505</v>
      </c>
      <c r="C7" s="65">
        <v>26123</v>
      </c>
      <c r="D7" s="65">
        <v>14444</v>
      </c>
      <c r="E7" s="65">
        <v>25501</v>
      </c>
      <c r="F7">
        <f t="shared" si="0"/>
        <v>85573</v>
      </c>
    </row>
    <row r="8" spans="1:9" x14ac:dyDescent="0.35">
      <c r="A8" s="65" t="s">
        <v>117</v>
      </c>
      <c r="B8" s="65">
        <v>13074</v>
      </c>
      <c r="C8" s="65">
        <v>10495</v>
      </c>
      <c r="D8" s="65">
        <v>21567</v>
      </c>
      <c r="E8" s="65">
        <v>12334</v>
      </c>
      <c r="F8">
        <f t="shared" si="0"/>
        <v>57470</v>
      </c>
    </row>
    <row r="9" spans="1:9" x14ac:dyDescent="0.35">
      <c r="A9" s="65" t="s">
        <v>118</v>
      </c>
      <c r="B9" s="65">
        <v>12818</v>
      </c>
      <c r="C9" s="65">
        <v>26835</v>
      </c>
      <c r="D9" s="65">
        <v>28948</v>
      </c>
      <c r="E9" s="65">
        <v>11872</v>
      </c>
      <c r="F9">
        <f t="shared" si="0"/>
        <v>80473</v>
      </c>
    </row>
    <row r="10" spans="1:9" x14ac:dyDescent="0.35">
      <c r="A10" s="65" t="s">
        <v>119</v>
      </c>
      <c r="B10" s="65">
        <v>24981</v>
      </c>
      <c r="C10" s="65">
        <v>16197</v>
      </c>
      <c r="D10" s="65">
        <v>19031</v>
      </c>
      <c r="E10" s="65">
        <v>16269</v>
      </c>
      <c r="F10">
        <f t="shared" si="0"/>
        <v>76478</v>
      </c>
    </row>
    <row r="11" spans="1:9" x14ac:dyDescent="0.35">
      <c r="A11" s="65" t="s">
        <v>120</v>
      </c>
      <c r="B11" s="65">
        <v>24555</v>
      </c>
      <c r="C11" s="65">
        <v>19244</v>
      </c>
      <c r="D11" s="65">
        <v>12817</v>
      </c>
      <c r="E11" s="65">
        <v>15713</v>
      </c>
      <c r="F11">
        <f t="shared" si="0"/>
        <v>72329</v>
      </c>
    </row>
    <row r="12" spans="1:9" x14ac:dyDescent="0.35">
      <c r="A12" s="65" t="s">
        <v>121</v>
      </c>
      <c r="B12" s="65">
        <v>27825</v>
      </c>
      <c r="C12" s="65">
        <v>26673</v>
      </c>
      <c r="D12" s="65">
        <v>21549</v>
      </c>
      <c r="E12" s="65">
        <v>20681</v>
      </c>
      <c r="F12">
        <f t="shared" si="0"/>
        <v>96728</v>
      </c>
    </row>
    <row r="13" spans="1:9" x14ac:dyDescent="0.35">
      <c r="A13" s="65" t="s">
        <v>122</v>
      </c>
      <c r="B13" s="65">
        <v>23815</v>
      </c>
      <c r="C13" s="65">
        <v>26861</v>
      </c>
      <c r="D13" s="65">
        <v>20381</v>
      </c>
      <c r="E13" s="65">
        <v>22299</v>
      </c>
      <c r="F13">
        <f t="shared" si="0"/>
        <v>93356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A3DB0-24AF-4E6F-8FED-53E5B4CF85C8}">
  <dimension ref="A1:L1537"/>
  <sheetViews>
    <sheetView zoomScale="101" zoomScaleNormal="130" workbookViewId="0">
      <selection activeCell="L12" sqref="L12"/>
    </sheetView>
  </sheetViews>
  <sheetFormatPr defaultColWidth="8.81640625" defaultRowHeight="12.5" x14ac:dyDescent="0.25"/>
  <cols>
    <col min="1" max="1" width="8.81640625" style="26"/>
    <col min="2" max="2" width="9.7265625" style="26" bestFit="1" customWidth="1"/>
    <col min="3" max="3" width="8.81640625" style="26"/>
    <col min="4" max="4" width="10.54296875" style="26" bestFit="1" customWidth="1"/>
    <col min="5" max="5" width="10.453125" style="26" bestFit="1" customWidth="1"/>
    <col min="6" max="6" width="11" style="26" bestFit="1" customWidth="1"/>
    <col min="7" max="7" width="8.81640625" style="26"/>
    <col min="8" max="8" width="11.26953125" style="26" bestFit="1" customWidth="1"/>
    <col min="9" max="16384" width="8.81640625" style="26"/>
  </cols>
  <sheetData>
    <row r="1" spans="1:12" ht="14.5" x14ac:dyDescent="0.3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L1" s="5" t="s">
        <v>0</v>
      </c>
    </row>
    <row r="2" spans="1:12" ht="14.5" x14ac:dyDescent="0.35">
      <c r="A2">
        <v>1</v>
      </c>
      <c r="B2" t="s">
        <v>30</v>
      </c>
      <c r="C2" t="s">
        <v>31</v>
      </c>
      <c r="D2" t="s">
        <v>32</v>
      </c>
      <c r="E2" t="s">
        <v>33</v>
      </c>
      <c r="F2" t="s">
        <v>37</v>
      </c>
      <c r="G2" t="s">
        <v>35</v>
      </c>
      <c r="H2" t="s">
        <v>36</v>
      </c>
      <c r="I2">
        <v>50</v>
      </c>
      <c r="L2" t="s">
        <v>221</v>
      </c>
    </row>
    <row r="3" spans="1:12" ht="14.5" x14ac:dyDescent="0.35">
      <c r="A3">
        <v>1</v>
      </c>
      <c r="B3" t="s">
        <v>30</v>
      </c>
      <c r="C3" t="s">
        <v>31</v>
      </c>
      <c r="D3" t="s">
        <v>53</v>
      </c>
      <c r="E3" t="s">
        <v>54</v>
      </c>
      <c r="F3" t="s">
        <v>55</v>
      </c>
      <c r="G3" t="s">
        <v>52</v>
      </c>
      <c r="H3" t="s">
        <v>36</v>
      </c>
      <c r="I3">
        <v>50</v>
      </c>
      <c r="L3" t="s">
        <v>222</v>
      </c>
    </row>
    <row r="4" spans="1:12" ht="14.5" x14ac:dyDescent="0.35">
      <c r="A4">
        <v>1</v>
      </c>
      <c r="B4" t="s">
        <v>30</v>
      </c>
      <c r="C4" t="s">
        <v>31</v>
      </c>
      <c r="D4" t="s">
        <v>53</v>
      </c>
      <c r="E4" t="s">
        <v>54</v>
      </c>
      <c r="F4" t="s">
        <v>56</v>
      </c>
      <c r="G4" t="s">
        <v>52</v>
      </c>
      <c r="H4" t="s">
        <v>36</v>
      </c>
      <c r="I4">
        <v>50</v>
      </c>
      <c r="L4"/>
    </row>
    <row r="5" spans="1:12" ht="14.5" x14ac:dyDescent="0.35">
      <c r="A5">
        <v>1</v>
      </c>
      <c r="B5" t="s">
        <v>30</v>
      </c>
      <c r="C5" t="s">
        <v>85</v>
      </c>
      <c r="D5" t="s">
        <v>86</v>
      </c>
      <c r="E5" t="s">
        <v>87</v>
      </c>
      <c r="F5" t="s">
        <v>89</v>
      </c>
      <c r="G5" t="s">
        <v>52</v>
      </c>
      <c r="H5" t="s">
        <v>36</v>
      </c>
      <c r="I5">
        <v>50</v>
      </c>
    </row>
    <row r="6" spans="1:12" ht="14.5" x14ac:dyDescent="0.35">
      <c r="A6">
        <v>1</v>
      </c>
      <c r="B6" t="s">
        <v>30</v>
      </c>
      <c r="C6" t="s">
        <v>85</v>
      </c>
      <c r="D6" t="s">
        <v>92</v>
      </c>
      <c r="E6" t="s">
        <v>93</v>
      </c>
      <c r="F6" t="s">
        <v>95</v>
      </c>
      <c r="G6" t="s">
        <v>35</v>
      </c>
      <c r="H6" t="s">
        <v>36</v>
      </c>
      <c r="I6">
        <v>50</v>
      </c>
    </row>
    <row r="7" spans="1:12" ht="14.5" x14ac:dyDescent="0.35">
      <c r="A7">
        <v>1</v>
      </c>
      <c r="B7" t="s">
        <v>30</v>
      </c>
      <c r="C7" t="s">
        <v>85</v>
      </c>
      <c r="D7" t="s">
        <v>92</v>
      </c>
      <c r="E7" t="s">
        <v>93</v>
      </c>
      <c r="F7" t="s">
        <v>96</v>
      </c>
      <c r="G7" t="s">
        <v>52</v>
      </c>
      <c r="H7" t="s">
        <v>36</v>
      </c>
      <c r="I7">
        <v>50</v>
      </c>
    </row>
    <row r="8" spans="1:12" ht="14.5" x14ac:dyDescent="0.35">
      <c r="A8">
        <v>1</v>
      </c>
      <c r="B8" t="s">
        <v>30</v>
      </c>
      <c r="C8" t="s">
        <v>59</v>
      </c>
      <c r="D8" t="s">
        <v>66</v>
      </c>
      <c r="E8" t="s">
        <v>67</v>
      </c>
      <c r="F8" t="s">
        <v>69</v>
      </c>
      <c r="G8" t="s">
        <v>35</v>
      </c>
      <c r="H8" t="s">
        <v>36</v>
      </c>
      <c r="I8">
        <v>50</v>
      </c>
    </row>
    <row r="9" spans="1:12" ht="14.5" x14ac:dyDescent="0.35">
      <c r="A9">
        <v>1</v>
      </c>
      <c r="B9" t="s">
        <v>30</v>
      </c>
      <c r="C9" t="s">
        <v>72</v>
      </c>
      <c r="D9" t="s">
        <v>73</v>
      </c>
      <c r="E9" t="s">
        <v>74</v>
      </c>
      <c r="F9" t="s">
        <v>76</v>
      </c>
      <c r="G9" t="s">
        <v>52</v>
      </c>
      <c r="H9" t="s">
        <v>36</v>
      </c>
      <c r="I9">
        <v>50</v>
      </c>
    </row>
    <row r="10" spans="1:12" ht="14.5" x14ac:dyDescent="0.35">
      <c r="A10">
        <v>1</v>
      </c>
      <c r="B10" t="s">
        <v>30</v>
      </c>
      <c r="C10" t="s">
        <v>72</v>
      </c>
      <c r="D10" t="s">
        <v>73</v>
      </c>
      <c r="E10" t="s">
        <v>74</v>
      </c>
      <c r="F10" t="s">
        <v>77</v>
      </c>
      <c r="G10" t="s">
        <v>35</v>
      </c>
      <c r="H10" t="s">
        <v>36</v>
      </c>
      <c r="I10">
        <v>50</v>
      </c>
    </row>
    <row r="11" spans="1:12" ht="14.5" x14ac:dyDescent="0.35">
      <c r="A11">
        <v>1</v>
      </c>
      <c r="B11" t="s">
        <v>30</v>
      </c>
      <c r="C11" t="s">
        <v>72</v>
      </c>
      <c r="D11" t="s">
        <v>79</v>
      </c>
      <c r="E11" t="s">
        <v>80</v>
      </c>
      <c r="F11" t="s">
        <v>82</v>
      </c>
      <c r="G11" t="s">
        <v>52</v>
      </c>
      <c r="H11" t="s">
        <v>36</v>
      </c>
      <c r="I11">
        <v>50</v>
      </c>
    </row>
    <row r="12" spans="1:12" ht="14.5" x14ac:dyDescent="0.35">
      <c r="A12">
        <v>1</v>
      </c>
      <c r="B12" t="s">
        <v>41</v>
      </c>
      <c r="C12" t="s">
        <v>31</v>
      </c>
      <c r="D12" t="s">
        <v>32</v>
      </c>
      <c r="E12" t="s">
        <v>33</v>
      </c>
      <c r="F12" t="s">
        <v>37</v>
      </c>
      <c r="G12" t="s">
        <v>35</v>
      </c>
      <c r="H12" t="s">
        <v>36</v>
      </c>
      <c r="I12">
        <v>50</v>
      </c>
    </row>
    <row r="13" spans="1:12" ht="14.5" x14ac:dyDescent="0.35">
      <c r="A13">
        <v>1</v>
      </c>
      <c r="B13" t="s">
        <v>41</v>
      </c>
      <c r="C13" t="s">
        <v>31</v>
      </c>
      <c r="D13" t="s">
        <v>53</v>
      </c>
      <c r="E13" t="s">
        <v>54</v>
      </c>
      <c r="F13" t="s">
        <v>55</v>
      </c>
      <c r="G13" t="s">
        <v>35</v>
      </c>
      <c r="H13" t="s">
        <v>36</v>
      </c>
      <c r="I13">
        <v>50</v>
      </c>
    </row>
    <row r="14" spans="1:12" ht="14.5" x14ac:dyDescent="0.35">
      <c r="A14">
        <v>1</v>
      </c>
      <c r="B14" t="s">
        <v>41</v>
      </c>
      <c r="C14" t="s">
        <v>31</v>
      </c>
      <c r="D14" t="s">
        <v>53</v>
      </c>
      <c r="E14" t="s">
        <v>54</v>
      </c>
      <c r="F14" t="s">
        <v>55</v>
      </c>
      <c r="G14" t="s">
        <v>52</v>
      </c>
      <c r="H14" t="s">
        <v>36</v>
      </c>
      <c r="I14">
        <v>50</v>
      </c>
    </row>
    <row r="15" spans="1:12" ht="14.5" x14ac:dyDescent="0.35">
      <c r="A15">
        <v>1</v>
      </c>
      <c r="B15" t="s">
        <v>41</v>
      </c>
      <c r="C15" t="s">
        <v>31</v>
      </c>
      <c r="D15" t="s">
        <v>53</v>
      </c>
      <c r="E15" t="s">
        <v>54</v>
      </c>
      <c r="F15" t="s">
        <v>58</v>
      </c>
      <c r="G15" t="s">
        <v>35</v>
      </c>
      <c r="H15" t="s">
        <v>36</v>
      </c>
      <c r="I15">
        <v>50</v>
      </c>
    </row>
    <row r="16" spans="1:12" ht="14.5" x14ac:dyDescent="0.35">
      <c r="A16">
        <v>1</v>
      </c>
      <c r="B16" t="s">
        <v>41</v>
      </c>
      <c r="C16" t="s">
        <v>85</v>
      </c>
      <c r="D16" t="s">
        <v>92</v>
      </c>
      <c r="E16" t="s">
        <v>93</v>
      </c>
      <c r="F16" t="s">
        <v>94</v>
      </c>
      <c r="G16" t="s">
        <v>52</v>
      </c>
      <c r="H16" t="s">
        <v>36</v>
      </c>
      <c r="I16">
        <v>50</v>
      </c>
    </row>
    <row r="17" spans="1:9" ht="14.5" x14ac:dyDescent="0.35">
      <c r="A17">
        <v>1</v>
      </c>
      <c r="B17" t="s">
        <v>41</v>
      </c>
      <c r="C17" t="s">
        <v>72</v>
      </c>
      <c r="D17" t="s">
        <v>73</v>
      </c>
      <c r="E17" t="s">
        <v>74</v>
      </c>
      <c r="F17" t="s">
        <v>77</v>
      </c>
      <c r="G17" t="s">
        <v>52</v>
      </c>
      <c r="H17" t="s">
        <v>36</v>
      </c>
      <c r="I17">
        <v>50</v>
      </c>
    </row>
    <row r="18" spans="1:9" ht="14.5" x14ac:dyDescent="0.35">
      <c r="A18">
        <v>1</v>
      </c>
      <c r="B18" t="s">
        <v>42</v>
      </c>
      <c r="C18" t="s">
        <v>31</v>
      </c>
      <c r="D18" t="s">
        <v>32</v>
      </c>
      <c r="E18" t="s">
        <v>33</v>
      </c>
      <c r="F18" t="s">
        <v>37</v>
      </c>
      <c r="G18" t="s">
        <v>35</v>
      </c>
      <c r="H18" t="s">
        <v>36</v>
      </c>
      <c r="I18">
        <v>50</v>
      </c>
    </row>
    <row r="19" spans="1:9" ht="14.5" x14ac:dyDescent="0.35">
      <c r="A19">
        <v>1</v>
      </c>
      <c r="B19" t="s">
        <v>42</v>
      </c>
      <c r="C19" t="s">
        <v>85</v>
      </c>
      <c r="D19" t="s">
        <v>86</v>
      </c>
      <c r="E19" t="s">
        <v>87</v>
      </c>
      <c r="F19" t="s">
        <v>88</v>
      </c>
      <c r="G19" t="s">
        <v>52</v>
      </c>
      <c r="H19" t="s">
        <v>36</v>
      </c>
      <c r="I19">
        <v>50</v>
      </c>
    </row>
    <row r="20" spans="1:9" ht="14.5" x14ac:dyDescent="0.35">
      <c r="A20">
        <v>1</v>
      </c>
      <c r="B20" t="s">
        <v>42</v>
      </c>
      <c r="C20" t="s">
        <v>59</v>
      </c>
      <c r="D20" t="s">
        <v>60</v>
      </c>
      <c r="E20" t="s">
        <v>61</v>
      </c>
      <c r="F20" t="s">
        <v>63</v>
      </c>
      <c r="G20" t="s">
        <v>35</v>
      </c>
      <c r="H20" t="s">
        <v>36</v>
      </c>
      <c r="I20">
        <v>50</v>
      </c>
    </row>
    <row r="21" spans="1:9" ht="14.5" x14ac:dyDescent="0.35">
      <c r="A21">
        <v>1</v>
      </c>
      <c r="B21" t="s">
        <v>42</v>
      </c>
      <c r="C21" t="s">
        <v>59</v>
      </c>
      <c r="D21" t="s">
        <v>60</v>
      </c>
      <c r="E21" t="s">
        <v>61</v>
      </c>
      <c r="F21" t="s">
        <v>64</v>
      </c>
      <c r="G21" t="s">
        <v>52</v>
      </c>
      <c r="H21" t="s">
        <v>36</v>
      </c>
      <c r="I21">
        <v>50</v>
      </c>
    </row>
    <row r="22" spans="1:9" ht="14.5" x14ac:dyDescent="0.35">
      <c r="A22">
        <v>1</v>
      </c>
      <c r="B22" t="s">
        <v>42</v>
      </c>
      <c r="C22" t="s">
        <v>59</v>
      </c>
      <c r="D22" t="s">
        <v>66</v>
      </c>
      <c r="E22" t="s">
        <v>67</v>
      </c>
      <c r="F22" t="s">
        <v>68</v>
      </c>
      <c r="G22" t="s">
        <v>52</v>
      </c>
      <c r="H22" t="s">
        <v>36</v>
      </c>
      <c r="I22">
        <v>50</v>
      </c>
    </row>
    <row r="23" spans="1:9" ht="14.5" x14ac:dyDescent="0.35">
      <c r="A23">
        <v>1</v>
      </c>
      <c r="B23" t="s">
        <v>42</v>
      </c>
      <c r="C23" t="s">
        <v>72</v>
      </c>
      <c r="D23" t="s">
        <v>73</v>
      </c>
      <c r="E23" t="s">
        <v>74</v>
      </c>
      <c r="F23" t="s">
        <v>75</v>
      </c>
      <c r="G23" t="s">
        <v>35</v>
      </c>
      <c r="H23" t="s">
        <v>36</v>
      </c>
      <c r="I23">
        <v>50</v>
      </c>
    </row>
    <row r="24" spans="1:9" ht="14.5" x14ac:dyDescent="0.35">
      <c r="A24">
        <v>2</v>
      </c>
      <c r="B24" t="s">
        <v>43</v>
      </c>
      <c r="C24" t="s">
        <v>31</v>
      </c>
      <c r="D24" t="s">
        <v>53</v>
      </c>
      <c r="E24" t="s">
        <v>54</v>
      </c>
      <c r="F24" t="s">
        <v>55</v>
      </c>
      <c r="G24" t="s">
        <v>52</v>
      </c>
      <c r="H24" t="s">
        <v>36</v>
      </c>
      <c r="I24">
        <v>50</v>
      </c>
    </row>
    <row r="25" spans="1:9" ht="14.5" x14ac:dyDescent="0.35">
      <c r="A25">
        <v>2</v>
      </c>
      <c r="B25" t="s">
        <v>43</v>
      </c>
      <c r="C25" t="s">
        <v>85</v>
      </c>
      <c r="D25" t="s">
        <v>86</v>
      </c>
      <c r="E25" t="s">
        <v>87</v>
      </c>
      <c r="F25" t="s">
        <v>90</v>
      </c>
      <c r="G25" t="s">
        <v>52</v>
      </c>
      <c r="H25" t="s">
        <v>36</v>
      </c>
      <c r="I25">
        <v>50</v>
      </c>
    </row>
    <row r="26" spans="1:9" ht="14.5" x14ac:dyDescent="0.35">
      <c r="A26">
        <v>2</v>
      </c>
      <c r="B26" t="s">
        <v>43</v>
      </c>
      <c r="C26" t="s">
        <v>85</v>
      </c>
      <c r="D26" t="s">
        <v>92</v>
      </c>
      <c r="E26" t="s">
        <v>93</v>
      </c>
      <c r="F26" t="s">
        <v>97</v>
      </c>
      <c r="G26" t="s">
        <v>35</v>
      </c>
      <c r="H26" t="s">
        <v>36</v>
      </c>
      <c r="I26">
        <v>50</v>
      </c>
    </row>
    <row r="27" spans="1:9" ht="14.5" x14ac:dyDescent="0.35">
      <c r="A27">
        <v>2</v>
      </c>
      <c r="B27" t="s">
        <v>43</v>
      </c>
      <c r="C27" t="s">
        <v>59</v>
      </c>
      <c r="D27" t="s">
        <v>66</v>
      </c>
      <c r="E27" t="s">
        <v>67</v>
      </c>
      <c r="F27" t="s">
        <v>70</v>
      </c>
      <c r="G27" t="s">
        <v>35</v>
      </c>
      <c r="H27" t="s">
        <v>36</v>
      </c>
      <c r="I27">
        <v>50</v>
      </c>
    </row>
    <row r="28" spans="1:9" ht="14.5" x14ac:dyDescent="0.35">
      <c r="A28">
        <v>2</v>
      </c>
      <c r="B28" t="s">
        <v>45</v>
      </c>
      <c r="C28" t="s">
        <v>31</v>
      </c>
      <c r="D28" t="s">
        <v>32</v>
      </c>
      <c r="E28" t="s">
        <v>33</v>
      </c>
      <c r="F28" t="s">
        <v>34</v>
      </c>
      <c r="G28" t="s">
        <v>35</v>
      </c>
      <c r="H28" t="s">
        <v>36</v>
      </c>
      <c r="I28">
        <v>50</v>
      </c>
    </row>
    <row r="29" spans="1:9" ht="14.5" x14ac:dyDescent="0.35">
      <c r="A29">
        <v>2</v>
      </c>
      <c r="B29" t="s">
        <v>45</v>
      </c>
      <c r="C29" t="s">
        <v>85</v>
      </c>
      <c r="D29" t="s">
        <v>92</v>
      </c>
      <c r="E29" t="s">
        <v>93</v>
      </c>
      <c r="F29" t="s">
        <v>97</v>
      </c>
      <c r="G29" t="s">
        <v>35</v>
      </c>
      <c r="H29" t="s">
        <v>36</v>
      </c>
      <c r="I29">
        <v>50</v>
      </c>
    </row>
    <row r="30" spans="1:9" ht="14.5" x14ac:dyDescent="0.35">
      <c r="A30">
        <v>2</v>
      </c>
      <c r="B30" t="s">
        <v>45</v>
      </c>
      <c r="C30" t="s">
        <v>59</v>
      </c>
      <c r="D30" t="s">
        <v>66</v>
      </c>
      <c r="E30" t="s">
        <v>67</v>
      </c>
      <c r="F30" t="s">
        <v>68</v>
      </c>
      <c r="G30" t="s">
        <v>52</v>
      </c>
      <c r="H30" t="s">
        <v>36</v>
      </c>
      <c r="I30">
        <v>50</v>
      </c>
    </row>
    <row r="31" spans="1:9" ht="14.5" x14ac:dyDescent="0.35">
      <c r="A31">
        <v>2</v>
      </c>
      <c r="B31" t="s">
        <v>45</v>
      </c>
      <c r="C31" t="s">
        <v>72</v>
      </c>
      <c r="D31" t="s">
        <v>73</v>
      </c>
      <c r="E31" t="s">
        <v>74</v>
      </c>
      <c r="F31" t="s">
        <v>78</v>
      </c>
      <c r="G31" t="s">
        <v>35</v>
      </c>
      <c r="H31" t="s">
        <v>36</v>
      </c>
      <c r="I31">
        <v>50</v>
      </c>
    </row>
    <row r="32" spans="1:9" ht="14.5" x14ac:dyDescent="0.35">
      <c r="A32">
        <v>3</v>
      </c>
      <c r="B32" t="s">
        <v>46</v>
      </c>
      <c r="C32" t="s">
        <v>31</v>
      </c>
      <c r="D32" t="s">
        <v>32</v>
      </c>
      <c r="E32" t="s">
        <v>33</v>
      </c>
      <c r="F32" t="s">
        <v>39</v>
      </c>
      <c r="G32" t="s">
        <v>52</v>
      </c>
      <c r="H32" t="s">
        <v>36</v>
      </c>
      <c r="I32">
        <v>50</v>
      </c>
    </row>
    <row r="33" spans="1:9" ht="14.5" x14ac:dyDescent="0.35">
      <c r="A33">
        <v>3</v>
      </c>
      <c r="B33" t="s">
        <v>46</v>
      </c>
      <c r="C33" t="s">
        <v>85</v>
      </c>
      <c r="D33" t="s">
        <v>86</v>
      </c>
      <c r="E33" t="s">
        <v>87</v>
      </c>
      <c r="F33" t="s">
        <v>88</v>
      </c>
      <c r="G33" t="s">
        <v>35</v>
      </c>
      <c r="H33" t="s">
        <v>36</v>
      </c>
      <c r="I33">
        <v>50</v>
      </c>
    </row>
    <row r="34" spans="1:9" ht="14.5" x14ac:dyDescent="0.35">
      <c r="A34">
        <v>3</v>
      </c>
      <c r="B34" t="s">
        <v>46</v>
      </c>
      <c r="C34" t="s">
        <v>85</v>
      </c>
      <c r="D34" t="s">
        <v>86</v>
      </c>
      <c r="E34" t="s">
        <v>87</v>
      </c>
      <c r="F34" t="s">
        <v>91</v>
      </c>
      <c r="G34" t="s">
        <v>35</v>
      </c>
      <c r="H34" t="s">
        <v>36</v>
      </c>
      <c r="I34">
        <v>50</v>
      </c>
    </row>
    <row r="35" spans="1:9" ht="14.5" x14ac:dyDescent="0.35">
      <c r="A35">
        <v>3</v>
      </c>
      <c r="B35" t="s">
        <v>46</v>
      </c>
      <c r="C35" t="s">
        <v>72</v>
      </c>
      <c r="D35" t="s">
        <v>79</v>
      </c>
      <c r="E35" t="s">
        <v>80</v>
      </c>
      <c r="F35" t="s">
        <v>83</v>
      </c>
      <c r="G35" t="s">
        <v>52</v>
      </c>
      <c r="H35" t="s">
        <v>36</v>
      </c>
      <c r="I35">
        <v>50</v>
      </c>
    </row>
    <row r="36" spans="1:9" ht="14.5" x14ac:dyDescent="0.35">
      <c r="A36">
        <v>3</v>
      </c>
      <c r="B36" t="s">
        <v>47</v>
      </c>
      <c r="C36" t="s">
        <v>85</v>
      </c>
      <c r="D36" t="s">
        <v>86</v>
      </c>
      <c r="E36" t="s">
        <v>87</v>
      </c>
      <c r="F36" t="s">
        <v>88</v>
      </c>
      <c r="G36" t="s">
        <v>52</v>
      </c>
      <c r="H36" t="s">
        <v>36</v>
      </c>
      <c r="I36">
        <v>50</v>
      </c>
    </row>
    <row r="37" spans="1:9" ht="14.5" x14ac:dyDescent="0.35">
      <c r="A37">
        <v>3</v>
      </c>
      <c r="B37" t="s">
        <v>47</v>
      </c>
      <c r="C37" t="s">
        <v>72</v>
      </c>
      <c r="D37" t="s">
        <v>73</v>
      </c>
      <c r="E37" t="s">
        <v>74</v>
      </c>
      <c r="F37" t="s">
        <v>76</v>
      </c>
      <c r="G37" t="s">
        <v>35</v>
      </c>
      <c r="H37" t="s">
        <v>36</v>
      </c>
      <c r="I37">
        <v>50</v>
      </c>
    </row>
    <row r="38" spans="1:9" ht="14.5" x14ac:dyDescent="0.35">
      <c r="A38">
        <v>3</v>
      </c>
      <c r="B38" t="s">
        <v>47</v>
      </c>
      <c r="C38" t="s">
        <v>72</v>
      </c>
      <c r="D38" t="s">
        <v>73</v>
      </c>
      <c r="E38" t="s">
        <v>74</v>
      </c>
      <c r="F38" t="s">
        <v>77</v>
      </c>
      <c r="G38" t="s">
        <v>52</v>
      </c>
      <c r="H38" t="s">
        <v>36</v>
      </c>
      <c r="I38">
        <v>50</v>
      </c>
    </row>
    <row r="39" spans="1:9" ht="14.5" x14ac:dyDescent="0.35">
      <c r="A39">
        <v>3</v>
      </c>
      <c r="B39" t="s">
        <v>48</v>
      </c>
      <c r="C39" t="s">
        <v>59</v>
      </c>
      <c r="D39" t="s">
        <v>66</v>
      </c>
      <c r="E39" t="s">
        <v>67</v>
      </c>
      <c r="F39" t="s">
        <v>68</v>
      </c>
      <c r="G39" t="s">
        <v>35</v>
      </c>
      <c r="H39" t="s">
        <v>36</v>
      </c>
      <c r="I39">
        <v>50</v>
      </c>
    </row>
    <row r="40" spans="1:9" ht="14.5" x14ac:dyDescent="0.35">
      <c r="A40">
        <v>3</v>
      </c>
      <c r="B40" t="s">
        <v>48</v>
      </c>
      <c r="C40" t="s">
        <v>59</v>
      </c>
      <c r="D40" t="s">
        <v>66</v>
      </c>
      <c r="E40" t="s">
        <v>67</v>
      </c>
      <c r="F40" t="s">
        <v>68</v>
      </c>
      <c r="G40" t="s">
        <v>52</v>
      </c>
      <c r="H40" t="s">
        <v>36</v>
      </c>
      <c r="I40">
        <v>50</v>
      </c>
    </row>
    <row r="41" spans="1:9" ht="14.5" x14ac:dyDescent="0.35">
      <c r="A41">
        <v>3</v>
      </c>
      <c r="B41" t="s">
        <v>48</v>
      </c>
      <c r="C41" t="s">
        <v>72</v>
      </c>
      <c r="D41" t="s">
        <v>79</v>
      </c>
      <c r="E41" t="s">
        <v>80</v>
      </c>
      <c r="F41" t="s">
        <v>81</v>
      </c>
      <c r="G41" t="s">
        <v>52</v>
      </c>
      <c r="H41" t="s">
        <v>36</v>
      </c>
      <c r="I41">
        <v>50</v>
      </c>
    </row>
    <row r="42" spans="1:9" ht="14.5" x14ac:dyDescent="0.35">
      <c r="A42">
        <v>4</v>
      </c>
      <c r="B42" t="s">
        <v>49</v>
      </c>
      <c r="C42" t="s">
        <v>31</v>
      </c>
      <c r="D42" t="s">
        <v>32</v>
      </c>
      <c r="E42" t="s">
        <v>33</v>
      </c>
      <c r="F42" t="s">
        <v>39</v>
      </c>
      <c r="G42" t="s">
        <v>52</v>
      </c>
      <c r="H42" t="s">
        <v>36</v>
      </c>
      <c r="I42">
        <v>50</v>
      </c>
    </row>
    <row r="43" spans="1:9" ht="14.5" x14ac:dyDescent="0.35">
      <c r="A43">
        <v>4</v>
      </c>
      <c r="B43" t="s">
        <v>49</v>
      </c>
      <c r="C43" t="s">
        <v>85</v>
      </c>
      <c r="D43" t="s">
        <v>86</v>
      </c>
      <c r="E43" t="s">
        <v>87</v>
      </c>
      <c r="F43" t="s">
        <v>88</v>
      </c>
      <c r="G43" t="s">
        <v>35</v>
      </c>
      <c r="H43" t="s">
        <v>36</v>
      </c>
      <c r="I43">
        <v>50</v>
      </c>
    </row>
    <row r="44" spans="1:9" ht="14.5" x14ac:dyDescent="0.35">
      <c r="A44">
        <v>4</v>
      </c>
      <c r="B44" t="s">
        <v>49</v>
      </c>
      <c r="C44" t="s">
        <v>85</v>
      </c>
      <c r="D44" t="s">
        <v>86</v>
      </c>
      <c r="E44" t="s">
        <v>87</v>
      </c>
      <c r="F44" t="s">
        <v>89</v>
      </c>
      <c r="G44" t="s">
        <v>35</v>
      </c>
      <c r="H44" t="s">
        <v>36</v>
      </c>
      <c r="I44">
        <v>50</v>
      </c>
    </row>
    <row r="45" spans="1:9" ht="14.5" x14ac:dyDescent="0.35">
      <c r="A45">
        <v>4</v>
      </c>
      <c r="B45" t="s">
        <v>49</v>
      </c>
      <c r="C45" t="s">
        <v>85</v>
      </c>
      <c r="D45" t="s">
        <v>92</v>
      </c>
      <c r="E45" t="s">
        <v>93</v>
      </c>
      <c r="F45" t="s">
        <v>94</v>
      </c>
      <c r="G45" t="s">
        <v>35</v>
      </c>
      <c r="H45" t="s">
        <v>36</v>
      </c>
      <c r="I45">
        <v>50</v>
      </c>
    </row>
    <row r="46" spans="1:9" ht="14.5" x14ac:dyDescent="0.35">
      <c r="A46">
        <v>4</v>
      </c>
      <c r="B46" t="s">
        <v>49</v>
      </c>
      <c r="C46" t="s">
        <v>85</v>
      </c>
      <c r="D46" t="s">
        <v>92</v>
      </c>
      <c r="E46" t="s">
        <v>93</v>
      </c>
      <c r="F46" t="s">
        <v>94</v>
      </c>
      <c r="G46" t="s">
        <v>52</v>
      </c>
      <c r="H46" t="s">
        <v>36</v>
      </c>
      <c r="I46">
        <v>50</v>
      </c>
    </row>
    <row r="47" spans="1:9" ht="14.5" x14ac:dyDescent="0.35">
      <c r="A47">
        <v>4</v>
      </c>
      <c r="B47" t="s">
        <v>49</v>
      </c>
      <c r="C47" t="s">
        <v>85</v>
      </c>
      <c r="D47" t="s">
        <v>92</v>
      </c>
      <c r="E47" t="s">
        <v>93</v>
      </c>
      <c r="F47" t="s">
        <v>97</v>
      </c>
      <c r="G47" t="s">
        <v>35</v>
      </c>
      <c r="H47" t="s">
        <v>36</v>
      </c>
      <c r="I47">
        <v>50</v>
      </c>
    </row>
    <row r="48" spans="1:9" ht="14.5" x14ac:dyDescent="0.35">
      <c r="A48">
        <v>4</v>
      </c>
      <c r="B48" t="s">
        <v>49</v>
      </c>
      <c r="C48" t="s">
        <v>72</v>
      </c>
      <c r="D48" t="s">
        <v>79</v>
      </c>
      <c r="E48" t="s">
        <v>80</v>
      </c>
      <c r="F48" t="s">
        <v>82</v>
      </c>
      <c r="G48" t="s">
        <v>52</v>
      </c>
      <c r="H48" t="s">
        <v>36</v>
      </c>
      <c r="I48">
        <v>50</v>
      </c>
    </row>
    <row r="49" spans="1:9" ht="14.5" x14ac:dyDescent="0.35">
      <c r="A49">
        <v>4</v>
      </c>
      <c r="B49" t="s">
        <v>50</v>
      </c>
      <c r="C49" t="s">
        <v>31</v>
      </c>
      <c r="D49" t="s">
        <v>53</v>
      </c>
      <c r="E49" t="s">
        <v>54</v>
      </c>
      <c r="F49" t="s">
        <v>57</v>
      </c>
      <c r="G49" t="s">
        <v>52</v>
      </c>
      <c r="H49" t="s">
        <v>36</v>
      </c>
      <c r="I49">
        <v>50</v>
      </c>
    </row>
    <row r="50" spans="1:9" ht="14.5" x14ac:dyDescent="0.35">
      <c r="A50">
        <v>4</v>
      </c>
      <c r="B50" t="s">
        <v>50</v>
      </c>
      <c r="C50" t="s">
        <v>85</v>
      </c>
      <c r="D50" t="s">
        <v>92</v>
      </c>
      <c r="E50" t="s">
        <v>93</v>
      </c>
      <c r="F50" t="s">
        <v>95</v>
      </c>
      <c r="G50" t="s">
        <v>35</v>
      </c>
      <c r="H50" t="s">
        <v>36</v>
      </c>
      <c r="I50">
        <v>50</v>
      </c>
    </row>
    <row r="51" spans="1:9" ht="14.5" x14ac:dyDescent="0.35">
      <c r="A51">
        <v>4</v>
      </c>
      <c r="B51" t="s">
        <v>50</v>
      </c>
      <c r="C51" t="s">
        <v>85</v>
      </c>
      <c r="D51" t="s">
        <v>92</v>
      </c>
      <c r="E51" t="s">
        <v>93</v>
      </c>
      <c r="F51" t="s">
        <v>96</v>
      </c>
      <c r="G51" t="s">
        <v>35</v>
      </c>
      <c r="H51" t="s">
        <v>36</v>
      </c>
      <c r="I51">
        <v>50</v>
      </c>
    </row>
    <row r="52" spans="1:9" ht="14.5" x14ac:dyDescent="0.35">
      <c r="A52">
        <v>4</v>
      </c>
      <c r="B52" t="s">
        <v>50</v>
      </c>
      <c r="C52" t="s">
        <v>59</v>
      </c>
      <c r="D52" t="s">
        <v>66</v>
      </c>
      <c r="E52" t="s">
        <v>67</v>
      </c>
      <c r="F52" t="s">
        <v>70</v>
      </c>
      <c r="G52" t="s">
        <v>35</v>
      </c>
      <c r="H52" t="s">
        <v>36</v>
      </c>
      <c r="I52">
        <v>50</v>
      </c>
    </row>
    <row r="53" spans="1:9" ht="14.5" x14ac:dyDescent="0.35">
      <c r="A53">
        <v>4</v>
      </c>
      <c r="B53" t="s">
        <v>50</v>
      </c>
      <c r="C53" t="s">
        <v>72</v>
      </c>
      <c r="D53" t="s">
        <v>73</v>
      </c>
      <c r="E53" t="s">
        <v>74</v>
      </c>
      <c r="F53" t="s">
        <v>78</v>
      </c>
      <c r="G53" t="s">
        <v>52</v>
      </c>
      <c r="H53" t="s">
        <v>36</v>
      </c>
      <c r="I53">
        <v>50</v>
      </c>
    </row>
    <row r="54" spans="1:9" ht="14.5" x14ac:dyDescent="0.35">
      <c r="A54">
        <v>4</v>
      </c>
      <c r="B54" t="s">
        <v>50</v>
      </c>
      <c r="C54" t="s">
        <v>72</v>
      </c>
      <c r="D54" t="s">
        <v>79</v>
      </c>
      <c r="E54" t="s">
        <v>80</v>
      </c>
      <c r="F54" t="s">
        <v>81</v>
      </c>
      <c r="G54" t="s">
        <v>35</v>
      </c>
      <c r="H54" t="s">
        <v>36</v>
      </c>
      <c r="I54">
        <v>50</v>
      </c>
    </row>
    <row r="55" spans="1:9" ht="14.5" x14ac:dyDescent="0.35">
      <c r="A55">
        <v>4</v>
      </c>
      <c r="B55" t="s">
        <v>50</v>
      </c>
      <c r="C55" t="s">
        <v>72</v>
      </c>
      <c r="D55" t="s">
        <v>79</v>
      </c>
      <c r="E55" t="s">
        <v>80</v>
      </c>
      <c r="F55" t="s">
        <v>84</v>
      </c>
      <c r="G55" t="s">
        <v>52</v>
      </c>
      <c r="H55" t="s">
        <v>36</v>
      </c>
      <c r="I55">
        <v>50</v>
      </c>
    </row>
    <row r="56" spans="1:9" ht="14.5" x14ac:dyDescent="0.35">
      <c r="A56">
        <v>4</v>
      </c>
      <c r="B56" t="s">
        <v>51</v>
      </c>
      <c r="C56" t="s">
        <v>31</v>
      </c>
      <c r="D56" t="s">
        <v>32</v>
      </c>
      <c r="E56" t="s">
        <v>33</v>
      </c>
      <c r="F56" t="s">
        <v>37</v>
      </c>
      <c r="G56" t="s">
        <v>52</v>
      </c>
      <c r="H56" t="s">
        <v>36</v>
      </c>
      <c r="I56">
        <v>50</v>
      </c>
    </row>
    <row r="57" spans="1:9" ht="14.5" x14ac:dyDescent="0.35">
      <c r="A57">
        <v>4</v>
      </c>
      <c r="B57" t="s">
        <v>51</v>
      </c>
      <c r="C57" t="s">
        <v>31</v>
      </c>
      <c r="D57" t="s">
        <v>32</v>
      </c>
      <c r="E57" t="s">
        <v>33</v>
      </c>
      <c r="F57" t="s">
        <v>39</v>
      </c>
      <c r="G57" t="s">
        <v>35</v>
      </c>
      <c r="H57" t="s">
        <v>36</v>
      </c>
      <c r="I57">
        <v>50</v>
      </c>
    </row>
    <row r="58" spans="1:9" ht="14.5" x14ac:dyDescent="0.35">
      <c r="A58">
        <v>4</v>
      </c>
      <c r="B58" t="s">
        <v>51</v>
      </c>
      <c r="C58" t="s">
        <v>85</v>
      </c>
      <c r="D58" t="s">
        <v>86</v>
      </c>
      <c r="E58" t="s">
        <v>87</v>
      </c>
      <c r="F58" t="s">
        <v>91</v>
      </c>
      <c r="G58" t="s">
        <v>52</v>
      </c>
      <c r="H58" t="s">
        <v>36</v>
      </c>
      <c r="I58">
        <v>50</v>
      </c>
    </row>
    <row r="59" spans="1:9" ht="14.5" x14ac:dyDescent="0.35">
      <c r="A59">
        <v>4</v>
      </c>
      <c r="B59" t="s">
        <v>51</v>
      </c>
      <c r="C59" t="s">
        <v>59</v>
      </c>
      <c r="D59" t="s">
        <v>66</v>
      </c>
      <c r="E59" t="s">
        <v>67</v>
      </c>
      <c r="F59" t="s">
        <v>70</v>
      </c>
      <c r="G59" t="s">
        <v>35</v>
      </c>
      <c r="H59" t="s">
        <v>36</v>
      </c>
      <c r="I59">
        <v>50</v>
      </c>
    </row>
    <row r="60" spans="1:9" ht="14.5" x14ac:dyDescent="0.35">
      <c r="A60">
        <v>4</v>
      </c>
      <c r="B60" t="s">
        <v>51</v>
      </c>
      <c r="C60" t="s">
        <v>72</v>
      </c>
      <c r="D60" t="s">
        <v>73</v>
      </c>
      <c r="E60" t="s">
        <v>74</v>
      </c>
      <c r="F60" t="s">
        <v>75</v>
      </c>
      <c r="G60" t="s">
        <v>52</v>
      </c>
      <c r="H60" t="s">
        <v>36</v>
      </c>
      <c r="I60">
        <v>50</v>
      </c>
    </row>
    <row r="61" spans="1:9" ht="14.5" x14ac:dyDescent="0.35">
      <c r="A61">
        <v>1</v>
      </c>
      <c r="B61" t="s">
        <v>30</v>
      </c>
      <c r="C61" t="s">
        <v>31</v>
      </c>
      <c r="D61" t="s">
        <v>32</v>
      </c>
      <c r="E61" t="s">
        <v>33</v>
      </c>
      <c r="F61" t="s">
        <v>40</v>
      </c>
      <c r="G61" t="s">
        <v>35</v>
      </c>
      <c r="H61" t="s">
        <v>36</v>
      </c>
      <c r="I61">
        <v>60</v>
      </c>
    </row>
    <row r="62" spans="1:9" ht="14.5" x14ac:dyDescent="0.35">
      <c r="A62">
        <v>1</v>
      </c>
      <c r="B62" t="s">
        <v>30</v>
      </c>
      <c r="C62" t="s">
        <v>31</v>
      </c>
      <c r="D62" t="s">
        <v>32</v>
      </c>
      <c r="E62" t="s">
        <v>33</v>
      </c>
      <c r="F62" t="s">
        <v>40</v>
      </c>
      <c r="G62" t="s">
        <v>52</v>
      </c>
      <c r="H62" t="s">
        <v>36</v>
      </c>
      <c r="I62">
        <v>60</v>
      </c>
    </row>
    <row r="63" spans="1:9" ht="14.5" x14ac:dyDescent="0.35">
      <c r="A63">
        <v>1</v>
      </c>
      <c r="B63" t="s">
        <v>30</v>
      </c>
      <c r="C63" t="s">
        <v>31</v>
      </c>
      <c r="D63" t="s">
        <v>32</v>
      </c>
      <c r="E63" t="s">
        <v>33</v>
      </c>
      <c r="F63" t="s">
        <v>39</v>
      </c>
      <c r="G63" t="s">
        <v>52</v>
      </c>
      <c r="H63" t="s">
        <v>36</v>
      </c>
      <c r="I63">
        <v>60</v>
      </c>
    </row>
    <row r="64" spans="1:9" ht="14.5" x14ac:dyDescent="0.35">
      <c r="A64">
        <v>1</v>
      </c>
      <c r="B64" t="s">
        <v>30</v>
      </c>
      <c r="C64" t="s">
        <v>31</v>
      </c>
      <c r="D64" t="s">
        <v>32</v>
      </c>
      <c r="E64" t="s">
        <v>33</v>
      </c>
      <c r="F64" t="s">
        <v>34</v>
      </c>
      <c r="G64" t="s">
        <v>52</v>
      </c>
      <c r="H64" t="s">
        <v>36</v>
      </c>
      <c r="I64">
        <v>60</v>
      </c>
    </row>
    <row r="65" spans="1:9" ht="14.5" x14ac:dyDescent="0.35">
      <c r="A65">
        <v>1</v>
      </c>
      <c r="B65" t="s">
        <v>30</v>
      </c>
      <c r="C65" t="s">
        <v>85</v>
      </c>
      <c r="D65" t="s">
        <v>86</v>
      </c>
      <c r="E65" t="s">
        <v>87</v>
      </c>
      <c r="F65" t="s">
        <v>90</v>
      </c>
      <c r="G65" t="s">
        <v>52</v>
      </c>
      <c r="H65" t="s">
        <v>36</v>
      </c>
      <c r="I65">
        <v>60</v>
      </c>
    </row>
    <row r="66" spans="1:9" ht="14.5" x14ac:dyDescent="0.35">
      <c r="A66">
        <v>1</v>
      </c>
      <c r="B66" t="s">
        <v>30</v>
      </c>
      <c r="C66" t="s">
        <v>59</v>
      </c>
      <c r="D66" t="s">
        <v>66</v>
      </c>
      <c r="E66" t="s">
        <v>67</v>
      </c>
      <c r="F66" t="s">
        <v>69</v>
      </c>
      <c r="G66" t="s">
        <v>52</v>
      </c>
      <c r="H66" t="s">
        <v>36</v>
      </c>
      <c r="I66">
        <v>60</v>
      </c>
    </row>
    <row r="67" spans="1:9" ht="14.5" x14ac:dyDescent="0.35">
      <c r="A67">
        <v>1</v>
      </c>
      <c r="B67" t="s">
        <v>30</v>
      </c>
      <c r="C67" t="s">
        <v>72</v>
      </c>
      <c r="D67" t="s">
        <v>73</v>
      </c>
      <c r="E67" t="s">
        <v>74</v>
      </c>
      <c r="F67" t="s">
        <v>78</v>
      </c>
      <c r="G67" t="s">
        <v>52</v>
      </c>
      <c r="H67" t="s">
        <v>36</v>
      </c>
      <c r="I67">
        <v>60</v>
      </c>
    </row>
    <row r="68" spans="1:9" ht="14.5" x14ac:dyDescent="0.35">
      <c r="A68">
        <v>1</v>
      </c>
      <c r="B68" t="s">
        <v>41</v>
      </c>
      <c r="C68" t="s">
        <v>31</v>
      </c>
      <c r="D68" t="s">
        <v>32</v>
      </c>
      <c r="E68" t="s">
        <v>33</v>
      </c>
      <c r="F68" t="s">
        <v>37</v>
      </c>
      <c r="G68" t="s">
        <v>52</v>
      </c>
      <c r="H68" t="s">
        <v>36</v>
      </c>
      <c r="I68">
        <v>60</v>
      </c>
    </row>
    <row r="69" spans="1:9" ht="14.5" x14ac:dyDescent="0.35">
      <c r="A69">
        <v>1</v>
      </c>
      <c r="B69" t="s">
        <v>41</v>
      </c>
      <c r="C69" t="s">
        <v>31</v>
      </c>
      <c r="D69" t="s">
        <v>32</v>
      </c>
      <c r="E69" t="s">
        <v>33</v>
      </c>
      <c r="F69" t="s">
        <v>40</v>
      </c>
      <c r="G69" t="s">
        <v>52</v>
      </c>
      <c r="H69" t="s">
        <v>36</v>
      </c>
      <c r="I69">
        <v>60</v>
      </c>
    </row>
    <row r="70" spans="1:9" ht="14.5" x14ac:dyDescent="0.35">
      <c r="A70">
        <v>1</v>
      </c>
      <c r="B70" t="s">
        <v>41</v>
      </c>
      <c r="C70" t="s">
        <v>59</v>
      </c>
      <c r="D70" t="s">
        <v>60</v>
      </c>
      <c r="E70" t="s">
        <v>61</v>
      </c>
      <c r="F70" t="s">
        <v>63</v>
      </c>
      <c r="G70" t="s">
        <v>35</v>
      </c>
      <c r="H70" t="s">
        <v>36</v>
      </c>
      <c r="I70">
        <v>60</v>
      </c>
    </row>
    <row r="71" spans="1:9" ht="14.5" x14ac:dyDescent="0.35">
      <c r="A71">
        <v>1</v>
      </c>
      <c r="B71" t="s">
        <v>41</v>
      </c>
      <c r="C71" t="s">
        <v>72</v>
      </c>
      <c r="D71" t="s">
        <v>79</v>
      </c>
      <c r="E71" t="s">
        <v>80</v>
      </c>
      <c r="F71" t="s">
        <v>81</v>
      </c>
      <c r="G71" t="s">
        <v>35</v>
      </c>
      <c r="H71" t="s">
        <v>36</v>
      </c>
      <c r="I71">
        <v>60</v>
      </c>
    </row>
    <row r="72" spans="1:9" ht="14.5" x14ac:dyDescent="0.35">
      <c r="A72">
        <v>1</v>
      </c>
      <c r="B72" t="s">
        <v>41</v>
      </c>
      <c r="C72" t="s">
        <v>72</v>
      </c>
      <c r="D72" t="s">
        <v>79</v>
      </c>
      <c r="E72" t="s">
        <v>80</v>
      </c>
      <c r="F72" t="s">
        <v>84</v>
      </c>
      <c r="G72" t="s">
        <v>52</v>
      </c>
      <c r="H72" t="s">
        <v>36</v>
      </c>
      <c r="I72">
        <v>60</v>
      </c>
    </row>
    <row r="73" spans="1:9" ht="14.5" x14ac:dyDescent="0.35">
      <c r="A73">
        <v>1</v>
      </c>
      <c r="B73" t="s">
        <v>42</v>
      </c>
      <c r="C73" t="s">
        <v>85</v>
      </c>
      <c r="D73" t="s">
        <v>92</v>
      </c>
      <c r="E73" t="s">
        <v>93</v>
      </c>
      <c r="F73" t="s">
        <v>94</v>
      </c>
      <c r="G73" t="s">
        <v>35</v>
      </c>
      <c r="H73" t="s">
        <v>36</v>
      </c>
      <c r="I73">
        <v>60</v>
      </c>
    </row>
    <row r="74" spans="1:9" ht="14.5" x14ac:dyDescent="0.35">
      <c r="A74">
        <v>1</v>
      </c>
      <c r="B74" t="s">
        <v>42</v>
      </c>
      <c r="C74" t="s">
        <v>59</v>
      </c>
      <c r="D74" t="s">
        <v>60</v>
      </c>
      <c r="E74" t="s">
        <v>61</v>
      </c>
      <c r="F74" t="s">
        <v>65</v>
      </c>
      <c r="G74" t="s">
        <v>35</v>
      </c>
      <c r="H74" t="s">
        <v>36</v>
      </c>
      <c r="I74">
        <v>60</v>
      </c>
    </row>
    <row r="75" spans="1:9" ht="14.5" x14ac:dyDescent="0.35">
      <c r="A75">
        <v>2</v>
      </c>
      <c r="B75" t="s">
        <v>43</v>
      </c>
      <c r="C75" t="s">
        <v>31</v>
      </c>
      <c r="D75" t="s">
        <v>53</v>
      </c>
      <c r="E75" t="s">
        <v>54</v>
      </c>
      <c r="F75" t="s">
        <v>55</v>
      </c>
      <c r="G75" t="s">
        <v>35</v>
      </c>
      <c r="H75" t="s">
        <v>36</v>
      </c>
      <c r="I75">
        <v>60</v>
      </c>
    </row>
    <row r="76" spans="1:9" ht="14.5" x14ac:dyDescent="0.35">
      <c r="A76">
        <v>2</v>
      </c>
      <c r="B76" t="s">
        <v>43</v>
      </c>
      <c r="C76" t="s">
        <v>31</v>
      </c>
      <c r="D76" t="s">
        <v>53</v>
      </c>
      <c r="E76" t="s">
        <v>54</v>
      </c>
      <c r="F76" t="s">
        <v>58</v>
      </c>
      <c r="G76" t="s">
        <v>52</v>
      </c>
      <c r="H76" t="s">
        <v>36</v>
      </c>
      <c r="I76">
        <v>60</v>
      </c>
    </row>
    <row r="77" spans="1:9" ht="14.5" x14ac:dyDescent="0.35">
      <c r="A77">
        <v>2</v>
      </c>
      <c r="B77" t="s">
        <v>43</v>
      </c>
      <c r="C77" t="s">
        <v>85</v>
      </c>
      <c r="D77" t="s">
        <v>92</v>
      </c>
      <c r="E77" t="s">
        <v>93</v>
      </c>
      <c r="F77" t="s">
        <v>97</v>
      </c>
      <c r="G77" t="s">
        <v>52</v>
      </c>
      <c r="H77" t="s">
        <v>36</v>
      </c>
      <c r="I77">
        <v>60</v>
      </c>
    </row>
    <row r="78" spans="1:9" ht="14.5" x14ac:dyDescent="0.35">
      <c r="A78">
        <v>2</v>
      </c>
      <c r="B78" t="s">
        <v>43</v>
      </c>
      <c r="C78" t="s">
        <v>59</v>
      </c>
      <c r="D78" t="s">
        <v>60</v>
      </c>
      <c r="E78" t="s">
        <v>61</v>
      </c>
      <c r="F78" t="s">
        <v>63</v>
      </c>
      <c r="G78" t="s">
        <v>52</v>
      </c>
      <c r="H78" t="s">
        <v>36</v>
      </c>
      <c r="I78">
        <v>60</v>
      </c>
    </row>
    <row r="79" spans="1:9" ht="14.5" x14ac:dyDescent="0.35">
      <c r="A79">
        <v>2</v>
      </c>
      <c r="B79" t="s">
        <v>43</v>
      </c>
      <c r="C79" t="s">
        <v>59</v>
      </c>
      <c r="D79" t="s">
        <v>60</v>
      </c>
      <c r="E79" t="s">
        <v>61</v>
      </c>
      <c r="F79" t="s">
        <v>62</v>
      </c>
      <c r="G79" t="s">
        <v>52</v>
      </c>
      <c r="H79" t="s">
        <v>36</v>
      </c>
      <c r="I79">
        <v>60</v>
      </c>
    </row>
    <row r="80" spans="1:9" ht="14.5" x14ac:dyDescent="0.35">
      <c r="A80">
        <v>2</v>
      </c>
      <c r="B80" t="s">
        <v>43</v>
      </c>
      <c r="C80" t="s">
        <v>72</v>
      </c>
      <c r="D80" t="s">
        <v>73</v>
      </c>
      <c r="E80" t="s">
        <v>74</v>
      </c>
      <c r="F80" t="s">
        <v>78</v>
      </c>
      <c r="G80" t="s">
        <v>35</v>
      </c>
      <c r="H80" t="s">
        <v>36</v>
      </c>
      <c r="I80">
        <v>60</v>
      </c>
    </row>
    <row r="81" spans="1:9" ht="14.5" x14ac:dyDescent="0.35">
      <c r="A81">
        <v>2</v>
      </c>
      <c r="B81" t="s">
        <v>43</v>
      </c>
      <c r="C81" t="s">
        <v>72</v>
      </c>
      <c r="D81" t="s">
        <v>79</v>
      </c>
      <c r="E81" t="s">
        <v>80</v>
      </c>
      <c r="F81" t="s">
        <v>83</v>
      </c>
      <c r="G81" t="s">
        <v>35</v>
      </c>
      <c r="H81" t="s">
        <v>36</v>
      </c>
      <c r="I81">
        <v>60</v>
      </c>
    </row>
    <row r="82" spans="1:9" ht="14.5" x14ac:dyDescent="0.35">
      <c r="A82">
        <v>2</v>
      </c>
      <c r="B82" t="s">
        <v>43</v>
      </c>
      <c r="C82" t="s">
        <v>72</v>
      </c>
      <c r="D82" t="s">
        <v>79</v>
      </c>
      <c r="E82" t="s">
        <v>80</v>
      </c>
      <c r="F82" t="s">
        <v>83</v>
      </c>
      <c r="G82" t="s">
        <v>52</v>
      </c>
      <c r="H82" t="s">
        <v>36</v>
      </c>
      <c r="I82">
        <v>60</v>
      </c>
    </row>
    <row r="83" spans="1:9" ht="14.5" x14ac:dyDescent="0.35">
      <c r="A83">
        <v>2</v>
      </c>
      <c r="B83" t="s">
        <v>44</v>
      </c>
      <c r="C83" t="s">
        <v>31</v>
      </c>
      <c r="D83" t="s">
        <v>32</v>
      </c>
      <c r="E83" t="s">
        <v>33</v>
      </c>
      <c r="F83" t="s">
        <v>37</v>
      </c>
      <c r="G83" t="s">
        <v>52</v>
      </c>
      <c r="H83" t="s">
        <v>36</v>
      </c>
      <c r="I83">
        <v>60</v>
      </c>
    </row>
    <row r="84" spans="1:9" ht="14.5" x14ac:dyDescent="0.35">
      <c r="A84">
        <v>2</v>
      </c>
      <c r="B84" t="s">
        <v>44</v>
      </c>
      <c r="C84" t="s">
        <v>85</v>
      </c>
      <c r="D84" t="s">
        <v>86</v>
      </c>
      <c r="E84" t="s">
        <v>87</v>
      </c>
      <c r="F84" t="s">
        <v>88</v>
      </c>
      <c r="G84" t="s">
        <v>52</v>
      </c>
      <c r="H84" t="s">
        <v>36</v>
      </c>
      <c r="I84">
        <v>60</v>
      </c>
    </row>
    <row r="85" spans="1:9" ht="14.5" x14ac:dyDescent="0.35">
      <c r="A85">
        <v>2</v>
      </c>
      <c r="B85" t="s">
        <v>44</v>
      </c>
      <c r="C85" t="s">
        <v>85</v>
      </c>
      <c r="D85" t="s">
        <v>92</v>
      </c>
      <c r="E85" t="s">
        <v>93</v>
      </c>
      <c r="F85" t="s">
        <v>94</v>
      </c>
      <c r="G85" t="s">
        <v>35</v>
      </c>
      <c r="H85" t="s">
        <v>36</v>
      </c>
      <c r="I85">
        <v>60</v>
      </c>
    </row>
    <row r="86" spans="1:9" ht="14.5" x14ac:dyDescent="0.35">
      <c r="A86">
        <v>2</v>
      </c>
      <c r="B86" t="s">
        <v>44</v>
      </c>
      <c r="C86" t="s">
        <v>59</v>
      </c>
      <c r="D86" t="s">
        <v>60</v>
      </c>
      <c r="E86" t="s">
        <v>61</v>
      </c>
      <c r="F86" t="s">
        <v>64</v>
      </c>
      <c r="G86" t="s">
        <v>52</v>
      </c>
      <c r="H86" t="s">
        <v>36</v>
      </c>
      <c r="I86">
        <v>60</v>
      </c>
    </row>
    <row r="87" spans="1:9" ht="14.5" x14ac:dyDescent="0.35">
      <c r="A87">
        <v>2</v>
      </c>
      <c r="B87" t="s">
        <v>44</v>
      </c>
      <c r="C87" t="s">
        <v>59</v>
      </c>
      <c r="D87" t="s">
        <v>66</v>
      </c>
      <c r="E87" t="s">
        <v>67</v>
      </c>
      <c r="F87" t="s">
        <v>68</v>
      </c>
      <c r="G87" t="s">
        <v>35</v>
      </c>
      <c r="H87" t="s">
        <v>36</v>
      </c>
      <c r="I87">
        <v>60</v>
      </c>
    </row>
    <row r="88" spans="1:9" ht="14.5" x14ac:dyDescent="0.35">
      <c r="A88">
        <v>2</v>
      </c>
      <c r="B88" t="s">
        <v>44</v>
      </c>
      <c r="C88" t="s">
        <v>59</v>
      </c>
      <c r="D88" t="s">
        <v>66</v>
      </c>
      <c r="E88" t="s">
        <v>67</v>
      </c>
      <c r="F88" t="s">
        <v>69</v>
      </c>
      <c r="G88" t="s">
        <v>52</v>
      </c>
      <c r="H88" t="s">
        <v>36</v>
      </c>
      <c r="I88">
        <v>60</v>
      </c>
    </row>
    <row r="89" spans="1:9" ht="14.5" x14ac:dyDescent="0.35">
      <c r="A89">
        <v>2</v>
      </c>
      <c r="B89" t="s">
        <v>45</v>
      </c>
      <c r="C89" t="s">
        <v>31</v>
      </c>
      <c r="D89" t="s">
        <v>53</v>
      </c>
      <c r="E89" t="s">
        <v>54</v>
      </c>
      <c r="F89" t="s">
        <v>57</v>
      </c>
      <c r="G89" t="s">
        <v>52</v>
      </c>
      <c r="H89" t="s">
        <v>36</v>
      </c>
      <c r="I89">
        <v>60</v>
      </c>
    </row>
    <row r="90" spans="1:9" ht="14.5" x14ac:dyDescent="0.35">
      <c r="A90">
        <v>2</v>
      </c>
      <c r="B90" t="s">
        <v>45</v>
      </c>
      <c r="C90" t="s">
        <v>85</v>
      </c>
      <c r="D90" t="s">
        <v>92</v>
      </c>
      <c r="E90" t="s">
        <v>93</v>
      </c>
      <c r="F90" t="s">
        <v>94</v>
      </c>
      <c r="G90" t="s">
        <v>35</v>
      </c>
      <c r="H90" t="s">
        <v>36</v>
      </c>
      <c r="I90">
        <v>60</v>
      </c>
    </row>
    <row r="91" spans="1:9" ht="14.5" x14ac:dyDescent="0.35">
      <c r="A91">
        <v>2</v>
      </c>
      <c r="B91" t="s">
        <v>45</v>
      </c>
      <c r="C91" t="s">
        <v>72</v>
      </c>
      <c r="D91" t="s">
        <v>73</v>
      </c>
      <c r="E91" t="s">
        <v>74</v>
      </c>
      <c r="F91" t="s">
        <v>76</v>
      </c>
      <c r="G91" t="s">
        <v>52</v>
      </c>
      <c r="H91" t="s">
        <v>36</v>
      </c>
      <c r="I91">
        <v>60</v>
      </c>
    </row>
    <row r="92" spans="1:9" ht="14.5" x14ac:dyDescent="0.35">
      <c r="A92">
        <v>2</v>
      </c>
      <c r="B92" t="s">
        <v>45</v>
      </c>
      <c r="C92" t="s">
        <v>72</v>
      </c>
      <c r="D92" t="s">
        <v>73</v>
      </c>
      <c r="E92" t="s">
        <v>74</v>
      </c>
      <c r="F92" t="s">
        <v>77</v>
      </c>
      <c r="G92" t="s">
        <v>52</v>
      </c>
      <c r="H92" t="s">
        <v>36</v>
      </c>
      <c r="I92">
        <v>60</v>
      </c>
    </row>
    <row r="93" spans="1:9" ht="14.5" x14ac:dyDescent="0.35">
      <c r="A93">
        <v>3</v>
      </c>
      <c r="B93" t="s">
        <v>46</v>
      </c>
      <c r="C93" t="s">
        <v>31</v>
      </c>
      <c r="D93" t="s">
        <v>53</v>
      </c>
      <c r="E93" t="s">
        <v>54</v>
      </c>
      <c r="F93" t="s">
        <v>57</v>
      </c>
      <c r="G93" t="s">
        <v>52</v>
      </c>
      <c r="H93" t="s">
        <v>36</v>
      </c>
      <c r="I93">
        <v>60</v>
      </c>
    </row>
    <row r="94" spans="1:9" ht="14.5" x14ac:dyDescent="0.35">
      <c r="A94">
        <v>3</v>
      </c>
      <c r="B94" t="s">
        <v>46</v>
      </c>
      <c r="C94" t="s">
        <v>59</v>
      </c>
      <c r="D94" t="s">
        <v>60</v>
      </c>
      <c r="E94" t="s">
        <v>61</v>
      </c>
      <c r="F94" t="s">
        <v>62</v>
      </c>
      <c r="G94" t="s">
        <v>35</v>
      </c>
      <c r="H94" t="s">
        <v>36</v>
      </c>
      <c r="I94">
        <v>60</v>
      </c>
    </row>
    <row r="95" spans="1:9" ht="14.5" x14ac:dyDescent="0.35">
      <c r="A95">
        <v>3</v>
      </c>
      <c r="B95" t="s">
        <v>46</v>
      </c>
      <c r="C95" t="s">
        <v>59</v>
      </c>
      <c r="D95" t="s">
        <v>60</v>
      </c>
      <c r="E95" t="s">
        <v>61</v>
      </c>
      <c r="F95" t="s">
        <v>62</v>
      </c>
      <c r="G95" t="s">
        <v>52</v>
      </c>
      <c r="H95" t="s">
        <v>36</v>
      </c>
      <c r="I95">
        <v>60</v>
      </c>
    </row>
    <row r="96" spans="1:9" ht="14.5" x14ac:dyDescent="0.35">
      <c r="A96">
        <v>3</v>
      </c>
      <c r="B96" t="s">
        <v>46</v>
      </c>
      <c r="C96" t="s">
        <v>59</v>
      </c>
      <c r="D96" t="s">
        <v>66</v>
      </c>
      <c r="E96" t="s">
        <v>67</v>
      </c>
      <c r="F96" t="s">
        <v>68</v>
      </c>
      <c r="G96" t="s">
        <v>35</v>
      </c>
      <c r="H96" t="s">
        <v>36</v>
      </c>
      <c r="I96">
        <v>60</v>
      </c>
    </row>
    <row r="97" spans="1:9" ht="14.5" x14ac:dyDescent="0.35">
      <c r="A97">
        <v>3</v>
      </c>
      <c r="B97" t="s">
        <v>46</v>
      </c>
      <c r="C97" t="s">
        <v>59</v>
      </c>
      <c r="D97" t="s">
        <v>66</v>
      </c>
      <c r="E97" t="s">
        <v>67</v>
      </c>
      <c r="F97" t="s">
        <v>71</v>
      </c>
      <c r="G97" t="s">
        <v>35</v>
      </c>
      <c r="H97" t="s">
        <v>36</v>
      </c>
      <c r="I97">
        <v>60</v>
      </c>
    </row>
    <row r="98" spans="1:9" ht="14.5" x14ac:dyDescent="0.35">
      <c r="A98">
        <v>3</v>
      </c>
      <c r="B98" t="s">
        <v>46</v>
      </c>
      <c r="C98" t="s">
        <v>72</v>
      </c>
      <c r="D98" t="s">
        <v>73</v>
      </c>
      <c r="E98" t="s">
        <v>74</v>
      </c>
      <c r="F98" t="s">
        <v>78</v>
      </c>
      <c r="G98" t="s">
        <v>35</v>
      </c>
      <c r="H98" t="s">
        <v>36</v>
      </c>
      <c r="I98">
        <v>60</v>
      </c>
    </row>
    <row r="99" spans="1:9" ht="14.5" x14ac:dyDescent="0.35">
      <c r="A99">
        <v>3</v>
      </c>
      <c r="B99" t="s">
        <v>47</v>
      </c>
      <c r="C99" t="s">
        <v>31</v>
      </c>
      <c r="D99" t="s">
        <v>32</v>
      </c>
      <c r="E99" t="s">
        <v>33</v>
      </c>
      <c r="F99" t="s">
        <v>34</v>
      </c>
      <c r="G99" t="s">
        <v>52</v>
      </c>
      <c r="H99" t="s">
        <v>36</v>
      </c>
      <c r="I99">
        <v>60</v>
      </c>
    </row>
    <row r="100" spans="1:9" ht="14.5" x14ac:dyDescent="0.35">
      <c r="A100">
        <v>3</v>
      </c>
      <c r="B100" t="s">
        <v>47</v>
      </c>
      <c r="C100" t="s">
        <v>31</v>
      </c>
      <c r="D100" t="s">
        <v>53</v>
      </c>
      <c r="E100" t="s">
        <v>54</v>
      </c>
      <c r="F100" t="s">
        <v>58</v>
      </c>
      <c r="G100" t="s">
        <v>35</v>
      </c>
      <c r="H100" t="s">
        <v>36</v>
      </c>
      <c r="I100">
        <v>60</v>
      </c>
    </row>
    <row r="101" spans="1:9" ht="14.5" x14ac:dyDescent="0.35">
      <c r="A101">
        <v>3</v>
      </c>
      <c r="B101" t="s">
        <v>47</v>
      </c>
      <c r="C101" t="s">
        <v>85</v>
      </c>
      <c r="D101" t="s">
        <v>86</v>
      </c>
      <c r="E101" t="s">
        <v>87</v>
      </c>
      <c r="F101" t="s">
        <v>90</v>
      </c>
      <c r="G101" t="s">
        <v>52</v>
      </c>
      <c r="H101" t="s">
        <v>36</v>
      </c>
      <c r="I101">
        <v>60</v>
      </c>
    </row>
    <row r="102" spans="1:9" ht="14.5" x14ac:dyDescent="0.35">
      <c r="A102">
        <v>3</v>
      </c>
      <c r="B102" t="s">
        <v>48</v>
      </c>
      <c r="C102" t="s">
        <v>59</v>
      </c>
      <c r="D102" t="s">
        <v>66</v>
      </c>
      <c r="E102" t="s">
        <v>67</v>
      </c>
      <c r="F102" t="s">
        <v>71</v>
      </c>
      <c r="G102" t="s">
        <v>52</v>
      </c>
      <c r="H102" t="s">
        <v>36</v>
      </c>
      <c r="I102">
        <v>60</v>
      </c>
    </row>
    <row r="103" spans="1:9" ht="14.5" x14ac:dyDescent="0.35">
      <c r="A103">
        <v>3</v>
      </c>
      <c r="B103" t="s">
        <v>48</v>
      </c>
      <c r="C103" t="s">
        <v>72</v>
      </c>
      <c r="D103" t="s">
        <v>73</v>
      </c>
      <c r="E103" t="s">
        <v>74</v>
      </c>
      <c r="F103" t="s">
        <v>76</v>
      </c>
      <c r="G103" t="s">
        <v>35</v>
      </c>
      <c r="H103" t="s">
        <v>36</v>
      </c>
      <c r="I103">
        <v>60</v>
      </c>
    </row>
    <row r="104" spans="1:9" ht="14.5" x14ac:dyDescent="0.35">
      <c r="A104">
        <v>4</v>
      </c>
      <c r="B104" t="s">
        <v>49</v>
      </c>
      <c r="C104" t="s">
        <v>59</v>
      </c>
      <c r="D104" t="s">
        <v>60</v>
      </c>
      <c r="E104" t="s">
        <v>61</v>
      </c>
      <c r="F104" t="s">
        <v>63</v>
      </c>
      <c r="G104" t="s">
        <v>52</v>
      </c>
      <c r="H104" t="s">
        <v>36</v>
      </c>
      <c r="I104">
        <v>60</v>
      </c>
    </row>
    <row r="105" spans="1:9" ht="14.5" x14ac:dyDescent="0.35">
      <c r="A105">
        <v>4</v>
      </c>
      <c r="B105" t="s">
        <v>49</v>
      </c>
      <c r="C105" t="s">
        <v>59</v>
      </c>
      <c r="D105" t="s">
        <v>60</v>
      </c>
      <c r="E105" t="s">
        <v>61</v>
      </c>
      <c r="F105" t="s">
        <v>64</v>
      </c>
      <c r="G105" t="s">
        <v>35</v>
      </c>
      <c r="H105" t="s">
        <v>36</v>
      </c>
      <c r="I105">
        <v>60</v>
      </c>
    </row>
    <row r="106" spans="1:9" ht="14.5" x14ac:dyDescent="0.35">
      <c r="A106">
        <v>4</v>
      </c>
      <c r="B106" t="s">
        <v>49</v>
      </c>
      <c r="C106" t="s">
        <v>72</v>
      </c>
      <c r="D106" t="s">
        <v>73</v>
      </c>
      <c r="E106" t="s">
        <v>74</v>
      </c>
      <c r="F106" t="s">
        <v>76</v>
      </c>
      <c r="G106" t="s">
        <v>35</v>
      </c>
      <c r="H106" t="s">
        <v>36</v>
      </c>
      <c r="I106">
        <v>60</v>
      </c>
    </row>
    <row r="107" spans="1:9" ht="14.5" x14ac:dyDescent="0.35">
      <c r="A107">
        <v>4</v>
      </c>
      <c r="B107" t="s">
        <v>50</v>
      </c>
      <c r="C107" t="s">
        <v>31</v>
      </c>
      <c r="D107" t="s">
        <v>53</v>
      </c>
      <c r="E107" t="s">
        <v>54</v>
      </c>
      <c r="F107" t="s">
        <v>56</v>
      </c>
      <c r="G107" t="s">
        <v>52</v>
      </c>
      <c r="H107" t="s">
        <v>36</v>
      </c>
      <c r="I107">
        <v>60</v>
      </c>
    </row>
    <row r="108" spans="1:9" ht="14.5" x14ac:dyDescent="0.35">
      <c r="A108">
        <v>4</v>
      </c>
      <c r="B108" t="s">
        <v>50</v>
      </c>
      <c r="C108" t="s">
        <v>72</v>
      </c>
      <c r="D108" t="s">
        <v>73</v>
      </c>
      <c r="E108" t="s">
        <v>74</v>
      </c>
      <c r="F108" t="s">
        <v>75</v>
      </c>
      <c r="G108" t="s">
        <v>52</v>
      </c>
      <c r="H108" t="s">
        <v>36</v>
      </c>
      <c r="I108">
        <v>60</v>
      </c>
    </row>
    <row r="109" spans="1:9" ht="14.5" x14ac:dyDescent="0.35">
      <c r="A109">
        <v>4</v>
      </c>
      <c r="B109" t="s">
        <v>50</v>
      </c>
      <c r="C109" t="s">
        <v>72</v>
      </c>
      <c r="D109" t="s">
        <v>79</v>
      </c>
      <c r="E109" t="s">
        <v>80</v>
      </c>
      <c r="F109" t="s">
        <v>83</v>
      </c>
      <c r="G109" t="s">
        <v>35</v>
      </c>
      <c r="H109" t="s">
        <v>36</v>
      </c>
      <c r="I109">
        <v>60</v>
      </c>
    </row>
    <row r="110" spans="1:9" ht="14.5" x14ac:dyDescent="0.35">
      <c r="A110">
        <v>4</v>
      </c>
      <c r="B110" t="s">
        <v>51</v>
      </c>
      <c r="C110" t="s">
        <v>31</v>
      </c>
      <c r="D110" t="s">
        <v>53</v>
      </c>
      <c r="E110" t="s">
        <v>54</v>
      </c>
      <c r="F110" t="s">
        <v>55</v>
      </c>
      <c r="G110" t="s">
        <v>52</v>
      </c>
      <c r="H110" t="s">
        <v>36</v>
      </c>
      <c r="I110">
        <v>60</v>
      </c>
    </row>
    <row r="111" spans="1:9" ht="14.5" x14ac:dyDescent="0.35">
      <c r="A111">
        <v>4</v>
      </c>
      <c r="B111" t="s">
        <v>51</v>
      </c>
      <c r="C111" t="s">
        <v>31</v>
      </c>
      <c r="D111" t="s">
        <v>53</v>
      </c>
      <c r="E111" t="s">
        <v>54</v>
      </c>
      <c r="F111" t="s">
        <v>58</v>
      </c>
      <c r="G111" t="s">
        <v>35</v>
      </c>
      <c r="H111" t="s">
        <v>36</v>
      </c>
      <c r="I111">
        <v>60</v>
      </c>
    </row>
    <row r="112" spans="1:9" ht="14.5" x14ac:dyDescent="0.35">
      <c r="A112">
        <v>4</v>
      </c>
      <c r="B112" t="s">
        <v>51</v>
      </c>
      <c r="C112" t="s">
        <v>85</v>
      </c>
      <c r="D112" t="s">
        <v>92</v>
      </c>
      <c r="E112" t="s">
        <v>93</v>
      </c>
      <c r="F112" t="s">
        <v>95</v>
      </c>
      <c r="G112" t="s">
        <v>52</v>
      </c>
      <c r="H112" t="s">
        <v>36</v>
      </c>
      <c r="I112">
        <v>60</v>
      </c>
    </row>
    <row r="113" spans="1:9" ht="14.5" x14ac:dyDescent="0.35">
      <c r="A113">
        <v>4</v>
      </c>
      <c r="B113" t="s">
        <v>51</v>
      </c>
      <c r="C113" t="s">
        <v>85</v>
      </c>
      <c r="D113" t="s">
        <v>92</v>
      </c>
      <c r="E113" t="s">
        <v>93</v>
      </c>
      <c r="F113" t="s">
        <v>97</v>
      </c>
      <c r="G113" t="s">
        <v>52</v>
      </c>
      <c r="H113" t="s">
        <v>36</v>
      </c>
      <c r="I113">
        <v>60</v>
      </c>
    </row>
    <row r="114" spans="1:9" ht="14.5" x14ac:dyDescent="0.35">
      <c r="A114">
        <v>4</v>
      </c>
      <c r="B114" t="s">
        <v>51</v>
      </c>
      <c r="C114" t="s">
        <v>59</v>
      </c>
      <c r="D114" t="s">
        <v>66</v>
      </c>
      <c r="E114" t="s">
        <v>67</v>
      </c>
      <c r="F114" t="s">
        <v>68</v>
      </c>
      <c r="G114" t="s">
        <v>35</v>
      </c>
      <c r="H114" t="s">
        <v>36</v>
      </c>
      <c r="I114">
        <v>60</v>
      </c>
    </row>
    <row r="115" spans="1:9" ht="14.5" x14ac:dyDescent="0.35">
      <c r="A115">
        <v>4</v>
      </c>
      <c r="B115" t="s">
        <v>51</v>
      </c>
      <c r="C115" t="s">
        <v>72</v>
      </c>
      <c r="D115" t="s">
        <v>79</v>
      </c>
      <c r="E115" t="s">
        <v>80</v>
      </c>
      <c r="F115" t="s">
        <v>82</v>
      </c>
      <c r="G115" t="s">
        <v>52</v>
      </c>
      <c r="H115" t="s">
        <v>36</v>
      </c>
      <c r="I115">
        <v>60</v>
      </c>
    </row>
    <row r="116" spans="1:9" ht="14.5" x14ac:dyDescent="0.35">
      <c r="A116">
        <v>1</v>
      </c>
      <c r="B116" t="s">
        <v>30</v>
      </c>
      <c r="C116" t="s">
        <v>31</v>
      </c>
      <c r="D116" t="s">
        <v>53</v>
      </c>
      <c r="E116" t="s">
        <v>54</v>
      </c>
      <c r="F116" t="s">
        <v>56</v>
      </c>
      <c r="G116" t="s">
        <v>35</v>
      </c>
      <c r="H116" t="s">
        <v>36</v>
      </c>
      <c r="I116">
        <v>70</v>
      </c>
    </row>
    <row r="117" spans="1:9" ht="14.5" x14ac:dyDescent="0.35">
      <c r="A117">
        <v>1</v>
      </c>
      <c r="B117" t="s">
        <v>30</v>
      </c>
      <c r="C117" t="s">
        <v>85</v>
      </c>
      <c r="D117" t="s">
        <v>86</v>
      </c>
      <c r="E117" t="s">
        <v>87</v>
      </c>
      <c r="F117" t="s">
        <v>88</v>
      </c>
      <c r="G117" t="s">
        <v>52</v>
      </c>
      <c r="H117" t="s">
        <v>36</v>
      </c>
      <c r="I117">
        <v>70</v>
      </c>
    </row>
    <row r="118" spans="1:9" ht="14.5" x14ac:dyDescent="0.35">
      <c r="A118">
        <v>1</v>
      </c>
      <c r="B118" t="s">
        <v>30</v>
      </c>
      <c r="C118" t="s">
        <v>59</v>
      </c>
      <c r="D118" t="s">
        <v>66</v>
      </c>
      <c r="E118" t="s">
        <v>67</v>
      </c>
      <c r="F118" t="s">
        <v>70</v>
      </c>
      <c r="G118" t="s">
        <v>35</v>
      </c>
      <c r="H118" t="s">
        <v>36</v>
      </c>
      <c r="I118">
        <v>70</v>
      </c>
    </row>
    <row r="119" spans="1:9" ht="14.5" x14ac:dyDescent="0.35">
      <c r="A119">
        <v>1</v>
      </c>
      <c r="B119" t="s">
        <v>41</v>
      </c>
      <c r="C119" t="s">
        <v>31</v>
      </c>
      <c r="D119" t="s">
        <v>53</v>
      </c>
      <c r="E119" t="s">
        <v>54</v>
      </c>
      <c r="F119" t="s">
        <v>56</v>
      </c>
      <c r="G119" t="s">
        <v>52</v>
      </c>
      <c r="H119" t="s">
        <v>36</v>
      </c>
      <c r="I119">
        <v>70</v>
      </c>
    </row>
    <row r="120" spans="1:9" ht="14.5" x14ac:dyDescent="0.35">
      <c r="A120">
        <v>1</v>
      </c>
      <c r="B120" t="s">
        <v>41</v>
      </c>
      <c r="C120" t="s">
        <v>31</v>
      </c>
      <c r="D120" t="s">
        <v>53</v>
      </c>
      <c r="E120" t="s">
        <v>54</v>
      </c>
      <c r="F120" t="s">
        <v>57</v>
      </c>
      <c r="G120" t="s">
        <v>52</v>
      </c>
      <c r="H120" t="s">
        <v>36</v>
      </c>
      <c r="I120">
        <v>70</v>
      </c>
    </row>
    <row r="121" spans="1:9" ht="14.5" x14ac:dyDescent="0.35">
      <c r="A121">
        <v>1</v>
      </c>
      <c r="B121" t="s">
        <v>41</v>
      </c>
      <c r="C121" t="s">
        <v>85</v>
      </c>
      <c r="D121" t="s">
        <v>86</v>
      </c>
      <c r="E121" t="s">
        <v>87</v>
      </c>
      <c r="F121" t="s">
        <v>89</v>
      </c>
      <c r="G121" t="s">
        <v>35</v>
      </c>
      <c r="H121" t="s">
        <v>36</v>
      </c>
      <c r="I121">
        <v>70</v>
      </c>
    </row>
    <row r="122" spans="1:9" ht="14.5" x14ac:dyDescent="0.35">
      <c r="A122">
        <v>1</v>
      </c>
      <c r="B122" t="s">
        <v>41</v>
      </c>
      <c r="C122" t="s">
        <v>59</v>
      </c>
      <c r="D122" t="s">
        <v>66</v>
      </c>
      <c r="E122" t="s">
        <v>67</v>
      </c>
      <c r="F122" t="s">
        <v>69</v>
      </c>
      <c r="G122" t="s">
        <v>52</v>
      </c>
      <c r="H122" t="s">
        <v>36</v>
      </c>
      <c r="I122">
        <v>70</v>
      </c>
    </row>
    <row r="123" spans="1:9" ht="14.5" x14ac:dyDescent="0.35">
      <c r="A123">
        <v>1</v>
      </c>
      <c r="B123" t="s">
        <v>41</v>
      </c>
      <c r="C123" t="s">
        <v>59</v>
      </c>
      <c r="D123" t="s">
        <v>66</v>
      </c>
      <c r="E123" t="s">
        <v>67</v>
      </c>
      <c r="F123" t="s">
        <v>70</v>
      </c>
      <c r="G123" t="s">
        <v>52</v>
      </c>
      <c r="H123" t="s">
        <v>36</v>
      </c>
      <c r="I123">
        <v>70</v>
      </c>
    </row>
    <row r="124" spans="1:9" ht="14.5" x14ac:dyDescent="0.35">
      <c r="A124">
        <v>1</v>
      </c>
      <c r="B124" t="s">
        <v>41</v>
      </c>
      <c r="C124" t="s">
        <v>72</v>
      </c>
      <c r="D124" t="s">
        <v>73</v>
      </c>
      <c r="E124" t="s">
        <v>74</v>
      </c>
      <c r="F124" t="s">
        <v>76</v>
      </c>
      <c r="G124" t="s">
        <v>52</v>
      </c>
      <c r="H124" t="s">
        <v>36</v>
      </c>
      <c r="I124">
        <v>70</v>
      </c>
    </row>
    <row r="125" spans="1:9" ht="14.5" x14ac:dyDescent="0.35">
      <c r="A125">
        <v>1</v>
      </c>
      <c r="B125" t="s">
        <v>41</v>
      </c>
      <c r="C125" t="s">
        <v>72</v>
      </c>
      <c r="D125" t="s">
        <v>73</v>
      </c>
      <c r="E125" t="s">
        <v>74</v>
      </c>
      <c r="F125" t="s">
        <v>78</v>
      </c>
      <c r="G125" t="s">
        <v>52</v>
      </c>
      <c r="H125" t="s">
        <v>36</v>
      </c>
      <c r="I125">
        <v>70</v>
      </c>
    </row>
    <row r="126" spans="1:9" ht="14.5" x14ac:dyDescent="0.35">
      <c r="A126">
        <v>1</v>
      </c>
      <c r="B126" t="s">
        <v>42</v>
      </c>
      <c r="C126" t="s">
        <v>31</v>
      </c>
      <c r="D126" t="s">
        <v>53</v>
      </c>
      <c r="E126" t="s">
        <v>54</v>
      </c>
      <c r="F126" t="s">
        <v>55</v>
      </c>
      <c r="G126" t="s">
        <v>52</v>
      </c>
      <c r="H126" t="s">
        <v>36</v>
      </c>
      <c r="I126">
        <v>70</v>
      </c>
    </row>
    <row r="127" spans="1:9" ht="14.5" x14ac:dyDescent="0.35">
      <c r="A127">
        <v>1</v>
      </c>
      <c r="B127" t="s">
        <v>42</v>
      </c>
      <c r="C127" t="s">
        <v>85</v>
      </c>
      <c r="D127" t="s">
        <v>92</v>
      </c>
      <c r="E127" t="s">
        <v>93</v>
      </c>
      <c r="F127" t="s">
        <v>97</v>
      </c>
      <c r="G127" t="s">
        <v>52</v>
      </c>
      <c r="H127" t="s">
        <v>36</v>
      </c>
      <c r="I127">
        <v>70</v>
      </c>
    </row>
    <row r="128" spans="1:9" ht="14.5" x14ac:dyDescent="0.35">
      <c r="A128">
        <v>1</v>
      </c>
      <c r="B128" t="s">
        <v>42</v>
      </c>
      <c r="C128" t="s">
        <v>72</v>
      </c>
      <c r="D128" t="s">
        <v>73</v>
      </c>
      <c r="E128" t="s">
        <v>74</v>
      </c>
      <c r="F128" t="s">
        <v>78</v>
      </c>
      <c r="G128" t="s">
        <v>52</v>
      </c>
      <c r="H128" t="s">
        <v>36</v>
      </c>
      <c r="I128">
        <v>70</v>
      </c>
    </row>
    <row r="129" spans="1:9" ht="14.5" x14ac:dyDescent="0.35">
      <c r="A129">
        <v>2</v>
      </c>
      <c r="B129" t="s">
        <v>43</v>
      </c>
      <c r="C129" t="s">
        <v>31</v>
      </c>
      <c r="D129" t="s">
        <v>32</v>
      </c>
      <c r="E129" t="s">
        <v>33</v>
      </c>
      <c r="F129" t="s">
        <v>39</v>
      </c>
      <c r="G129" t="s">
        <v>35</v>
      </c>
      <c r="H129" t="s">
        <v>36</v>
      </c>
      <c r="I129">
        <v>70</v>
      </c>
    </row>
    <row r="130" spans="1:9" ht="14.5" x14ac:dyDescent="0.35">
      <c r="A130">
        <v>2</v>
      </c>
      <c r="B130" t="s">
        <v>43</v>
      </c>
      <c r="C130" t="s">
        <v>85</v>
      </c>
      <c r="D130" t="s">
        <v>86</v>
      </c>
      <c r="E130" t="s">
        <v>87</v>
      </c>
      <c r="F130" t="s">
        <v>88</v>
      </c>
      <c r="G130" t="s">
        <v>52</v>
      </c>
      <c r="H130" t="s">
        <v>36</v>
      </c>
      <c r="I130">
        <v>70</v>
      </c>
    </row>
    <row r="131" spans="1:9" ht="14.5" x14ac:dyDescent="0.35">
      <c r="A131">
        <v>2</v>
      </c>
      <c r="B131" t="s">
        <v>43</v>
      </c>
      <c r="C131" t="s">
        <v>85</v>
      </c>
      <c r="D131" t="s">
        <v>92</v>
      </c>
      <c r="E131" t="s">
        <v>93</v>
      </c>
      <c r="F131" t="s">
        <v>95</v>
      </c>
      <c r="G131" t="s">
        <v>52</v>
      </c>
      <c r="H131" t="s">
        <v>36</v>
      </c>
      <c r="I131">
        <v>70</v>
      </c>
    </row>
    <row r="132" spans="1:9" ht="14.5" x14ac:dyDescent="0.35">
      <c r="A132">
        <v>2</v>
      </c>
      <c r="B132" t="s">
        <v>43</v>
      </c>
      <c r="C132" t="s">
        <v>85</v>
      </c>
      <c r="D132" t="s">
        <v>92</v>
      </c>
      <c r="E132" t="s">
        <v>93</v>
      </c>
      <c r="F132" t="s">
        <v>96</v>
      </c>
      <c r="G132" t="s">
        <v>52</v>
      </c>
      <c r="H132" t="s">
        <v>36</v>
      </c>
      <c r="I132">
        <v>70</v>
      </c>
    </row>
    <row r="133" spans="1:9" ht="14.5" x14ac:dyDescent="0.35">
      <c r="A133">
        <v>2</v>
      </c>
      <c r="B133" t="s">
        <v>43</v>
      </c>
      <c r="C133" t="s">
        <v>59</v>
      </c>
      <c r="D133" t="s">
        <v>60</v>
      </c>
      <c r="E133" t="s">
        <v>61</v>
      </c>
      <c r="F133" t="s">
        <v>65</v>
      </c>
      <c r="G133" t="s">
        <v>52</v>
      </c>
      <c r="H133" t="s">
        <v>36</v>
      </c>
      <c r="I133">
        <v>70</v>
      </c>
    </row>
    <row r="134" spans="1:9" ht="14.5" x14ac:dyDescent="0.35">
      <c r="A134">
        <v>2</v>
      </c>
      <c r="B134" t="s">
        <v>43</v>
      </c>
      <c r="C134" t="s">
        <v>59</v>
      </c>
      <c r="D134" t="s">
        <v>66</v>
      </c>
      <c r="E134" t="s">
        <v>67</v>
      </c>
      <c r="F134" t="s">
        <v>70</v>
      </c>
      <c r="G134" t="s">
        <v>52</v>
      </c>
      <c r="H134" t="s">
        <v>36</v>
      </c>
      <c r="I134">
        <v>70</v>
      </c>
    </row>
    <row r="135" spans="1:9" ht="14.5" x14ac:dyDescent="0.35">
      <c r="A135">
        <v>2</v>
      </c>
      <c r="B135" t="s">
        <v>43</v>
      </c>
      <c r="C135" t="s">
        <v>72</v>
      </c>
      <c r="D135" t="s">
        <v>73</v>
      </c>
      <c r="E135" t="s">
        <v>74</v>
      </c>
      <c r="F135" t="s">
        <v>76</v>
      </c>
      <c r="G135" t="s">
        <v>52</v>
      </c>
      <c r="H135" t="s">
        <v>36</v>
      </c>
      <c r="I135">
        <v>70</v>
      </c>
    </row>
    <row r="136" spans="1:9" ht="14.5" x14ac:dyDescent="0.35">
      <c r="A136">
        <v>2</v>
      </c>
      <c r="B136" t="s">
        <v>44</v>
      </c>
      <c r="C136" t="s">
        <v>31</v>
      </c>
      <c r="D136" t="s">
        <v>32</v>
      </c>
      <c r="E136" t="s">
        <v>33</v>
      </c>
      <c r="F136" t="s">
        <v>39</v>
      </c>
      <c r="G136" t="s">
        <v>35</v>
      </c>
      <c r="H136" t="s">
        <v>36</v>
      </c>
      <c r="I136">
        <v>70</v>
      </c>
    </row>
    <row r="137" spans="1:9" ht="14.5" x14ac:dyDescent="0.35">
      <c r="A137">
        <v>2</v>
      </c>
      <c r="B137" t="s">
        <v>44</v>
      </c>
      <c r="C137" t="s">
        <v>31</v>
      </c>
      <c r="D137" t="s">
        <v>53</v>
      </c>
      <c r="E137" t="s">
        <v>54</v>
      </c>
      <c r="F137" t="s">
        <v>57</v>
      </c>
      <c r="G137" t="s">
        <v>52</v>
      </c>
      <c r="H137" t="s">
        <v>36</v>
      </c>
      <c r="I137">
        <v>70</v>
      </c>
    </row>
    <row r="138" spans="1:9" ht="14.5" x14ac:dyDescent="0.35">
      <c r="A138">
        <v>2</v>
      </c>
      <c r="B138" t="s">
        <v>44</v>
      </c>
      <c r="C138" t="s">
        <v>31</v>
      </c>
      <c r="D138" t="s">
        <v>53</v>
      </c>
      <c r="E138" t="s">
        <v>54</v>
      </c>
      <c r="F138" t="s">
        <v>58</v>
      </c>
      <c r="G138" t="s">
        <v>35</v>
      </c>
      <c r="H138" t="s">
        <v>36</v>
      </c>
      <c r="I138">
        <v>70</v>
      </c>
    </row>
    <row r="139" spans="1:9" ht="14.5" x14ac:dyDescent="0.35">
      <c r="A139">
        <v>2</v>
      </c>
      <c r="B139" t="s">
        <v>44</v>
      </c>
      <c r="C139" t="s">
        <v>85</v>
      </c>
      <c r="D139" t="s">
        <v>86</v>
      </c>
      <c r="E139" t="s">
        <v>87</v>
      </c>
      <c r="F139" t="s">
        <v>89</v>
      </c>
      <c r="G139" t="s">
        <v>52</v>
      </c>
      <c r="H139" t="s">
        <v>36</v>
      </c>
      <c r="I139">
        <v>70</v>
      </c>
    </row>
    <row r="140" spans="1:9" ht="14.5" x14ac:dyDescent="0.35">
      <c r="A140">
        <v>2</v>
      </c>
      <c r="B140" t="s">
        <v>44</v>
      </c>
      <c r="C140" t="s">
        <v>85</v>
      </c>
      <c r="D140" t="s">
        <v>86</v>
      </c>
      <c r="E140" t="s">
        <v>87</v>
      </c>
      <c r="F140" t="s">
        <v>90</v>
      </c>
      <c r="G140" t="s">
        <v>52</v>
      </c>
      <c r="H140" t="s">
        <v>36</v>
      </c>
      <c r="I140">
        <v>70</v>
      </c>
    </row>
    <row r="141" spans="1:9" ht="14.5" x14ac:dyDescent="0.35">
      <c r="A141">
        <v>2</v>
      </c>
      <c r="B141" t="s">
        <v>44</v>
      </c>
      <c r="C141" t="s">
        <v>72</v>
      </c>
      <c r="D141" t="s">
        <v>73</v>
      </c>
      <c r="E141" t="s">
        <v>74</v>
      </c>
      <c r="F141" t="s">
        <v>76</v>
      </c>
      <c r="G141" t="s">
        <v>52</v>
      </c>
      <c r="H141" t="s">
        <v>36</v>
      </c>
      <c r="I141">
        <v>70</v>
      </c>
    </row>
    <row r="142" spans="1:9" ht="14.5" x14ac:dyDescent="0.35">
      <c r="A142">
        <v>2</v>
      </c>
      <c r="B142" t="s">
        <v>44</v>
      </c>
      <c r="C142" t="s">
        <v>72</v>
      </c>
      <c r="D142" t="s">
        <v>79</v>
      </c>
      <c r="E142" t="s">
        <v>80</v>
      </c>
      <c r="F142" t="s">
        <v>81</v>
      </c>
      <c r="G142" t="s">
        <v>35</v>
      </c>
      <c r="H142" t="s">
        <v>36</v>
      </c>
      <c r="I142">
        <v>70</v>
      </c>
    </row>
    <row r="143" spans="1:9" ht="14.5" x14ac:dyDescent="0.35">
      <c r="A143">
        <v>2</v>
      </c>
      <c r="B143" t="s">
        <v>44</v>
      </c>
      <c r="C143" t="s">
        <v>72</v>
      </c>
      <c r="D143" t="s">
        <v>79</v>
      </c>
      <c r="E143" t="s">
        <v>80</v>
      </c>
      <c r="F143" t="s">
        <v>82</v>
      </c>
      <c r="G143" t="s">
        <v>35</v>
      </c>
      <c r="H143" t="s">
        <v>36</v>
      </c>
      <c r="I143">
        <v>70</v>
      </c>
    </row>
    <row r="144" spans="1:9" ht="14.5" x14ac:dyDescent="0.35">
      <c r="A144">
        <v>2</v>
      </c>
      <c r="B144" t="s">
        <v>44</v>
      </c>
      <c r="C144" t="s">
        <v>72</v>
      </c>
      <c r="D144" t="s">
        <v>79</v>
      </c>
      <c r="E144" t="s">
        <v>80</v>
      </c>
      <c r="F144" t="s">
        <v>84</v>
      </c>
      <c r="G144" t="s">
        <v>35</v>
      </c>
      <c r="H144" t="s">
        <v>36</v>
      </c>
      <c r="I144">
        <v>70</v>
      </c>
    </row>
    <row r="145" spans="1:9" ht="14.5" x14ac:dyDescent="0.35">
      <c r="A145">
        <v>2</v>
      </c>
      <c r="B145" t="s">
        <v>45</v>
      </c>
      <c r="C145" t="s">
        <v>31</v>
      </c>
      <c r="D145" t="s">
        <v>32</v>
      </c>
      <c r="E145" t="s">
        <v>33</v>
      </c>
      <c r="F145" t="s">
        <v>39</v>
      </c>
      <c r="G145" t="s">
        <v>35</v>
      </c>
      <c r="H145" t="s">
        <v>36</v>
      </c>
      <c r="I145">
        <v>70</v>
      </c>
    </row>
    <row r="146" spans="1:9" ht="14.5" x14ac:dyDescent="0.35">
      <c r="A146">
        <v>2</v>
      </c>
      <c r="B146" t="s">
        <v>45</v>
      </c>
      <c r="C146" t="s">
        <v>72</v>
      </c>
      <c r="D146" t="s">
        <v>79</v>
      </c>
      <c r="E146" t="s">
        <v>80</v>
      </c>
      <c r="F146" t="s">
        <v>83</v>
      </c>
      <c r="G146" t="s">
        <v>35</v>
      </c>
      <c r="H146" t="s">
        <v>36</v>
      </c>
      <c r="I146">
        <v>70</v>
      </c>
    </row>
    <row r="147" spans="1:9" ht="14.5" x14ac:dyDescent="0.35">
      <c r="A147">
        <v>3</v>
      </c>
      <c r="B147" t="s">
        <v>46</v>
      </c>
      <c r="C147" t="s">
        <v>31</v>
      </c>
      <c r="D147" t="s">
        <v>53</v>
      </c>
      <c r="E147" t="s">
        <v>54</v>
      </c>
      <c r="F147" t="s">
        <v>56</v>
      </c>
      <c r="G147" t="s">
        <v>52</v>
      </c>
      <c r="H147" t="s">
        <v>36</v>
      </c>
      <c r="I147">
        <v>70</v>
      </c>
    </row>
    <row r="148" spans="1:9" ht="14.5" x14ac:dyDescent="0.35">
      <c r="A148">
        <v>3</v>
      </c>
      <c r="B148" t="s">
        <v>46</v>
      </c>
      <c r="C148" t="s">
        <v>59</v>
      </c>
      <c r="D148" t="s">
        <v>60</v>
      </c>
      <c r="E148" t="s">
        <v>61</v>
      </c>
      <c r="F148" t="s">
        <v>63</v>
      </c>
      <c r="G148" t="s">
        <v>35</v>
      </c>
      <c r="H148" t="s">
        <v>36</v>
      </c>
      <c r="I148">
        <v>70</v>
      </c>
    </row>
    <row r="149" spans="1:9" ht="14.5" x14ac:dyDescent="0.35">
      <c r="A149">
        <v>3</v>
      </c>
      <c r="B149" t="s">
        <v>46</v>
      </c>
      <c r="C149" t="s">
        <v>59</v>
      </c>
      <c r="D149" t="s">
        <v>66</v>
      </c>
      <c r="E149" t="s">
        <v>67</v>
      </c>
      <c r="F149" t="s">
        <v>70</v>
      </c>
      <c r="G149" t="s">
        <v>35</v>
      </c>
      <c r="H149" t="s">
        <v>36</v>
      </c>
      <c r="I149">
        <v>70</v>
      </c>
    </row>
    <row r="150" spans="1:9" ht="14.5" x14ac:dyDescent="0.35">
      <c r="A150">
        <v>3</v>
      </c>
      <c r="B150" t="s">
        <v>46</v>
      </c>
      <c r="C150" t="s">
        <v>72</v>
      </c>
      <c r="D150" t="s">
        <v>79</v>
      </c>
      <c r="E150" t="s">
        <v>80</v>
      </c>
      <c r="F150" t="s">
        <v>83</v>
      </c>
      <c r="G150" t="s">
        <v>35</v>
      </c>
      <c r="H150" t="s">
        <v>36</v>
      </c>
      <c r="I150">
        <v>70</v>
      </c>
    </row>
    <row r="151" spans="1:9" ht="14.5" x14ac:dyDescent="0.35">
      <c r="A151">
        <v>3</v>
      </c>
      <c r="B151" t="s">
        <v>47</v>
      </c>
      <c r="C151" t="s">
        <v>31</v>
      </c>
      <c r="D151" t="s">
        <v>32</v>
      </c>
      <c r="E151" t="s">
        <v>33</v>
      </c>
      <c r="F151" t="s">
        <v>39</v>
      </c>
      <c r="G151" t="s">
        <v>52</v>
      </c>
      <c r="H151" t="s">
        <v>36</v>
      </c>
      <c r="I151">
        <v>70</v>
      </c>
    </row>
    <row r="152" spans="1:9" ht="14.5" x14ac:dyDescent="0.35">
      <c r="A152">
        <v>3</v>
      </c>
      <c r="B152" t="s">
        <v>47</v>
      </c>
      <c r="C152" t="s">
        <v>31</v>
      </c>
      <c r="D152" t="s">
        <v>53</v>
      </c>
      <c r="E152" t="s">
        <v>54</v>
      </c>
      <c r="F152" t="s">
        <v>56</v>
      </c>
      <c r="G152" t="s">
        <v>35</v>
      </c>
      <c r="H152" t="s">
        <v>36</v>
      </c>
      <c r="I152">
        <v>70</v>
      </c>
    </row>
    <row r="153" spans="1:9" ht="14.5" x14ac:dyDescent="0.35">
      <c r="A153">
        <v>3</v>
      </c>
      <c r="B153" t="s">
        <v>47</v>
      </c>
      <c r="C153" t="s">
        <v>85</v>
      </c>
      <c r="D153" t="s">
        <v>86</v>
      </c>
      <c r="E153" t="s">
        <v>87</v>
      </c>
      <c r="F153" t="s">
        <v>89</v>
      </c>
      <c r="G153" t="s">
        <v>52</v>
      </c>
      <c r="H153" t="s">
        <v>36</v>
      </c>
      <c r="I153">
        <v>70</v>
      </c>
    </row>
    <row r="154" spans="1:9" ht="14.5" x14ac:dyDescent="0.35">
      <c r="A154">
        <v>3</v>
      </c>
      <c r="B154" t="s">
        <v>47</v>
      </c>
      <c r="C154" t="s">
        <v>85</v>
      </c>
      <c r="D154" t="s">
        <v>86</v>
      </c>
      <c r="E154" t="s">
        <v>87</v>
      </c>
      <c r="F154" t="s">
        <v>91</v>
      </c>
      <c r="G154" t="s">
        <v>35</v>
      </c>
      <c r="H154" t="s">
        <v>36</v>
      </c>
      <c r="I154">
        <v>70</v>
      </c>
    </row>
    <row r="155" spans="1:9" ht="14.5" x14ac:dyDescent="0.35">
      <c r="A155">
        <v>3</v>
      </c>
      <c r="B155" t="s">
        <v>47</v>
      </c>
      <c r="C155" t="s">
        <v>59</v>
      </c>
      <c r="D155" t="s">
        <v>60</v>
      </c>
      <c r="E155" t="s">
        <v>61</v>
      </c>
      <c r="F155" t="s">
        <v>64</v>
      </c>
      <c r="G155" t="s">
        <v>52</v>
      </c>
      <c r="H155" t="s">
        <v>36</v>
      </c>
      <c r="I155">
        <v>70</v>
      </c>
    </row>
    <row r="156" spans="1:9" ht="14.5" x14ac:dyDescent="0.35">
      <c r="A156">
        <v>3</v>
      </c>
      <c r="B156" t="s">
        <v>48</v>
      </c>
      <c r="C156" t="s">
        <v>31</v>
      </c>
      <c r="D156" t="s">
        <v>32</v>
      </c>
      <c r="E156" t="s">
        <v>33</v>
      </c>
      <c r="F156" t="s">
        <v>40</v>
      </c>
      <c r="G156" t="s">
        <v>35</v>
      </c>
      <c r="H156" t="s">
        <v>36</v>
      </c>
      <c r="I156">
        <v>70</v>
      </c>
    </row>
    <row r="157" spans="1:9" ht="14.5" x14ac:dyDescent="0.35">
      <c r="A157">
        <v>3</v>
      </c>
      <c r="B157" t="s">
        <v>48</v>
      </c>
      <c r="C157" t="s">
        <v>31</v>
      </c>
      <c r="D157" t="s">
        <v>53</v>
      </c>
      <c r="E157" t="s">
        <v>54</v>
      </c>
      <c r="F157" t="s">
        <v>55</v>
      </c>
      <c r="G157" t="s">
        <v>35</v>
      </c>
      <c r="H157" t="s">
        <v>36</v>
      </c>
      <c r="I157">
        <v>70</v>
      </c>
    </row>
    <row r="158" spans="1:9" ht="14.5" x14ac:dyDescent="0.35">
      <c r="A158">
        <v>3</v>
      </c>
      <c r="B158" t="s">
        <v>48</v>
      </c>
      <c r="C158" t="s">
        <v>85</v>
      </c>
      <c r="D158" t="s">
        <v>86</v>
      </c>
      <c r="E158" t="s">
        <v>87</v>
      </c>
      <c r="F158" t="s">
        <v>90</v>
      </c>
      <c r="G158" t="s">
        <v>35</v>
      </c>
      <c r="H158" t="s">
        <v>36</v>
      </c>
      <c r="I158">
        <v>70</v>
      </c>
    </row>
    <row r="159" spans="1:9" ht="14.5" x14ac:dyDescent="0.35">
      <c r="A159">
        <v>3</v>
      </c>
      <c r="B159" t="s">
        <v>48</v>
      </c>
      <c r="C159" t="s">
        <v>85</v>
      </c>
      <c r="D159" t="s">
        <v>86</v>
      </c>
      <c r="E159" t="s">
        <v>87</v>
      </c>
      <c r="F159" t="s">
        <v>90</v>
      </c>
      <c r="G159" t="s">
        <v>52</v>
      </c>
      <c r="H159" t="s">
        <v>36</v>
      </c>
      <c r="I159">
        <v>70</v>
      </c>
    </row>
    <row r="160" spans="1:9" ht="14.5" x14ac:dyDescent="0.35">
      <c r="A160">
        <v>4</v>
      </c>
      <c r="B160" t="s">
        <v>49</v>
      </c>
      <c r="C160" t="s">
        <v>85</v>
      </c>
      <c r="D160" t="s">
        <v>86</v>
      </c>
      <c r="E160" t="s">
        <v>87</v>
      </c>
      <c r="F160" t="s">
        <v>89</v>
      </c>
      <c r="G160" t="s">
        <v>52</v>
      </c>
      <c r="H160" t="s">
        <v>36</v>
      </c>
      <c r="I160">
        <v>70</v>
      </c>
    </row>
    <row r="161" spans="1:9" ht="14.5" x14ac:dyDescent="0.35">
      <c r="A161">
        <v>4</v>
      </c>
      <c r="B161" t="s">
        <v>49</v>
      </c>
      <c r="C161" t="s">
        <v>85</v>
      </c>
      <c r="D161" t="s">
        <v>92</v>
      </c>
      <c r="E161" t="s">
        <v>93</v>
      </c>
      <c r="F161" t="s">
        <v>97</v>
      </c>
      <c r="G161" t="s">
        <v>52</v>
      </c>
      <c r="H161" t="s">
        <v>36</v>
      </c>
      <c r="I161">
        <v>70</v>
      </c>
    </row>
    <row r="162" spans="1:9" ht="14.5" x14ac:dyDescent="0.35">
      <c r="A162">
        <v>4</v>
      </c>
      <c r="B162" t="s">
        <v>49</v>
      </c>
      <c r="C162" t="s">
        <v>59</v>
      </c>
      <c r="D162" t="s">
        <v>60</v>
      </c>
      <c r="E162" t="s">
        <v>61</v>
      </c>
      <c r="F162" t="s">
        <v>64</v>
      </c>
      <c r="G162" t="s">
        <v>52</v>
      </c>
      <c r="H162" t="s">
        <v>36</v>
      </c>
      <c r="I162">
        <v>70</v>
      </c>
    </row>
    <row r="163" spans="1:9" ht="14.5" x14ac:dyDescent="0.35">
      <c r="A163">
        <v>4</v>
      </c>
      <c r="B163" t="s">
        <v>49</v>
      </c>
      <c r="C163" t="s">
        <v>72</v>
      </c>
      <c r="D163" t="s">
        <v>79</v>
      </c>
      <c r="E163" t="s">
        <v>80</v>
      </c>
      <c r="F163" t="s">
        <v>83</v>
      </c>
      <c r="G163" t="s">
        <v>35</v>
      </c>
      <c r="H163" t="s">
        <v>36</v>
      </c>
      <c r="I163">
        <v>70</v>
      </c>
    </row>
    <row r="164" spans="1:9" ht="14.5" x14ac:dyDescent="0.35">
      <c r="A164">
        <v>4</v>
      </c>
      <c r="B164" t="s">
        <v>50</v>
      </c>
      <c r="C164" t="s">
        <v>31</v>
      </c>
      <c r="D164" t="s">
        <v>32</v>
      </c>
      <c r="E164" t="s">
        <v>33</v>
      </c>
      <c r="F164" t="s">
        <v>34</v>
      </c>
      <c r="G164" t="s">
        <v>35</v>
      </c>
      <c r="H164" t="s">
        <v>36</v>
      </c>
      <c r="I164">
        <v>70</v>
      </c>
    </row>
    <row r="165" spans="1:9" ht="14.5" x14ac:dyDescent="0.35">
      <c r="A165">
        <v>4</v>
      </c>
      <c r="B165" t="s">
        <v>50</v>
      </c>
      <c r="C165" t="s">
        <v>31</v>
      </c>
      <c r="D165" t="s">
        <v>53</v>
      </c>
      <c r="E165" t="s">
        <v>54</v>
      </c>
      <c r="F165" t="s">
        <v>58</v>
      </c>
      <c r="G165" t="s">
        <v>35</v>
      </c>
      <c r="H165" t="s">
        <v>36</v>
      </c>
      <c r="I165">
        <v>70</v>
      </c>
    </row>
    <row r="166" spans="1:9" ht="14.5" x14ac:dyDescent="0.35">
      <c r="A166">
        <v>4</v>
      </c>
      <c r="B166" t="s">
        <v>50</v>
      </c>
      <c r="C166" t="s">
        <v>59</v>
      </c>
      <c r="D166" t="s">
        <v>60</v>
      </c>
      <c r="E166" t="s">
        <v>61</v>
      </c>
      <c r="F166" t="s">
        <v>63</v>
      </c>
      <c r="G166" t="s">
        <v>52</v>
      </c>
      <c r="H166" t="s">
        <v>36</v>
      </c>
      <c r="I166">
        <v>70</v>
      </c>
    </row>
    <row r="167" spans="1:9" ht="14.5" x14ac:dyDescent="0.35">
      <c r="A167">
        <v>4</v>
      </c>
      <c r="B167" t="s">
        <v>50</v>
      </c>
      <c r="C167" t="s">
        <v>59</v>
      </c>
      <c r="D167" t="s">
        <v>60</v>
      </c>
      <c r="E167" t="s">
        <v>61</v>
      </c>
      <c r="F167" t="s">
        <v>64</v>
      </c>
      <c r="G167" t="s">
        <v>52</v>
      </c>
      <c r="H167" t="s">
        <v>36</v>
      </c>
      <c r="I167">
        <v>70</v>
      </c>
    </row>
    <row r="168" spans="1:9" ht="14.5" x14ac:dyDescent="0.35">
      <c r="A168">
        <v>4</v>
      </c>
      <c r="B168" t="s">
        <v>51</v>
      </c>
      <c r="C168" t="s">
        <v>85</v>
      </c>
      <c r="D168" t="s">
        <v>86</v>
      </c>
      <c r="E168" t="s">
        <v>87</v>
      </c>
      <c r="F168" t="s">
        <v>88</v>
      </c>
      <c r="G168" t="s">
        <v>52</v>
      </c>
      <c r="H168" t="s">
        <v>36</v>
      </c>
      <c r="I168">
        <v>70</v>
      </c>
    </row>
    <row r="169" spans="1:9" ht="14.5" x14ac:dyDescent="0.35">
      <c r="A169">
        <v>4</v>
      </c>
      <c r="B169" t="s">
        <v>51</v>
      </c>
      <c r="C169" t="s">
        <v>59</v>
      </c>
      <c r="D169" t="s">
        <v>60</v>
      </c>
      <c r="E169" t="s">
        <v>61</v>
      </c>
      <c r="F169" t="s">
        <v>63</v>
      </c>
      <c r="G169" t="s">
        <v>35</v>
      </c>
      <c r="H169" t="s">
        <v>36</v>
      </c>
      <c r="I169">
        <v>70</v>
      </c>
    </row>
    <row r="170" spans="1:9" ht="14.5" x14ac:dyDescent="0.35">
      <c r="A170">
        <v>4</v>
      </c>
      <c r="B170" t="s">
        <v>51</v>
      </c>
      <c r="C170" t="s">
        <v>72</v>
      </c>
      <c r="D170" t="s">
        <v>79</v>
      </c>
      <c r="E170" t="s">
        <v>80</v>
      </c>
      <c r="F170" t="s">
        <v>81</v>
      </c>
      <c r="G170" t="s">
        <v>35</v>
      </c>
      <c r="H170" t="s">
        <v>36</v>
      </c>
      <c r="I170">
        <v>70</v>
      </c>
    </row>
    <row r="171" spans="1:9" ht="14.5" x14ac:dyDescent="0.35">
      <c r="A171">
        <v>4</v>
      </c>
      <c r="B171" t="s">
        <v>51</v>
      </c>
      <c r="C171" t="s">
        <v>72</v>
      </c>
      <c r="D171" t="s">
        <v>79</v>
      </c>
      <c r="E171" t="s">
        <v>80</v>
      </c>
      <c r="F171" t="s">
        <v>81</v>
      </c>
      <c r="G171" t="s">
        <v>52</v>
      </c>
      <c r="H171" t="s">
        <v>36</v>
      </c>
      <c r="I171">
        <v>70</v>
      </c>
    </row>
    <row r="172" spans="1:9" ht="14.5" x14ac:dyDescent="0.35">
      <c r="A172">
        <v>4</v>
      </c>
      <c r="B172" t="s">
        <v>51</v>
      </c>
      <c r="C172" t="s">
        <v>72</v>
      </c>
      <c r="D172" t="s">
        <v>79</v>
      </c>
      <c r="E172" t="s">
        <v>80</v>
      </c>
      <c r="F172" t="s">
        <v>83</v>
      </c>
      <c r="G172" t="s">
        <v>35</v>
      </c>
      <c r="H172" t="s">
        <v>36</v>
      </c>
      <c r="I172">
        <v>70</v>
      </c>
    </row>
    <row r="173" spans="1:9" ht="14.5" x14ac:dyDescent="0.35">
      <c r="A173">
        <v>1</v>
      </c>
      <c r="B173" t="s">
        <v>30</v>
      </c>
      <c r="C173" t="s">
        <v>59</v>
      </c>
      <c r="D173" t="s">
        <v>60</v>
      </c>
      <c r="E173" t="s">
        <v>61</v>
      </c>
      <c r="F173" t="s">
        <v>63</v>
      </c>
      <c r="G173" t="s">
        <v>52</v>
      </c>
      <c r="H173" t="s">
        <v>36</v>
      </c>
      <c r="I173">
        <v>80</v>
      </c>
    </row>
    <row r="174" spans="1:9" ht="14.5" x14ac:dyDescent="0.35">
      <c r="A174">
        <v>1</v>
      </c>
      <c r="B174" t="s">
        <v>30</v>
      </c>
      <c r="C174" t="s">
        <v>59</v>
      </c>
      <c r="D174" t="s">
        <v>66</v>
      </c>
      <c r="E174" t="s">
        <v>67</v>
      </c>
      <c r="F174" t="s">
        <v>71</v>
      </c>
      <c r="G174" t="s">
        <v>35</v>
      </c>
      <c r="H174" t="s">
        <v>36</v>
      </c>
      <c r="I174">
        <v>80</v>
      </c>
    </row>
    <row r="175" spans="1:9" ht="14.5" x14ac:dyDescent="0.35">
      <c r="A175">
        <v>1</v>
      </c>
      <c r="B175" t="s">
        <v>30</v>
      </c>
      <c r="C175" t="s">
        <v>72</v>
      </c>
      <c r="D175" t="s">
        <v>73</v>
      </c>
      <c r="E175" t="s">
        <v>74</v>
      </c>
      <c r="F175" t="s">
        <v>77</v>
      </c>
      <c r="G175" t="s">
        <v>52</v>
      </c>
      <c r="H175" t="s">
        <v>36</v>
      </c>
      <c r="I175">
        <v>80</v>
      </c>
    </row>
    <row r="176" spans="1:9" ht="14.5" x14ac:dyDescent="0.35">
      <c r="A176">
        <v>1</v>
      </c>
      <c r="B176" t="s">
        <v>30</v>
      </c>
      <c r="C176" t="s">
        <v>72</v>
      </c>
      <c r="D176" t="s">
        <v>79</v>
      </c>
      <c r="E176" t="s">
        <v>80</v>
      </c>
      <c r="F176" t="s">
        <v>83</v>
      </c>
      <c r="G176" t="s">
        <v>35</v>
      </c>
      <c r="H176" t="s">
        <v>36</v>
      </c>
      <c r="I176">
        <v>80</v>
      </c>
    </row>
    <row r="177" spans="1:9" ht="14.5" x14ac:dyDescent="0.35">
      <c r="A177">
        <v>1</v>
      </c>
      <c r="B177" t="s">
        <v>41</v>
      </c>
      <c r="C177" t="s">
        <v>31</v>
      </c>
      <c r="D177" t="s">
        <v>32</v>
      </c>
      <c r="E177" t="s">
        <v>33</v>
      </c>
      <c r="F177" t="s">
        <v>34</v>
      </c>
      <c r="G177" t="s">
        <v>35</v>
      </c>
      <c r="H177" t="s">
        <v>36</v>
      </c>
      <c r="I177">
        <v>80</v>
      </c>
    </row>
    <row r="178" spans="1:9" ht="14.5" x14ac:dyDescent="0.35">
      <c r="A178">
        <v>1</v>
      </c>
      <c r="B178" t="s">
        <v>41</v>
      </c>
      <c r="C178" t="s">
        <v>85</v>
      </c>
      <c r="D178" t="s">
        <v>86</v>
      </c>
      <c r="E178" t="s">
        <v>87</v>
      </c>
      <c r="F178" t="s">
        <v>90</v>
      </c>
      <c r="G178" t="s">
        <v>35</v>
      </c>
      <c r="H178" t="s">
        <v>36</v>
      </c>
      <c r="I178">
        <v>80</v>
      </c>
    </row>
    <row r="179" spans="1:9" ht="14.5" x14ac:dyDescent="0.35">
      <c r="A179">
        <v>1</v>
      </c>
      <c r="B179" t="s">
        <v>41</v>
      </c>
      <c r="C179" t="s">
        <v>85</v>
      </c>
      <c r="D179" t="s">
        <v>86</v>
      </c>
      <c r="E179" t="s">
        <v>87</v>
      </c>
      <c r="F179" t="s">
        <v>90</v>
      </c>
      <c r="G179" t="s">
        <v>52</v>
      </c>
      <c r="H179" t="s">
        <v>36</v>
      </c>
      <c r="I179">
        <v>80</v>
      </c>
    </row>
    <row r="180" spans="1:9" ht="14.5" x14ac:dyDescent="0.35">
      <c r="A180">
        <v>1</v>
      </c>
      <c r="B180" t="s">
        <v>41</v>
      </c>
      <c r="C180" t="s">
        <v>59</v>
      </c>
      <c r="D180" t="s">
        <v>66</v>
      </c>
      <c r="E180" t="s">
        <v>67</v>
      </c>
      <c r="F180" t="s">
        <v>68</v>
      </c>
      <c r="G180" t="s">
        <v>35</v>
      </c>
      <c r="H180" t="s">
        <v>36</v>
      </c>
      <c r="I180">
        <v>80</v>
      </c>
    </row>
    <row r="181" spans="1:9" ht="14.5" x14ac:dyDescent="0.35">
      <c r="A181">
        <v>1</v>
      </c>
      <c r="B181" t="s">
        <v>41</v>
      </c>
      <c r="C181" t="s">
        <v>72</v>
      </c>
      <c r="D181" t="s">
        <v>73</v>
      </c>
      <c r="E181" t="s">
        <v>74</v>
      </c>
      <c r="F181" t="s">
        <v>78</v>
      </c>
      <c r="G181" t="s">
        <v>35</v>
      </c>
      <c r="H181" t="s">
        <v>36</v>
      </c>
      <c r="I181">
        <v>80</v>
      </c>
    </row>
    <row r="182" spans="1:9" ht="14.5" x14ac:dyDescent="0.35">
      <c r="A182">
        <v>1</v>
      </c>
      <c r="B182" t="s">
        <v>42</v>
      </c>
      <c r="C182" t="s">
        <v>85</v>
      </c>
      <c r="D182" t="s">
        <v>86</v>
      </c>
      <c r="E182" t="s">
        <v>87</v>
      </c>
      <c r="F182" t="s">
        <v>89</v>
      </c>
      <c r="G182" t="s">
        <v>52</v>
      </c>
      <c r="H182" t="s">
        <v>36</v>
      </c>
      <c r="I182">
        <v>80</v>
      </c>
    </row>
    <row r="183" spans="1:9" ht="14.5" x14ac:dyDescent="0.35">
      <c r="A183">
        <v>1</v>
      </c>
      <c r="B183" t="s">
        <v>42</v>
      </c>
      <c r="C183" t="s">
        <v>85</v>
      </c>
      <c r="D183" t="s">
        <v>86</v>
      </c>
      <c r="E183" t="s">
        <v>87</v>
      </c>
      <c r="F183" t="s">
        <v>91</v>
      </c>
      <c r="G183" t="s">
        <v>35</v>
      </c>
      <c r="H183" t="s">
        <v>36</v>
      </c>
      <c r="I183">
        <v>80</v>
      </c>
    </row>
    <row r="184" spans="1:9" ht="14.5" x14ac:dyDescent="0.35">
      <c r="A184">
        <v>1</v>
      </c>
      <c r="B184" t="s">
        <v>42</v>
      </c>
      <c r="C184" t="s">
        <v>85</v>
      </c>
      <c r="D184" t="s">
        <v>86</v>
      </c>
      <c r="E184" t="s">
        <v>87</v>
      </c>
      <c r="F184" t="s">
        <v>91</v>
      </c>
      <c r="G184" t="s">
        <v>52</v>
      </c>
      <c r="H184" t="s">
        <v>36</v>
      </c>
      <c r="I184">
        <v>80</v>
      </c>
    </row>
    <row r="185" spans="1:9" ht="14.5" x14ac:dyDescent="0.35">
      <c r="A185">
        <v>1</v>
      </c>
      <c r="B185" t="s">
        <v>42</v>
      </c>
      <c r="C185" t="s">
        <v>59</v>
      </c>
      <c r="D185" t="s">
        <v>66</v>
      </c>
      <c r="E185" t="s">
        <v>67</v>
      </c>
      <c r="F185" t="s">
        <v>71</v>
      </c>
      <c r="G185" t="s">
        <v>52</v>
      </c>
      <c r="H185" t="s">
        <v>36</v>
      </c>
      <c r="I185">
        <v>80</v>
      </c>
    </row>
    <row r="186" spans="1:9" ht="14.5" x14ac:dyDescent="0.35">
      <c r="A186">
        <v>1</v>
      </c>
      <c r="B186" t="s">
        <v>42</v>
      </c>
      <c r="C186" t="s">
        <v>72</v>
      </c>
      <c r="D186" t="s">
        <v>79</v>
      </c>
      <c r="E186" t="s">
        <v>80</v>
      </c>
      <c r="F186" t="s">
        <v>81</v>
      </c>
      <c r="G186" t="s">
        <v>35</v>
      </c>
      <c r="H186" t="s">
        <v>36</v>
      </c>
      <c r="I186">
        <v>80</v>
      </c>
    </row>
    <row r="187" spans="1:9" ht="14.5" x14ac:dyDescent="0.35">
      <c r="A187">
        <v>1</v>
      </c>
      <c r="B187" t="s">
        <v>42</v>
      </c>
      <c r="C187" t="s">
        <v>72</v>
      </c>
      <c r="D187" t="s">
        <v>79</v>
      </c>
      <c r="E187" t="s">
        <v>80</v>
      </c>
      <c r="F187" t="s">
        <v>82</v>
      </c>
      <c r="G187" t="s">
        <v>52</v>
      </c>
      <c r="H187" t="s">
        <v>36</v>
      </c>
      <c r="I187">
        <v>80</v>
      </c>
    </row>
    <row r="188" spans="1:9" ht="14.5" x14ac:dyDescent="0.35">
      <c r="A188">
        <v>1</v>
      </c>
      <c r="B188" t="s">
        <v>42</v>
      </c>
      <c r="C188" t="s">
        <v>72</v>
      </c>
      <c r="D188" t="s">
        <v>79</v>
      </c>
      <c r="E188" t="s">
        <v>80</v>
      </c>
      <c r="F188" t="s">
        <v>83</v>
      </c>
      <c r="G188" t="s">
        <v>35</v>
      </c>
      <c r="H188" t="s">
        <v>36</v>
      </c>
      <c r="I188">
        <v>80</v>
      </c>
    </row>
    <row r="189" spans="1:9" ht="14.5" x14ac:dyDescent="0.35">
      <c r="A189">
        <v>2</v>
      </c>
      <c r="B189" t="s">
        <v>43</v>
      </c>
      <c r="C189" t="s">
        <v>31</v>
      </c>
      <c r="D189" t="s">
        <v>32</v>
      </c>
      <c r="E189" t="s">
        <v>33</v>
      </c>
      <c r="F189" t="s">
        <v>34</v>
      </c>
      <c r="G189" t="s">
        <v>35</v>
      </c>
      <c r="H189" t="s">
        <v>36</v>
      </c>
      <c r="I189">
        <v>80</v>
      </c>
    </row>
    <row r="190" spans="1:9" ht="14.5" x14ac:dyDescent="0.35">
      <c r="A190">
        <v>2</v>
      </c>
      <c r="B190" t="s">
        <v>43</v>
      </c>
      <c r="C190" t="s">
        <v>85</v>
      </c>
      <c r="D190" t="s">
        <v>92</v>
      </c>
      <c r="E190" t="s">
        <v>93</v>
      </c>
      <c r="F190" t="s">
        <v>96</v>
      </c>
      <c r="G190" t="s">
        <v>35</v>
      </c>
      <c r="H190" t="s">
        <v>36</v>
      </c>
      <c r="I190">
        <v>80</v>
      </c>
    </row>
    <row r="191" spans="1:9" ht="14.5" x14ac:dyDescent="0.35">
      <c r="A191">
        <v>2</v>
      </c>
      <c r="B191" t="s">
        <v>43</v>
      </c>
      <c r="C191" t="s">
        <v>59</v>
      </c>
      <c r="D191" t="s">
        <v>66</v>
      </c>
      <c r="E191" t="s">
        <v>67</v>
      </c>
      <c r="F191" t="s">
        <v>68</v>
      </c>
      <c r="G191" t="s">
        <v>52</v>
      </c>
      <c r="H191" t="s">
        <v>36</v>
      </c>
      <c r="I191">
        <v>80</v>
      </c>
    </row>
    <row r="192" spans="1:9" ht="14.5" x14ac:dyDescent="0.35">
      <c r="A192">
        <v>2</v>
      </c>
      <c r="B192" t="s">
        <v>44</v>
      </c>
      <c r="C192" t="s">
        <v>59</v>
      </c>
      <c r="D192" t="s">
        <v>60</v>
      </c>
      <c r="E192" t="s">
        <v>61</v>
      </c>
      <c r="F192" t="s">
        <v>65</v>
      </c>
      <c r="G192" t="s">
        <v>52</v>
      </c>
      <c r="H192" t="s">
        <v>36</v>
      </c>
      <c r="I192">
        <v>80</v>
      </c>
    </row>
    <row r="193" spans="1:9" ht="14.5" x14ac:dyDescent="0.35">
      <c r="A193">
        <v>2</v>
      </c>
      <c r="B193" t="s">
        <v>44</v>
      </c>
      <c r="C193" t="s">
        <v>72</v>
      </c>
      <c r="D193" t="s">
        <v>73</v>
      </c>
      <c r="E193" t="s">
        <v>74</v>
      </c>
      <c r="F193" t="s">
        <v>75</v>
      </c>
      <c r="G193" t="s">
        <v>35</v>
      </c>
      <c r="H193" t="s">
        <v>36</v>
      </c>
      <c r="I193">
        <v>80</v>
      </c>
    </row>
    <row r="194" spans="1:9" ht="14.5" x14ac:dyDescent="0.35">
      <c r="A194">
        <v>2</v>
      </c>
      <c r="B194" t="s">
        <v>44</v>
      </c>
      <c r="C194" t="s">
        <v>72</v>
      </c>
      <c r="D194" t="s">
        <v>73</v>
      </c>
      <c r="E194" t="s">
        <v>74</v>
      </c>
      <c r="F194" t="s">
        <v>75</v>
      </c>
      <c r="G194" t="s">
        <v>52</v>
      </c>
      <c r="H194" t="s">
        <v>36</v>
      </c>
      <c r="I194">
        <v>80</v>
      </c>
    </row>
    <row r="195" spans="1:9" ht="14.5" x14ac:dyDescent="0.35">
      <c r="A195">
        <v>2</v>
      </c>
      <c r="B195" t="s">
        <v>44</v>
      </c>
      <c r="C195" t="s">
        <v>72</v>
      </c>
      <c r="D195" t="s">
        <v>73</v>
      </c>
      <c r="E195" t="s">
        <v>74</v>
      </c>
      <c r="F195" t="s">
        <v>78</v>
      </c>
      <c r="G195" t="s">
        <v>52</v>
      </c>
      <c r="H195" t="s">
        <v>36</v>
      </c>
      <c r="I195">
        <v>80</v>
      </c>
    </row>
    <row r="196" spans="1:9" ht="14.5" x14ac:dyDescent="0.35">
      <c r="A196">
        <v>2</v>
      </c>
      <c r="B196" t="s">
        <v>45</v>
      </c>
      <c r="C196" t="s">
        <v>31</v>
      </c>
      <c r="D196" t="s">
        <v>53</v>
      </c>
      <c r="E196" t="s">
        <v>54</v>
      </c>
      <c r="F196" t="s">
        <v>58</v>
      </c>
      <c r="G196" t="s">
        <v>35</v>
      </c>
      <c r="H196" t="s">
        <v>36</v>
      </c>
      <c r="I196">
        <v>80</v>
      </c>
    </row>
    <row r="197" spans="1:9" ht="14.5" x14ac:dyDescent="0.35">
      <c r="A197">
        <v>2</v>
      </c>
      <c r="B197" t="s">
        <v>45</v>
      </c>
      <c r="C197" t="s">
        <v>85</v>
      </c>
      <c r="D197" t="s">
        <v>86</v>
      </c>
      <c r="E197" t="s">
        <v>87</v>
      </c>
      <c r="F197" t="s">
        <v>90</v>
      </c>
      <c r="G197" t="s">
        <v>35</v>
      </c>
      <c r="H197" t="s">
        <v>36</v>
      </c>
      <c r="I197">
        <v>80</v>
      </c>
    </row>
    <row r="198" spans="1:9" ht="14.5" x14ac:dyDescent="0.35">
      <c r="A198">
        <v>2</v>
      </c>
      <c r="B198" t="s">
        <v>45</v>
      </c>
      <c r="C198" t="s">
        <v>59</v>
      </c>
      <c r="D198" t="s">
        <v>60</v>
      </c>
      <c r="E198" t="s">
        <v>61</v>
      </c>
      <c r="F198" t="s">
        <v>64</v>
      </c>
      <c r="G198" t="s">
        <v>35</v>
      </c>
      <c r="H198" t="s">
        <v>36</v>
      </c>
      <c r="I198">
        <v>80</v>
      </c>
    </row>
    <row r="199" spans="1:9" ht="14.5" x14ac:dyDescent="0.35">
      <c r="A199">
        <v>2</v>
      </c>
      <c r="B199" t="s">
        <v>45</v>
      </c>
      <c r="C199" t="s">
        <v>72</v>
      </c>
      <c r="D199" t="s">
        <v>73</v>
      </c>
      <c r="E199" t="s">
        <v>74</v>
      </c>
      <c r="F199" t="s">
        <v>77</v>
      </c>
      <c r="G199" t="s">
        <v>35</v>
      </c>
      <c r="H199" t="s">
        <v>36</v>
      </c>
      <c r="I199">
        <v>80</v>
      </c>
    </row>
    <row r="200" spans="1:9" ht="14.5" x14ac:dyDescent="0.35">
      <c r="A200">
        <v>2</v>
      </c>
      <c r="B200" t="s">
        <v>45</v>
      </c>
      <c r="C200" t="s">
        <v>72</v>
      </c>
      <c r="D200" t="s">
        <v>79</v>
      </c>
      <c r="E200" t="s">
        <v>80</v>
      </c>
      <c r="F200" t="s">
        <v>81</v>
      </c>
      <c r="G200" t="s">
        <v>52</v>
      </c>
      <c r="H200" t="s">
        <v>36</v>
      </c>
      <c r="I200">
        <v>80</v>
      </c>
    </row>
    <row r="201" spans="1:9" ht="14.5" x14ac:dyDescent="0.35">
      <c r="A201">
        <v>3</v>
      </c>
      <c r="B201" t="s">
        <v>46</v>
      </c>
      <c r="C201" t="s">
        <v>85</v>
      </c>
      <c r="D201" t="s">
        <v>86</v>
      </c>
      <c r="E201" t="s">
        <v>87</v>
      </c>
      <c r="F201" t="s">
        <v>91</v>
      </c>
      <c r="G201" t="s">
        <v>52</v>
      </c>
      <c r="H201" t="s">
        <v>36</v>
      </c>
      <c r="I201">
        <v>80</v>
      </c>
    </row>
    <row r="202" spans="1:9" ht="14.5" x14ac:dyDescent="0.35">
      <c r="A202">
        <v>3</v>
      </c>
      <c r="B202" t="s">
        <v>47</v>
      </c>
      <c r="C202" t="s">
        <v>31</v>
      </c>
      <c r="D202" t="s">
        <v>32</v>
      </c>
      <c r="E202" t="s">
        <v>33</v>
      </c>
      <c r="F202" t="s">
        <v>37</v>
      </c>
      <c r="G202" t="s">
        <v>35</v>
      </c>
      <c r="H202" t="s">
        <v>36</v>
      </c>
      <c r="I202">
        <v>80</v>
      </c>
    </row>
    <row r="203" spans="1:9" ht="14.5" x14ac:dyDescent="0.35">
      <c r="A203">
        <v>3</v>
      </c>
      <c r="B203" t="s">
        <v>48</v>
      </c>
      <c r="C203" t="s">
        <v>31</v>
      </c>
      <c r="D203" t="s">
        <v>53</v>
      </c>
      <c r="E203" t="s">
        <v>54</v>
      </c>
      <c r="F203" t="s">
        <v>56</v>
      </c>
      <c r="G203" t="s">
        <v>35</v>
      </c>
      <c r="H203" t="s">
        <v>36</v>
      </c>
      <c r="I203">
        <v>80</v>
      </c>
    </row>
    <row r="204" spans="1:9" ht="14.5" x14ac:dyDescent="0.35">
      <c r="A204">
        <v>3</v>
      </c>
      <c r="B204" t="s">
        <v>48</v>
      </c>
      <c r="C204" t="s">
        <v>85</v>
      </c>
      <c r="D204" t="s">
        <v>92</v>
      </c>
      <c r="E204" t="s">
        <v>93</v>
      </c>
      <c r="F204" t="s">
        <v>97</v>
      </c>
      <c r="G204" t="s">
        <v>35</v>
      </c>
      <c r="H204" t="s">
        <v>36</v>
      </c>
      <c r="I204">
        <v>80</v>
      </c>
    </row>
    <row r="205" spans="1:9" ht="14.5" x14ac:dyDescent="0.35">
      <c r="A205">
        <v>3</v>
      </c>
      <c r="B205" t="s">
        <v>48</v>
      </c>
      <c r="C205" t="s">
        <v>59</v>
      </c>
      <c r="D205" t="s">
        <v>60</v>
      </c>
      <c r="E205" t="s">
        <v>61</v>
      </c>
      <c r="F205" t="s">
        <v>65</v>
      </c>
      <c r="G205" t="s">
        <v>35</v>
      </c>
      <c r="H205" t="s">
        <v>36</v>
      </c>
      <c r="I205">
        <v>80</v>
      </c>
    </row>
    <row r="206" spans="1:9" ht="14.5" x14ac:dyDescent="0.35">
      <c r="A206">
        <v>3</v>
      </c>
      <c r="B206" t="s">
        <v>48</v>
      </c>
      <c r="C206" t="s">
        <v>72</v>
      </c>
      <c r="D206" t="s">
        <v>73</v>
      </c>
      <c r="E206" t="s">
        <v>74</v>
      </c>
      <c r="F206" t="s">
        <v>78</v>
      </c>
      <c r="G206" t="s">
        <v>35</v>
      </c>
      <c r="H206" t="s">
        <v>36</v>
      </c>
      <c r="I206">
        <v>80</v>
      </c>
    </row>
    <row r="207" spans="1:9" ht="14.5" x14ac:dyDescent="0.35">
      <c r="A207">
        <v>4</v>
      </c>
      <c r="B207" t="s">
        <v>49</v>
      </c>
      <c r="C207" t="s">
        <v>31</v>
      </c>
      <c r="D207" t="s">
        <v>32</v>
      </c>
      <c r="E207" t="s">
        <v>33</v>
      </c>
      <c r="F207" t="s">
        <v>37</v>
      </c>
      <c r="G207" t="s">
        <v>35</v>
      </c>
      <c r="H207" t="s">
        <v>36</v>
      </c>
      <c r="I207">
        <v>80</v>
      </c>
    </row>
    <row r="208" spans="1:9" ht="14.5" x14ac:dyDescent="0.35">
      <c r="A208">
        <v>4</v>
      </c>
      <c r="B208" t="s">
        <v>49</v>
      </c>
      <c r="C208" t="s">
        <v>31</v>
      </c>
      <c r="D208" t="s">
        <v>53</v>
      </c>
      <c r="E208" t="s">
        <v>54</v>
      </c>
      <c r="F208" t="s">
        <v>58</v>
      </c>
      <c r="G208" t="s">
        <v>52</v>
      </c>
      <c r="H208" t="s">
        <v>36</v>
      </c>
      <c r="I208">
        <v>80</v>
      </c>
    </row>
    <row r="209" spans="1:9" ht="14.5" x14ac:dyDescent="0.35">
      <c r="A209">
        <v>4</v>
      </c>
      <c r="B209" t="s">
        <v>49</v>
      </c>
      <c r="C209" t="s">
        <v>85</v>
      </c>
      <c r="D209" t="s">
        <v>92</v>
      </c>
      <c r="E209" t="s">
        <v>93</v>
      </c>
      <c r="F209" t="s">
        <v>96</v>
      </c>
      <c r="G209" t="s">
        <v>35</v>
      </c>
      <c r="H209" t="s">
        <v>36</v>
      </c>
      <c r="I209">
        <v>80</v>
      </c>
    </row>
    <row r="210" spans="1:9" ht="14.5" x14ac:dyDescent="0.35">
      <c r="A210">
        <v>4</v>
      </c>
      <c r="B210" t="s">
        <v>49</v>
      </c>
      <c r="C210" t="s">
        <v>59</v>
      </c>
      <c r="D210" t="s">
        <v>60</v>
      </c>
      <c r="E210" t="s">
        <v>61</v>
      </c>
      <c r="F210" t="s">
        <v>63</v>
      </c>
      <c r="G210" t="s">
        <v>35</v>
      </c>
      <c r="H210" t="s">
        <v>36</v>
      </c>
      <c r="I210">
        <v>80</v>
      </c>
    </row>
    <row r="211" spans="1:9" ht="14.5" x14ac:dyDescent="0.35">
      <c r="A211">
        <v>4</v>
      </c>
      <c r="B211" t="s">
        <v>49</v>
      </c>
      <c r="C211" t="s">
        <v>72</v>
      </c>
      <c r="D211" t="s">
        <v>73</v>
      </c>
      <c r="E211" t="s">
        <v>74</v>
      </c>
      <c r="F211" t="s">
        <v>77</v>
      </c>
      <c r="G211" t="s">
        <v>52</v>
      </c>
      <c r="H211" t="s">
        <v>36</v>
      </c>
      <c r="I211">
        <v>80</v>
      </c>
    </row>
    <row r="212" spans="1:9" ht="14.5" x14ac:dyDescent="0.35">
      <c r="A212">
        <v>4</v>
      </c>
      <c r="B212" t="s">
        <v>50</v>
      </c>
      <c r="C212" t="s">
        <v>72</v>
      </c>
      <c r="D212" t="s">
        <v>73</v>
      </c>
      <c r="E212" t="s">
        <v>74</v>
      </c>
      <c r="F212" t="s">
        <v>76</v>
      </c>
      <c r="G212" t="s">
        <v>35</v>
      </c>
      <c r="H212" t="s">
        <v>36</v>
      </c>
      <c r="I212">
        <v>80</v>
      </c>
    </row>
    <row r="213" spans="1:9" ht="14.5" x14ac:dyDescent="0.35">
      <c r="A213">
        <v>4</v>
      </c>
      <c r="B213" t="s">
        <v>51</v>
      </c>
      <c r="C213" t="s">
        <v>85</v>
      </c>
      <c r="D213" t="s">
        <v>92</v>
      </c>
      <c r="E213" t="s">
        <v>93</v>
      </c>
      <c r="F213" t="s">
        <v>96</v>
      </c>
      <c r="G213" t="s">
        <v>52</v>
      </c>
      <c r="H213" t="s">
        <v>36</v>
      </c>
      <c r="I213">
        <v>80</v>
      </c>
    </row>
    <row r="214" spans="1:9" ht="14.5" x14ac:dyDescent="0.35">
      <c r="A214">
        <v>4</v>
      </c>
      <c r="B214" t="s">
        <v>51</v>
      </c>
      <c r="C214" t="s">
        <v>59</v>
      </c>
      <c r="D214" t="s">
        <v>60</v>
      </c>
      <c r="E214" t="s">
        <v>61</v>
      </c>
      <c r="F214" t="s">
        <v>62</v>
      </c>
      <c r="G214" t="s">
        <v>52</v>
      </c>
      <c r="H214" t="s">
        <v>36</v>
      </c>
      <c r="I214">
        <v>80</v>
      </c>
    </row>
    <row r="215" spans="1:9" ht="14.5" x14ac:dyDescent="0.35">
      <c r="A215">
        <v>1</v>
      </c>
      <c r="B215" t="s">
        <v>30</v>
      </c>
      <c r="C215" t="s">
        <v>59</v>
      </c>
      <c r="D215" t="s">
        <v>60</v>
      </c>
      <c r="E215" t="s">
        <v>61</v>
      </c>
      <c r="F215" t="s">
        <v>65</v>
      </c>
      <c r="G215" t="s">
        <v>52</v>
      </c>
      <c r="H215" t="s">
        <v>36</v>
      </c>
      <c r="I215">
        <v>90</v>
      </c>
    </row>
    <row r="216" spans="1:9" ht="14.5" x14ac:dyDescent="0.35">
      <c r="A216">
        <v>1</v>
      </c>
      <c r="B216" t="s">
        <v>30</v>
      </c>
      <c r="C216" t="s">
        <v>72</v>
      </c>
      <c r="D216" t="s">
        <v>73</v>
      </c>
      <c r="E216" t="s">
        <v>74</v>
      </c>
      <c r="F216" t="s">
        <v>78</v>
      </c>
      <c r="G216" t="s">
        <v>35</v>
      </c>
      <c r="H216" t="s">
        <v>36</v>
      </c>
      <c r="I216">
        <v>90</v>
      </c>
    </row>
    <row r="217" spans="1:9" ht="14.5" x14ac:dyDescent="0.35">
      <c r="A217">
        <v>1</v>
      </c>
      <c r="B217" t="s">
        <v>30</v>
      </c>
      <c r="C217" t="s">
        <v>72</v>
      </c>
      <c r="D217" t="s">
        <v>79</v>
      </c>
      <c r="E217" t="s">
        <v>80</v>
      </c>
      <c r="F217" t="s">
        <v>82</v>
      </c>
      <c r="G217" t="s">
        <v>35</v>
      </c>
      <c r="H217" t="s">
        <v>36</v>
      </c>
      <c r="I217">
        <v>90</v>
      </c>
    </row>
    <row r="218" spans="1:9" ht="14.5" x14ac:dyDescent="0.35">
      <c r="A218">
        <v>1</v>
      </c>
      <c r="B218" t="s">
        <v>30</v>
      </c>
      <c r="C218" t="s">
        <v>72</v>
      </c>
      <c r="D218" t="s">
        <v>79</v>
      </c>
      <c r="E218" t="s">
        <v>80</v>
      </c>
      <c r="F218" t="s">
        <v>84</v>
      </c>
      <c r="G218" t="s">
        <v>52</v>
      </c>
      <c r="H218" t="s">
        <v>36</v>
      </c>
      <c r="I218">
        <v>90</v>
      </c>
    </row>
    <row r="219" spans="1:9" ht="14.5" x14ac:dyDescent="0.35">
      <c r="A219">
        <v>1</v>
      </c>
      <c r="B219" t="s">
        <v>41</v>
      </c>
      <c r="C219" t="s">
        <v>59</v>
      </c>
      <c r="D219" t="s">
        <v>60</v>
      </c>
      <c r="E219" t="s">
        <v>61</v>
      </c>
      <c r="F219" t="s">
        <v>64</v>
      </c>
      <c r="G219" t="s">
        <v>35</v>
      </c>
      <c r="H219" t="s">
        <v>36</v>
      </c>
      <c r="I219">
        <v>90</v>
      </c>
    </row>
    <row r="220" spans="1:9" ht="14.5" x14ac:dyDescent="0.35">
      <c r="A220">
        <v>1</v>
      </c>
      <c r="B220" t="s">
        <v>41</v>
      </c>
      <c r="C220" t="s">
        <v>59</v>
      </c>
      <c r="D220" t="s">
        <v>60</v>
      </c>
      <c r="E220" t="s">
        <v>61</v>
      </c>
      <c r="F220" t="s">
        <v>62</v>
      </c>
      <c r="G220" t="s">
        <v>52</v>
      </c>
      <c r="H220" t="s">
        <v>36</v>
      </c>
      <c r="I220">
        <v>90</v>
      </c>
    </row>
    <row r="221" spans="1:9" ht="14.5" x14ac:dyDescent="0.35">
      <c r="A221">
        <v>1</v>
      </c>
      <c r="B221" t="s">
        <v>41</v>
      </c>
      <c r="C221" t="s">
        <v>59</v>
      </c>
      <c r="D221" t="s">
        <v>66</v>
      </c>
      <c r="E221" t="s">
        <v>67</v>
      </c>
      <c r="F221" t="s">
        <v>68</v>
      </c>
      <c r="G221" t="s">
        <v>52</v>
      </c>
      <c r="H221" t="s">
        <v>36</v>
      </c>
      <c r="I221">
        <v>90</v>
      </c>
    </row>
    <row r="222" spans="1:9" ht="14.5" x14ac:dyDescent="0.35">
      <c r="A222">
        <v>1</v>
      </c>
      <c r="B222" t="s">
        <v>41</v>
      </c>
      <c r="C222" t="s">
        <v>59</v>
      </c>
      <c r="D222" t="s">
        <v>66</v>
      </c>
      <c r="E222" t="s">
        <v>67</v>
      </c>
      <c r="F222" t="s">
        <v>69</v>
      </c>
      <c r="G222" t="s">
        <v>35</v>
      </c>
      <c r="H222" t="s">
        <v>36</v>
      </c>
      <c r="I222">
        <v>90</v>
      </c>
    </row>
    <row r="223" spans="1:9" ht="14.5" x14ac:dyDescent="0.35">
      <c r="A223">
        <v>1</v>
      </c>
      <c r="B223" t="s">
        <v>41</v>
      </c>
      <c r="C223" t="s">
        <v>72</v>
      </c>
      <c r="D223" t="s">
        <v>79</v>
      </c>
      <c r="E223" t="s">
        <v>80</v>
      </c>
      <c r="F223" t="s">
        <v>82</v>
      </c>
      <c r="G223" t="s">
        <v>35</v>
      </c>
      <c r="H223" t="s">
        <v>36</v>
      </c>
      <c r="I223">
        <v>90</v>
      </c>
    </row>
    <row r="224" spans="1:9" ht="14.5" x14ac:dyDescent="0.35">
      <c r="A224">
        <v>1</v>
      </c>
      <c r="B224" t="s">
        <v>42</v>
      </c>
      <c r="C224" t="s">
        <v>72</v>
      </c>
      <c r="D224" t="s">
        <v>79</v>
      </c>
      <c r="E224" t="s">
        <v>80</v>
      </c>
      <c r="F224" t="s">
        <v>83</v>
      </c>
      <c r="G224" t="s">
        <v>52</v>
      </c>
      <c r="H224" t="s">
        <v>36</v>
      </c>
      <c r="I224">
        <v>90</v>
      </c>
    </row>
    <row r="225" spans="1:9" ht="14.5" x14ac:dyDescent="0.35">
      <c r="A225">
        <v>2</v>
      </c>
      <c r="B225" t="s">
        <v>43</v>
      </c>
      <c r="C225" t="s">
        <v>85</v>
      </c>
      <c r="D225" t="s">
        <v>86</v>
      </c>
      <c r="E225" t="s">
        <v>87</v>
      </c>
      <c r="F225" t="s">
        <v>91</v>
      </c>
      <c r="G225" t="s">
        <v>35</v>
      </c>
      <c r="H225" t="s">
        <v>36</v>
      </c>
      <c r="I225">
        <v>90</v>
      </c>
    </row>
    <row r="226" spans="1:9" ht="14.5" x14ac:dyDescent="0.35">
      <c r="A226">
        <v>2</v>
      </c>
      <c r="B226" t="s">
        <v>43</v>
      </c>
      <c r="C226" t="s">
        <v>85</v>
      </c>
      <c r="D226" t="s">
        <v>86</v>
      </c>
      <c r="E226" t="s">
        <v>87</v>
      </c>
      <c r="F226" t="s">
        <v>91</v>
      </c>
      <c r="G226" t="s">
        <v>52</v>
      </c>
      <c r="H226" t="s">
        <v>36</v>
      </c>
      <c r="I226">
        <v>90</v>
      </c>
    </row>
    <row r="227" spans="1:9" ht="14.5" x14ac:dyDescent="0.35">
      <c r="A227">
        <v>2</v>
      </c>
      <c r="B227" t="s">
        <v>43</v>
      </c>
      <c r="C227" t="s">
        <v>72</v>
      </c>
      <c r="D227" t="s">
        <v>73</v>
      </c>
      <c r="E227" t="s">
        <v>74</v>
      </c>
      <c r="F227" t="s">
        <v>77</v>
      </c>
      <c r="G227" t="s">
        <v>52</v>
      </c>
      <c r="H227" t="s">
        <v>36</v>
      </c>
      <c r="I227">
        <v>90</v>
      </c>
    </row>
    <row r="228" spans="1:9" ht="14.5" x14ac:dyDescent="0.35">
      <c r="A228">
        <v>2</v>
      </c>
      <c r="B228" t="s">
        <v>44</v>
      </c>
      <c r="C228" t="s">
        <v>31</v>
      </c>
      <c r="D228" t="s">
        <v>53</v>
      </c>
      <c r="E228" t="s">
        <v>54</v>
      </c>
      <c r="F228" t="s">
        <v>55</v>
      </c>
      <c r="G228" t="s">
        <v>35</v>
      </c>
      <c r="H228" t="s">
        <v>36</v>
      </c>
      <c r="I228">
        <v>90</v>
      </c>
    </row>
    <row r="229" spans="1:9" ht="14.5" x14ac:dyDescent="0.35">
      <c r="A229">
        <v>2</v>
      </c>
      <c r="B229" t="s">
        <v>44</v>
      </c>
      <c r="C229" t="s">
        <v>85</v>
      </c>
      <c r="D229" t="s">
        <v>86</v>
      </c>
      <c r="E229" t="s">
        <v>87</v>
      </c>
      <c r="F229" t="s">
        <v>91</v>
      </c>
      <c r="G229" t="s">
        <v>35</v>
      </c>
      <c r="H229" t="s">
        <v>36</v>
      </c>
      <c r="I229">
        <v>90</v>
      </c>
    </row>
    <row r="230" spans="1:9" ht="14.5" x14ac:dyDescent="0.35">
      <c r="A230">
        <v>2</v>
      </c>
      <c r="B230" t="s">
        <v>44</v>
      </c>
      <c r="C230" t="s">
        <v>59</v>
      </c>
      <c r="D230" t="s">
        <v>60</v>
      </c>
      <c r="E230" t="s">
        <v>61</v>
      </c>
      <c r="F230" t="s">
        <v>63</v>
      </c>
      <c r="G230" t="s">
        <v>35</v>
      </c>
      <c r="H230" t="s">
        <v>36</v>
      </c>
      <c r="I230">
        <v>90</v>
      </c>
    </row>
    <row r="231" spans="1:9" ht="14.5" x14ac:dyDescent="0.35">
      <c r="A231">
        <v>2</v>
      </c>
      <c r="B231" t="s">
        <v>44</v>
      </c>
      <c r="C231" t="s">
        <v>72</v>
      </c>
      <c r="D231" t="s">
        <v>73</v>
      </c>
      <c r="E231" t="s">
        <v>74</v>
      </c>
      <c r="F231" t="s">
        <v>77</v>
      </c>
      <c r="G231" t="s">
        <v>52</v>
      </c>
      <c r="H231" t="s">
        <v>36</v>
      </c>
      <c r="I231">
        <v>90</v>
      </c>
    </row>
    <row r="232" spans="1:9" ht="14.5" x14ac:dyDescent="0.35">
      <c r="A232">
        <v>2</v>
      </c>
      <c r="B232" t="s">
        <v>45</v>
      </c>
      <c r="C232" t="s">
        <v>31</v>
      </c>
      <c r="D232" t="s">
        <v>53</v>
      </c>
      <c r="E232" t="s">
        <v>54</v>
      </c>
      <c r="F232" t="s">
        <v>55</v>
      </c>
      <c r="G232" t="s">
        <v>35</v>
      </c>
      <c r="H232" t="s">
        <v>36</v>
      </c>
      <c r="I232">
        <v>90</v>
      </c>
    </row>
    <row r="233" spans="1:9" ht="14.5" x14ac:dyDescent="0.35">
      <c r="A233">
        <v>2</v>
      </c>
      <c r="B233" t="s">
        <v>45</v>
      </c>
      <c r="C233" t="s">
        <v>85</v>
      </c>
      <c r="D233" t="s">
        <v>86</v>
      </c>
      <c r="E233" t="s">
        <v>87</v>
      </c>
      <c r="F233" t="s">
        <v>91</v>
      </c>
      <c r="G233" t="s">
        <v>35</v>
      </c>
      <c r="H233" t="s">
        <v>36</v>
      </c>
      <c r="I233">
        <v>90</v>
      </c>
    </row>
    <row r="234" spans="1:9" ht="14.5" x14ac:dyDescent="0.35">
      <c r="A234">
        <v>3</v>
      </c>
      <c r="B234" t="s">
        <v>46</v>
      </c>
      <c r="C234" t="s">
        <v>85</v>
      </c>
      <c r="D234" t="s">
        <v>92</v>
      </c>
      <c r="E234" t="s">
        <v>93</v>
      </c>
      <c r="F234" t="s">
        <v>97</v>
      </c>
      <c r="G234" t="s">
        <v>35</v>
      </c>
      <c r="H234" t="s">
        <v>36</v>
      </c>
      <c r="I234">
        <v>90</v>
      </c>
    </row>
    <row r="235" spans="1:9" ht="14.5" x14ac:dyDescent="0.35">
      <c r="A235">
        <v>3</v>
      </c>
      <c r="B235" t="s">
        <v>46</v>
      </c>
      <c r="C235" t="s">
        <v>59</v>
      </c>
      <c r="D235" t="s">
        <v>60</v>
      </c>
      <c r="E235" t="s">
        <v>61</v>
      </c>
      <c r="F235" t="s">
        <v>64</v>
      </c>
      <c r="G235" t="s">
        <v>52</v>
      </c>
      <c r="H235" t="s">
        <v>36</v>
      </c>
      <c r="I235">
        <v>90</v>
      </c>
    </row>
    <row r="236" spans="1:9" ht="14.5" x14ac:dyDescent="0.35">
      <c r="A236">
        <v>3</v>
      </c>
      <c r="B236" t="s">
        <v>46</v>
      </c>
      <c r="C236" t="s">
        <v>59</v>
      </c>
      <c r="D236" t="s">
        <v>66</v>
      </c>
      <c r="E236" t="s">
        <v>67</v>
      </c>
      <c r="F236" t="s">
        <v>69</v>
      </c>
      <c r="G236" t="s">
        <v>52</v>
      </c>
      <c r="H236" t="s">
        <v>36</v>
      </c>
      <c r="I236">
        <v>90</v>
      </c>
    </row>
    <row r="237" spans="1:9" ht="14.5" x14ac:dyDescent="0.35">
      <c r="A237">
        <v>3</v>
      </c>
      <c r="B237" t="s">
        <v>46</v>
      </c>
      <c r="C237" t="s">
        <v>59</v>
      </c>
      <c r="D237" t="s">
        <v>66</v>
      </c>
      <c r="E237" t="s">
        <v>67</v>
      </c>
      <c r="F237" t="s">
        <v>71</v>
      </c>
      <c r="G237" t="s">
        <v>52</v>
      </c>
      <c r="H237" t="s">
        <v>36</v>
      </c>
      <c r="I237">
        <v>90</v>
      </c>
    </row>
    <row r="238" spans="1:9" ht="14.5" x14ac:dyDescent="0.35">
      <c r="A238">
        <v>3</v>
      </c>
      <c r="B238" t="s">
        <v>46</v>
      </c>
      <c r="C238" t="s">
        <v>72</v>
      </c>
      <c r="D238" t="s">
        <v>79</v>
      </c>
      <c r="E238" t="s">
        <v>80</v>
      </c>
      <c r="F238" t="s">
        <v>82</v>
      </c>
      <c r="G238" t="s">
        <v>52</v>
      </c>
      <c r="H238" t="s">
        <v>36</v>
      </c>
      <c r="I238">
        <v>90</v>
      </c>
    </row>
    <row r="239" spans="1:9" ht="14.5" x14ac:dyDescent="0.35">
      <c r="A239">
        <v>3</v>
      </c>
      <c r="B239" t="s">
        <v>47</v>
      </c>
      <c r="C239" t="s">
        <v>31</v>
      </c>
      <c r="D239" t="s">
        <v>32</v>
      </c>
      <c r="E239" t="s">
        <v>33</v>
      </c>
      <c r="F239" t="s">
        <v>39</v>
      </c>
      <c r="G239" t="s">
        <v>35</v>
      </c>
      <c r="H239" t="s">
        <v>36</v>
      </c>
      <c r="I239">
        <v>90</v>
      </c>
    </row>
    <row r="240" spans="1:9" ht="14.5" x14ac:dyDescent="0.35">
      <c r="A240">
        <v>3</v>
      </c>
      <c r="B240" t="s">
        <v>47</v>
      </c>
      <c r="C240" t="s">
        <v>72</v>
      </c>
      <c r="D240" t="s">
        <v>79</v>
      </c>
      <c r="E240" t="s">
        <v>80</v>
      </c>
      <c r="F240" t="s">
        <v>83</v>
      </c>
      <c r="G240" t="s">
        <v>35</v>
      </c>
      <c r="H240" t="s">
        <v>36</v>
      </c>
      <c r="I240">
        <v>90</v>
      </c>
    </row>
    <row r="241" spans="1:9" ht="14.5" x14ac:dyDescent="0.35">
      <c r="A241">
        <v>3</v>
      </c>
      <c r="B241" t="s">
        <v>48</v>
      </c>
      <c r="C241" t="s">
        <v>31</v>
      </c>
      <c r="D241" t="s">
        <v>53</v>
      </c>
      <c r="E241" t="s">
        <v>54</v>
      </c>
      <c r="F241" t="s">
        <v>58</v>
      </c>
      <c r="G241" t="s">
        <v>35</v>
      </c>
      <c r="H241" t="s">
        <v>36</v>
      </c>
      <c r="I241">
        <v>90</v>
      </c>
    </row>
    <row r="242" spans="1:9" ht="14.5" x14ac:dyDescent="0.35">
      <c r="A242">
        <v>3</v>
      </c>
      <c r="B242" t="s">
        <v>48</v>
      </c>
      <c r="C242" t="s">
        <v>59</v>
      </c>
      <c r="D242" t="s">
        <v>60</v>
      </c>
      <c r="E242" t="s">
        <v>61</v>
      </c>
      <c r="F242" t="s">
        <v>63</v>
      </c>
      <c r="G242" t="s">
        <v>35</v>
      </c>
      <c r="H242" t="s">
        <v>36</v>
      </c>
      <c r="I242">
        <v>90</v>
      </c>
    </row>
    <row r="243" spans="1:9" ht="14.5" x14ac:dyDescent="0.35">
      <c r="A243">
        <v>3</v>
      </c>
      <c r="B243" t="s">
        <v>48</v>
      </c>
      <c r="C243" t="s">
        <v>59</v>
      </c>
      <c r="D243" t="s">
        <v>60</v>
      </c>
      <c r="E243" t="s">
        <v>61</v>
      </c>
      <c r="F243" t="s">
        <v>63</v>
      </c>
      <c r="G243" t="s">
        <v>52</v>
      </c>
      <c r="H243" t="s">
        <v>36</v>
      </c>
      <c r="I243">
        <v>90</v>
      </c>
    </row>
    <row r="244" spans="1:9" ht="14.5" x14ac:dyDescent="0.35">
      <c r="A244">
        <v>3</v>
      </c>
      <c r="B244" t="s">
        <v>48</v>
      </c>
      <c r="C244" t="s">
        <v>59</v>
      </c>
      <c r="D244" t="s">
        <v>66</v>
      </c>
      <c r="E244" t="s">
        <v>67</v>
      </c>
      <c r="F244" t="s">
        <v>70</v>
      </c>
      <c r="G244" t="s">
        <v>52</v>
      </c>
      <c r="H244" t="s">
        <v>36</v>
      </c>
      <c r="I244">
        <v>90</v>
      </c>
    </row>
    <row r="245" spans="1:9" ht="14.5" x14ac:dyDescent="0.35">
      <c r="A245">
        <v>4</v>
      </c>
      <c r="B245" t="s">
        <v>49</v>
      </c>
      <c r="C245" t="s">
        <v>31</v>
      </c>
      <c r="D245" t="s">
        <v>32</v>
      </c>
      <c r="E245" t="s">
        <v>33</v>
      </c>
      <c r="F245" t="s">
        <v>34</v>
      </c>
      <c r="G245" t="s">
        <v>35</v>
      </c>
      <c r="H245" t="s">
        <v>36</v>
      </c>
      <c r="I245">
        <v>90</v>
      </c>
    </row>
    <row r="246" spans="1:9" ht="14.5" x14ac:dyDescent="0.35">
      <c r="A246">
        <v>4</v>
      </c>
      <c r="B246" t="s">
        <v>50</v>
      </c>
      <c r="C246" t="s">
        <v>72</v>
      </c>
      <c r="D246" t="s">
        <v>73</v>
      </c>
      <c r="E246" t="s">
        <v>74</v>
      </c>
      <c r="F246" t="s">
        <v>78</v>
      </c>
      <c r="G246" t="s">
        <v>35</v>
      </c>
      <c r="H246" t="s">
        <v>36</v>
      </c>
      <c r="I246">
        <v>90</v>
      </c>
    </row>
    <row r="247" spans="1:9" ht="14.5" x14ac:dyDescent="0.35">
      <c r="A247">
        <v>4</v>
      </c>
      <c r="B247" t="s">
        <v>50</v>
      </c>
      <c r="C247" t="s">
        <v>72</v>
      </c>
      <c r="D247" t="s">
        <v>79</v>
      </c>
      <c r="E247" t="s">
        <v>80</v>
      </c>
      <c r="F247" t="s">
        <v>83</v>
      </c>
      <c r="G247" t="s">
        <v>52</v>
      </c>
      <c r="H247" t="s">
        <v>36</v>
      </c>
      <c r="I247">
        <v>90</v>
      </c>
    </row>
    <row r="248" spans="1:9" ht="14.5" x14ac:dyDescent="0.35">
      <c r="A248">
        <v>4</v>
      </c>
      <c r="B248" t="s">
        <v>51</v>
      </c>
      <c r="C248" t="s">
        <v>31</v>
      </c>
      <c r="D248" t="s">
        <v>53</v>
      </c>
      <c r="E248" t="s">
        <v>54</v>
      </c>
      <c r="F248" t="s">
        <v>58</v>
      </c>
      <c r="G248" t="s">
        <v>52</v>
      </c>
      <c r="H248" t="s">
        <v>36</v>
      </c>
      <c r="I248">
        <v>90</v>
      </c>
    </row>
    <row r="249" spans="1:9" ht="14.5" x14ac:dyDescent="0.35">
      <c r="A249">
        <v>4</v>
      </c>
      <c r="B249" t="s">
        <v>51</v>
      </c>
      <c r="C249" t="s">
        <v>85</v>
      </c>
      <c r="D249" t="s">
        <v>86</v>
      </c>
      <c r="E249" t="s">
        <v>87</v>
      </c>
      <c r="F249" t="s">
        <v>89</v>
      </c>
      <c r="G249" t="s">
        <v>35</v>
      </c>
      <c r="H249" t="s">
        <v>36</v>
      </c>
      <c r="I249">
        <v>90</v>
      </c>
    </row>
    <row r="250" spans="1:9" ht="14.5" x14ac:dyDescent="0.35">
      <c r="A250">
        <v>4</v>
      </c>
      <c r="B250" t="s">
        <v>51</v>
      </c>
      <c r="C250" t="s">
        <v>85</v>
      </c>
      <c r="D250" t="s">
        <v>92</v>
      </c>
      <c r="E250" t="s">
        <v>93</v>
      </c>
      <c r="F250" t="s">
        <v>94</v>
      </c>
      <c r="G250" t="s">
        <v>35</v>
      </c>
      <c r="H250" t="s">
        <v>36</v>
      </c>
      <c r="I250">
        <v>90</v>
      </c>
    </row>
    <row r="251" spans="1:9" ht="14.5" x14ac:dyDescent="0.35">
      <c r="A251">
        <v>4</v>
      </c>
      <c r="B251" t="s">
        <v>51</v>
      </c>
      <c r="C251" t="s">
        <v>85</v>
      </c>
      <c r="D251" t="s">
        <v>92</v>
      </c>
      <c r="E251" t="s">
        <v>93</v>
      </c>
      <c r="F251" t="s">
        <v>94</v>
      </c>
      <c r="G251" t="s">
        <v>52</v>
      </c>
      <c r="H251" t="s">
        <v>36</v>
      </c>
      <c r="I251">
        <v>90</v>
      </c>
    </row>
    <row r="252" spans="1:9" ht="14.5" x14ac:dyDescent="0.35">
      <c r="A252">
        <v>4</v>
      </c>
      <c r="B252" t="s">
        <v>51</v>
      </c>
      <c r="C252" t="s">
        <v>72</v>
      </c>
      <c r="D252" t="s">
        <v>73</v>
      </c>
      <c r="E252" t="s">
        <v>74</v>
      </c>
      <c r="F252" t="s">
        <v>78</v>
      </c>
      <c r="G252" t="s">
        <v>35</v>
      </c>
      <c r="H252" t="s">
        <v>36</v>
      </c>
      <c r="I252">
        <v>90</v>
      </c>
    </row>
    <row r="253" spans="1:9" ht="14.5" x14ac:dyDescent="0.35">
      <c r="A253">
        <v>4</v>
      </c>
      <c r="B253" t="s">
        <v>51</v>
      </c>
      <c r="C253" t="s">
        <v>72</v>
      </c>
      <c r="D253" t="s">
        <v>79</v>
      </c>
      <c r="E253" t="s">
        <v>80</v>
      </c>
      <c r="F253" t="s">
        <v>82</v>
      </c>
      <c r="G253" t="s">
        <v>35</v>
      </c>
      <c r="H253" t="s">
        <v>36</v>
      </c>
      <c r="I253">
        <v>90</v>
      </c>
    </row>
    <row r="254" spans="1:9" ht="14.5" x14ac:dyDescent="0.35">
      <c r="A254">
        <v>1</v>
      </c>
      <c r="B254" t="s">
        <v>30</v>
      </c>
      <c r="C254" t="s">
        <v>59</v>
      </c>
      <c r="D254" t="s">
        <v>60</v>
      </c>
      <c r="E254" t="s">
        <v>61</v>
      </c>
      <c r="F254" t="s">
        <v>64</v>
      </c>
      <c r="G254" t="s">
        <v>52</v>
      </c>
      <c r="H254" t="s">
        <v>36</v>
      </c>
      <c r="I254">
        <v>100</v>
      </c>
    </row>
    <row r="255" spans="1:9" ht="14.5" x14ac:dyDescent="0.35">
      <c r="A255">
        <v>1</v>
      </c>
      <c r="B255" t="s">
        <v>41</v>
      </c>
      <c r="C255" t="s">
        <v>31</v>
      </c>
      <c r="D255" t="s">
        <v>32</v>
      </c>
      <c r="E255" t="s">
        <v>33</v>
      </c>
      <c r="F255" t="s">
        <v>34</v>
      </c>
      <c r="G255" t="s">
        <v>52</v>
      </c>
      <c r="H255" t="s">
        <v>36</v>
      </c>
      <c r="I255">
        <v>100</v>
      </c>
    </row>
    <row r="256" spans="1:9" ht="14.5" x14ac:dyDescent="0.35">
      <c r="A256">
        <v>1</v>
      </c>
      <c r="B256" t="s">
        <v>41</v>
      </c>
      <c r="C256" t="s">
        <v>59</v>
      </c>
      <c r="D256" t="s">
        <v>66</v>
      </c>
      <c r="E256" t="s">
        <v>67</v>
      </c>
      <c r="F256" t="s">
        <v>71</v>
      </c>
      <c r="G256" t="s">
        <v>52</v>
      </c>
      <c r="H256" t="s">
        <v>36</v>
      </c>
      <c r="I256">
        <v>100</v>
      </c>
    </row>
    <row r="257" spans="1:9" ht="14.5" x14ac:dyDescent="0.35">
      <c r="A257">
        <v>1</v>
      </c>
      <c r="B257" t="s">
        <v>41</v>
      </c>
      <c r="C257" t="s">
        <v>72</v>
      </c>
      <c r="D257" t="s">
        <v>79</v>
      </c>
      <c r="E257" t="s">
        <v>80</v>
      </c>
      <c r="F257" t="s">
        <v>82</v>
      </c>
      <c r="G257" t="s">
        <v>52</v>
      </c>
      <c r="H257" t="s">
        <v>36</v>
      </c>
      <c r="I257">
        <v>100</v>
      </c>
    </row>
    <row r="258" spans="1:9" ht="14.5" x14ac:dyDescent="0.35">
      <c r="A258">
        <v>1</v>
      </c>
      <c r="B258" t="s">
        <v>42</v>
      </c>
      <c r="C258" t="s">
        <v>31</v>
      </c>
      <c r="D258" t="s">
        <v>32</v>
      </c>
      <c r="E258" t="s">
        <v>33</v>
      </c>
      <c r="F258" t="s">
        <v>40</v>
      </c>
      <c r="G258" t="s">
        <v>35</v>
      </c>
      <c r="H258" t="s">
        <v>36</v>
      </c>
      <c r="I258">
        <v>100</v>
      </c>
    </row>
    <row r="259" spans="1:9" ht="14.5" x14ac:dyDescent="0.35">
      <c r="A259">
        <v>1</v>
      </c>
      <c r="B259" t="s">
        <v>42</v>
      </c>
      <c r="C259" t="s">
        <v>31</v>
      </c>
      <c r="D259" t="s">
        <v>53</v>
      </c>
      <c r="E259" t="s">
        <v>54</v>
      </c>
      <c r="F259" t="s">
        <v>56</v>
      </c>
      <c r="G259" t="s">
        <v>35</v>
      </c>
      <c r="H259" t="s">
        <v>36</v>
      </c>
      <c r="I259">
        <v>100</v>
      </c>
    </row>
    <row r="260" spans="1:9" ht="14.5" x14ac:dyDescent="0.35">
      <c r="A260">
        <v>2</v>
      </c>
      <c r="B260" t="s">
        <v>43</v>
      </c>
      <c r="C260" t="s">
        <v>31</v>
      </c>
      <c r="D260" t="s">
        <v>32</v>
      </c>
      <c r="E260" t="s">
        <v>33</v>
      </c>
      <c r="F260" t="s">
        <v>37</v>
      </c>
      <c r="G260" t="s">
        <v>35</v>
      </c>
      <c r="H260" t="s">
        <v>36</v>
      </c>
      <c r="I260">
        <v>100</v>
      </c>
    </row>
    <row r="261" spans="1:9" ht="14.5" x14ac:dyDescent="0.35">
      <c r="A261">
        <v>2</v>
      </c>
      <c r="B261" t="s">
        <v>43</v>
      </c>
      <c r="C261" t="s">
        <v>31</v>
      </c>
      <c r="D261" t="s">
        <v>32</v>
      </c>
      <c r="E261" t="s">
        <v>33</v>
      </c>
      <c r="F261" t="s">
        <v>40</v>
      </c>
      <c r="G261" t="s">
        <v>52</v>
      </c>
      <c r="H261" t="s">
        <v>36</v>
      </c>
      <c r="I261">
        <v>100</v>
      </c>
    </row>
    <row r="262" spans="1:9" ht="14.5" x14ac:dyDescent="0.35">
      <c r="A262">
        <v>2</v>
      </c>
      <c r="B262" t="s">
        <v>43</v>
      </c>
      <c r="C262" t="s">
        <v>59</v>
      </c>
      <c r="D262" t="s">
        <v>60</v>
      </c>
      <c r="E262" t="s">
        <v>61</v>
      </c>
      <c r="F262" t="s">
        <v>62</v>
      </c>
      <c r="G262" t="s">
        <v>35</v>
      </c>
      <c r="H262" t="s">
        <v>36</v>
      </c>
      <c r="I262">
        <v>100</v>
      </c>
    </row>
    <row r="263" spans="1:9" ht="14.5" x14ac:dyDescent="0.35">
      <c r="A263">
        <v>2</v>
      </c>
      <c r="B263" t="s">
        <v>43</v>
      </c>
      <c r="C263" t="s">
        <v>72</v>
      </c>
      <c r="D263" t="s">
        <v>79</v>
      </c>
      <c r="E263" t="s">
        <v>80</v>
      </c>
      <c r="F263" t="s">
        <v>81</v>
      </c>
      <c r="G263" t="s">
        <v>52</v>
      </c>
      <c r="H263" t="s">
        <v>36</v>
      </c>
      <c r="I263">
        <v>100</v>
      </c>
    </row>
    <row r="264" spans="1:9" ht="14.5" x14ac:dyDescent="0.35">
      <c r="A264">
        <v>2</v>
      </c>
      <c r="B264" t="s">
        <v>44</v>
      </c>
      <c r="C264" t="s">
        <v>31</v>
      </c>
      <c r="D264" t="s">
        <v>32</v>
      </c>
      <c r="E264" t="s">
        <v>33</v>
      </c>
      <c r="F264" t="s">
        <v>37</v>
      </c>
      <c r="G264" t="s">
        <v>35</v>
      </c>
      <c r="H264" t="s">
        <v>36</v>
      </c>
      <c r="I264">
        <v>100</v>
      </c>
    </row>
    <row r="265" spans="1:9" ht="14.5" x14ac:dyDescent="0.35">
      <c r="A265">
        <v>2</v>
      </c>
      <c r="B265" t="s">
        <v>44</v>
      </c>
      <c r="C265" t="s">
        <v>31</v>
      </c>
      <c r="D265" t="s">
        <v>32</v>
      </c>
      <c r="E265" t="s">
        <v>33</v>
      </c>
      <c r="F265" t="s">
        <v>34</v>
      </c>
      <c r="G265" t="s">
        <v>35</v>
      </c>
      <c r="H265" t="s">
        <v>36</v>
      </c>
      <c r="I265">
        <v>100</v>
      </c>
    </row>
    <row r="266" spans="1:9" ht="14.5" x14ac:dyDescent="0.35">
      <c r="A266">
        <v>2</v>
      </c>
      <c r="B266" t="s">
        <v>44</v>
      </c>
      <c r="C266" t="s">
        <v>31</v>
      </c>
      <c r="D266" t="s">
        <v>53</v>
      </c>
      <c r="E266" t="s">
        <v>54</v>
      </c>
      <c r="F266" t="s">
        <v>56</v>
      </c>
      <c r="G266" t="s">
        <v>35</v>
      </c>
      <c r="H266" t="s">
        <v>36</v>
      </c>
      <c r="I266">
        <v>100</v>
      </c>
    </row>
    <row r="267" spans="1:9" ht="14.5" x14ac:dyDescent="0.35">
      <c r="A267">
        <v>2</v>
      </c>
      <c r="B267" t="s">
        <v>44</v>
      </c>
      <c r="C267" t="s">
        <v>85</v>
      </c>
      <c r="D267" t="s">
        <v>86</v>
      </c>
      <c r="E267" t="s">
        <v>87</v>
      </c>
      <c r="F267" t="s">
        <v>88</v>
      </c>
      <c r="G267" t="s">
        <v>35</v>
      </c>
      <c r="H267" t="s">
        <v>36</v>
      </c>
      <c r="I267">
        <v>100</v>
      </c>
    </row>
    <row r="268" spans="1:9" ht="14.5" x14ac:dyDescent="0.35">
      <c r="A268">
        <v>2</v>
      </c>
      <c r="B268" t="s">
        <v>44</v>
      </c>
      <c r="C268" t="s">
        <v>59</v>
      </c>
      <c r="D268" t="s">
        <v>66</v>
      </c>
      <c r="E268" t="s">
        <v>67</v>
      </c>
      <c r="F268" t="s">
        <v>70</v>
      </c>
      <c r="G268" t="s">
        <v>35</v>
      </c>
      <c r="H268" t="s">
        <v>36</v>
      </c>
      <c r="I268">
        <v>100</v>
      </c>
    </row>
    <row r="269" spans="1:9" ht="14.5" x14ac:dyDescent="0.35">
      <c r="A269">
        <v>2</v>
      </c>
      <c r="B269" t="s">
        <v>44</v>
      </c>
      <c r="C269" t="s">
        <v>72</v>
      </c>
      <c r="D269" t="s">
        <v>73</v>
      </c>
      <c r="E269" t="s">
        <v>74</v>
      </c>
      <c r="F269" t="s">
        <v>77</v>
      </c>
      <c r="G269" t="s">
        <v>35</v>
      </c>
      <c r="H269" t="s">
        <v>36</v>
      </c>
      <c r="I269">
        <v>100</v>
      </c>
    </row>
    <row r="270" spans="1:9" ht="14.5" x14ac:dyDescent="0.35">
      <c r="A270">
        <v>2</v>
      </c>
      <c r="B270" t="s">
        <v>45</v>
      </c>
      <c r="C270" t="s">
        <v>85</v>
      </c>
      <c r="D270" t="s">
        <v>92</v>
      </c>
      <c r="E270" t="s">
        <v>93</v>
      </c>
      <c r="F270" t="s">
        <v>95</v>
      </c>
      <c r="G270" t="s">
        <v>35</v>
      </c>
      <c r="H270" t="s">
        <v>36</v>
      </c>
      <c r="I270">
        <v>100</v>
      </c>
    </row>
    <row r="271" spans="1:9" ht="14.5" x14ac:dyDescent="0.35">
      <c r="A271">
        <v>2</v>
      </c>
      <c r="B271" t="s">
        <v>45</v>
      </c>
      <c r="C271" t="s">
        <v>59</v>
      </c>
      <c r="D271" t="s">
        <v>66</v>
      </c>
      <c r="E271" t="s">
        <v>67</v>
      </c>
      <c r="F271" t="s">
        <v>69</v>
      </c>
      <c r="G271" t="s">
        <v>35</v>
      </c>
      <c r="H271" t="s">
        <v>36</v>
      </c>
      <c r="I271">
        <v>100</v>
      </c>
    </row>
    <row r="272" spans="1:9" ht="14.5" x14ac:dyDescent="0.35">
      <c r="A272">
        <v>2</v>
      </c>
      <c r="B272" t="s">
        <v>45</v>
      </c>
      <c r="C272" t="s">
        <v>72</v>
      </c>
      <c r="D272" t="s">
        <v>73</v>
      </c>
      <c r="E272" t="s">
        <v>74</v>
      </c>
      <c r="F272" t="s">
        <v>75</v>
      </c>
      <c r="G272" t="s">
        <v>52</v>
      </c>
      <c r="H272" t="s">
        <v>36</v>
      </c>
      <c r="I272">
        <v>100</v>
      </c>
    </row>
    <row r="273" spans="1:9" ht="14.5" x14ac:dyDescent="0.35">
      <c r="A273">
        <v>2</v>
      </c>
      <c r="B273" t="s">
        <v>45</v>
      </c>
      <c r="C273" t="s">
        <v>72</v>
      </c>
      <c r="D273" t="s">
        <v>73</v>
      </c>
      <c r="E273" t="s">
        <v>74</v>
      </c>
      <c r="F273" t="s">
        <v>76</v>
      </c>
      <c r="G273" t="s">
        <v>35</v>
      </c>
      <c r="H273" t="s">
        <v>36</v>
      </c>
      <c r="I273">
        <v>100</v>
      </c>
    </row>
    <row r="274" spans="1:9" ht="14.5" x14ac:dyDescent="0.35">
      <c r="A274">
        <v>2</v>
      </c>
      <c r="B274" t="s">
        <v>45</v>
      </c>
      <c r="C274" t="s">
        <v>72</v>
      </c>
      <c r="D274" t="s">
        <v>79</v>
      </c>
      <c r="E274" t="s">
        <v>80</v>
      </c>
      <c r="F274" t="s">
        <v>82</v>
      </c>
      <c r="G274" t="s">
        <v>35</v>
      </c>
      <c r="H274" t="s">
        <v>36</v>
      </c>
      <c r="I274">
        <v>100</v>
      </c>
    </row>
    <row r="275" spans="1:9" ht="14.5" x14ac:dyDescent="0.35">
      <c r="A275">
        <v>3</v>
      </c>
      <c r="B275" t="s">
        <v>46</v>
      </c>
      <c r="C275" t="s">
        <v>31</v>
      </c>
      <c r="D275" t="s">
        <v>53</v>
      </c>
      <c r="E275" t="s">
        <v>54</v>
      </c>
      <c r="F275" t="s">
        <v>55</v>
      </c>
      <c r="G275" t="s">
        <v>35</v>
      </c>
      <c r="H275" t="s">
        <v>36</v>
      </c>
      <c r="I275">
        <v>100</v>
      </c>
    </row>
    <row r="276" spans="1:9" ht="14.5" x14ac:dyDescent="0.35">
      <c r="A276">
        <v>3</v>
      </c>
      <c r="B276" t="s">
        <v>46</v>
      </c>
      <c r="C276" t="s">
        <v>85</v>
      </c>
      <c r="D276" t="s">
        <v>86</v>
      </c>
      <c r="E276" t="s">
        <v>87</v>
      </c>
      <c r="F276" t="s">
        <v>90</v>
      </c>
      <c r="G276" t="s">
        <v>52</v>
      </c>
      <c r="H276" t="s">
        <v>36</v>
      </c>
      <c r="I276">
        <v>100</v>
      </c>
    </row>
    <row r="277" spans="1:9" ht="14.5" x14ac:dyDescent="0.35">
      <c r="A277">
        <v>3</v>
      </c>
      <c r="B277" t="s">
        <v>46</v>
      </c>
      <c r="C277" t="s">
        <v>59</v>
      </c>
      <c r="D277" t="s">
        <v>60</v>
      </c>
      <c r="E277" t="s">
        <v>61</v>
      </c>
      <c r="F277" t="s">
        <v>65</v>
      </c>
      <c r="G277" t="s">
        <v>35</v>
      </c>
      <c r="H277" t="s">
        <v>36</v>
      </c>
      <c r="I277">
        <v>100</v>
      </c>
    </row>
    <row r="278" spans="1:9" ht="14.5" x14ac:dyDescent="0.35">
      <c r="A278">
        <v>3</v>
      </c>
      <c r="B278" t="s">
        <v>46</v>
      </c>
      <c r="C278" t="s">
        <v>72</v>
      </c>
      <c r="D278" t="s">
        <v>73</v>
      </c>
      <c r="E278" t="s">
        <v>74</v>
      </c>
      <c r="F278" t="s">
        <v>77</v>
      </c>
      <c r="G278" t="s">
        <v>52</v>
      </c>
      <c r="H278" t="s">
        <v>36</v>
      </c>
      <c r="I278">
        <v>100</v>
      </c>
    </row>
    <row r="279" spans="1:9" ht="14.5" x14ac:dyDescent="0.35">
      <c r="A279">
        <v>3</v>
      </c>
      <c r="B279" t="s">
        <v>47</v>
      </c>
      <c r="C279" t="s">
        <v>31</v>
      </c>
      <c r="D279" t="s">
        <v>53</v>
      </c>
      <c r="E279" t="s">
        <v>54</v>
      </c>
      <c r="F279" t="s">
        <v>57</v>
      </c>
      <c r="G279" t="s">
        <v>35</v>
      </c>
      <c r="H279" t="s">
        <v>36</v>
      </c>
      <c r="I279">
        <v>100</v>
      </c>
    </row>
    <row r="280" spans="1:9" ht="14.5" x14ac:dyDescent="0.35">
      <c r="A280">
        <v>3</v>
      </c>
      <c r="B280" t="s">
        <v>47</v>
      </c>
      <c r="C280" t="s">
        <v>85</v>
      </c>
      <c r="D280" t="s">
        <v>92</v>
      </c>
      <c r="E280" t="s">
        <v>93</v>
      </c>
      <c r="F280" t="s">
        <v>95</v>
      </c>
      <c r="G280" t="s">
        <v>35</v>
      </c>
      <c r="H280" t="s">
        <v>36</v>
      </c>
      <c r="I280">
        <v>100</v>
      </c>
    </row>
    <row r="281" spans="1:9" ht="14.5" x14ac:dyDescent="0.35">
      <c r="A281">
        <v>3</v>
      </c>
      <c r="B281" t="s">
        <v>47</v>
      </c>
      <c r="C281" t="s">
        <v>85</v>
      </c>
      <c r="D281" t="s">
        <v>92</v>
      </c>
      <c r="E281" t="s">
        <v>93</v>
      </c>
      <c r="F281" t="s">
        <v>97</v>
      </c>
      <c r="G281" t="s">
        <v>35</v>
      </c>
      <c r="H281" t="s">
        <v>36</v>
      </c>
      <c r="I281">
        <v>100</v>
      </c>
    </row>
    <row r="282" spans="1:9" ht="14.5" x14ac:dyDescent="0.35">
      <c r="A282">
        <v>3</v>
      </c>
      <c r="B282" t="s">
        <v>47</v>
      </c>
      <c r="C282" t="s">
        <v>85</v>
      </c>
      <c r="D282" t="s">
        <v>92</v>
      </c>
      <c r="E282" t="s">
        <v>93</v>
      </c>
      <c r="F282" t="s">
        <v>97</v>
      </c>
      <c r="G282" t="s">
        <v>52</v>
      </c>
      <c r="H282" t="s">
        <v>36</v>
      </c>
      <c r="I282">
        <v>100</v>
      </c>
    </row>
    <row r="283" spans="1:9" ht="14.5" x14ac:dyDescent="0.35">
      <c r="A283">
        <v>3</v>
      </c>
      <c r="B283" t="s">
        <v>47</v>
      </c>
      <c r="C283" t="s">
        <v>59</v>
      </c>
      <c r="D283" t="s">
        <v>60</v>
      </c>
      <c r="E283" t="s">
        <v>61</v>
      </c>
      <c r="F283" t="s">
        <v>63</v>
      </c>
      <c r="G283" t="s">
        <v>52</v>
      </c>
      <c r="H283" t="s">
        <v>36</v>
      </c>
      <c r="I283">
        <v>100</v>
      </c>
    </row>
    <row r="284" spans="1:9" ht="14.5" x14ac:dyDescent="0.35">
      <c r="A284">
        <v>3</v>
      </c>
      <c r="B284" t="s">
        <v>47</v>
      </c>
      <c r="C284" t="s">
        <v>59</v>
      </c>
      <c r="D284" t="s">
        <v>60</v>
      </c>
      <c r="E284" t="s">
        <v>61</v>
      </c>
      <c r="F284" t="s">
        <v>62</v>
      </c>
      <c r="G284" t="s">
        <v>52</v>
      </c>
      <c r="H284" t="s">
        <v>36</v>
      </c>
      <c r="I284">
        <v>100</v>
      </c>
    </row>
    <row r="285" spans="1:9" ht="14.5" x14ac:dyDescent="0.35">
      <c r="A285">
        <v>3</v>
      </c>
      <c r="B285" t="s">
        <v>47</v>
      </c>
      <c r="C285" t="s">
        <v>72</v>
      </c>
      <c r="D285" t="s">
        <v>73</v>
      </c>
      <c r="E285" t="s">
        <v>74</v>
      </c>
      <c r="F285" t="s">
        <v>75</v>
      </c>
      <c r="G285" t="s">
        <v>35</v>
      </c>
      <c r="H285" t="s">
        <v>36</v>
      </c>
      <c r="I285">
        <v>100</v>
      </c>
    </row>
    <row r="286" spans="1:9" ht="14.5" x14ac:dyDescent="0.35">
      <c r="A286">
        <v>3</v>
      </c>
      <c r="B286" t="s">
        <v>47</v>
      </c>
      <c r="C286" t="s">
        <v>72</v>
      </c>
      <c r="D286" t="s">
        <v>73</v>
      </c>
      <c r="E286" t="s">
        <v>74</v>
      </c>
      <c r="F286" t="s">
        <v>78</v>
      </c>
      <c r="G286" t="s">
        <v>35</v>
      </c>
      <c r="H286" t="s">
        <v>36</v>
      </c>
      <c r="I286">
        <v>100</v>
      </c>
    </row>
    <row r="287" spans="1:9" ht="14.5" x14ac:dyDescent="0.35">
      <c r="A287">
        <v>3</v>
      </c>
      <c r="B287" t="s">
        <v>48</v>
      </c>
      <c r="C287" t="s">
        <v>31</v>
      </c>
      <c r="D287" t="s">
        <v>32</v>
      </c>
      <c r="E287" t="s">
        <v>33</v>
      </c>
      <c r="F287" t="s">
        <v>39</v>
      </c>
      <c r="G287" t="s">
        <v>35</v>
      </c>
      <c r="H287" t="s">
        <v>36</v>
      </c>
      <c r="I287">
        <v>100</v>
      </c>
    </row>
    <row r="288" spans="1:9" ht="14.5" x14ac:dyDescent="0.35">
      <c r="A288">
        <v>3</v>
      </c>
      <c r="B288" t="s">
        <v>48</v>
      </c>
      <c r="C288" t="s">
        <v>31</v>
      </c>
      <c r="D288" t="s">
        <v>53</v>
      </c>
      <c r="E288" t="s">
        <v>54</v>
      </c>
      <c r="F288" t="s">
        <v>56</v>
      </c>
      <c r="G288" t="s">
        <v>52</v>
      </c>
      <c r="H288" t="s">
        <v>36</v>
      </c>
      <c r="I288">
        <v>100</v>
      </c>
    </row>
    <row r="289" spans="1:9" ht="14.5" x14ac:dyDescent="0.35">
      <c r="A289">
        <v>3</v>
      </c>
      <c r="B289" t="s">
        <v>48</v>
      </c>
      <c r="C289" t="s">
        <v>85</v>
      </c>
      <c r="D289" t="s">
        <v>92</v>
      </c>
      <c r="E289" t="s">
        <v>93</v>
      </c>
      <c r="F289" t="s">
        <v>95</v>
      </c>
      <c r="G289" t="s">
        <v>52</v>
      </c>
      <c r="H289" t="s">
        <v>36</v>
      </c>
      <c r="I289">
        <v>100</v>
      </c>
    </row>
    <row r="290" spans="1:9" ht="14.5" x14ac:dyDescent="0.35">
      <c r="A290">
        <v>3</v>
      </c>
      <c r="B290" t="s">
        <v>48</v>
      </c>
      <c r="C290" t="s">
        <v>72</v>
      </c>
      <c r="D290" t="s">
        <v>79</v>
      </c>
      <c r="E290" t="s">
        <v>80</v>
      </c>
      <c r="F290" t="s">
        <v>81</v>
      </c>
      <c r="G290" t="s">
        <v>35</v>
      </c>
      <c r="H290" t="s">
        <v>36</v>
      </c>
      <c r="I290">
        <v>100</v>
      </c>
    </row>
    <row r="291" spans="1:9" ht="14.5" x14ac:dyDescent="0.35">
      <c r="A291">
        <v>3</v>
      </c>
      <c r="B291" t="s">
        <v>48</v>
      </c>
      <c r="C291" t="s">
        <v>72</v>
      </c>
      <c r="D291" t="s">
        <v>79</v>
      </c>
      <c r="E291" t="s">
        <v>80</v>
      </c>
      <c r="F291" t="s">
        <v>83</v>
      </c>
      <c r="G291" t="s">
        <v>52</v>
      </c>
      <c r="H291" t="s">
        <v>36</v>
      </c>
      <c r="I291">
        <v>100</v>
      </c>
    </row>
    <row r="292" spans="1:9" ht="14.5" x14ac:dyDescent="0.35">
      <c r="A292">
        <v>3</v>
      </c>
      <c r="B292" t="s">
        <v>48</v>
      </c>
      <c r="C292" t="s">
        <v>72</v>
      </c>
      <c r="D292" t="s">
        <v>79</v>
      </c>
      <c r="E292" t="s">
        <v>80</v>
      </c>
      <c r="F292" t="s">
        <v>84</v>
      </c>
      <c r="G292" t="s">
        <v>52</v>
      </c>
      <c r="H292" t="s">
        <v>36</v>
      </c>
      <c r="I292">
        <v>100</v>
      </c>
    </row>
    <row r="293" spans="1:9" ht="14.5" x14ac:dyDescent="0.35">
      <c r="A293">
        <v>4</v>
      </c>
      <c r="B293" t="s">
        <v>49</v>
      </c>
      <c r="C293" t="s">
        <v>31</v>
      </c>
      <c r="D293" t="s">
        <v>53</v>
      </c>
      <c r="E293" t="s">
        <v>54</v>
      </c>
      <c r="F293" t="s">
        <v>55</v>
      </c>
      <c r="G293" t="s">
        <v>52</v>
      </c>
      <c r="H293" t="s">
        <v>36</v>
      </c>
      <c r="I293">
        <v>100</v>
      </c>
    </row>
    <row r="294" spans="1:9" ht="14.5" x14ac:dyDescent="0.35">
      <c r="A294">
        <v>4</v>
      </c>
      <c r="B294" t="s">
        <v>49</v>
      </c>
      <c r="C294" t="s">
        <v>72</v>
      </c>
      <c r="D294" t="s">
        <v>73</v>
      </c>
      <c r="E294" t="s">
        <v>74</v>
      </c>
      <c r="F294" t="s">
        <v>76</v>
      </c>
      <c r="G294" t="s">
        <v>52</v>
      </c>
      <c r="H294" t="s">
        <v>36</v>
      </c>
      <c r="I294">
        <v>100</v>
      </c>
    </row>
    <row r="295" spans="1:9" ht="14.5" x14ac:dyDescent="0.35">
      <c r="A295">
        <v>4</v>
      </c>
      <c r="B295" t="s">
        <v>50</v>
      </c>
      <c r="C295" t="s">
        <v>31</v>
      </c>
      <c r="D295" t="s">
        <v>32</v>
      </c>
      <c r="E295" t="s">
        <v>33</v>
      </c>
      <c r="F295" t="s">
        <v>37</v>
      </c>
      <c r="G295" t="s">
        <v>35</v>
      </c>
      <c r="H295" t="s">
        <v>36</v>
      </c>
      <c r="I295">
        <v>100</v>
      </c>
    </row>
    <row r="296" spans="1:9" ht="14.5" x14ac:dyDescent="0.35">
      <c r="A296">
        <v>4</v>
      </c>
      <c r="B296" t="s">
        <v>50</v>
      </c>
      <c r="C296" t="s">
        <v>31</v>
      </c>
      <c r="D296" t="s">
        <v>32</v>
      </c>
      <c r="E296" t="s">
        <v>33</v>
      </c>
      <c r="F296" t="s">
        <v>40</v>
      </c>
      <c r="G296" t="s">
        <v>35</v>
      </c>
      <c r="H296" t="s">
        <v>36</v>
      </c>
      <c r="I296">
        <v>100</v>
      </c>
    </row>
    <row r="297" spans="1:9" ht="14.5" x14ac:dyDescent="0.35">
      <c r="A297">
        <v>4</v>
      </c>
      <c r="B297" t="s">
        <v>50</v>
      </c>
      <c r="C297" t="s">
        <v>31</v>
      </c>
      <c r="D297" t="s">
        <v>53</v>
      </c>
      <c r="E297" t="s">
        <v>54</v>
      </c>
      <c r="F297" t="s">
        <v>55</v>
      </c>
      <c r="G297" t="s">
        <v>52</v>
      </c>
      <c r="H297" t="s">
        <v>36</v>
      </c>
      <c r="I297">
        <v>100</v>
      </c>
    </row>
    <row r="298" spans="1:9" ht="14.5" x14ac:dyDescent="0.35">
      <c r="A298">
        <v>4</v>
      </c>
      <c r="B298" t="s">
        <v>50</v>
      </c>
      <c r="C298" t="s">
        <v>31</v>
      </c>
      <c r="D298" t="s">
        <v>53</v>
      </c>
      <c r="E298" t="s">
        <v>54</v>
      </c>
      <c r="F298" t="s">
        <v>58</v>
      </c>
      <c r="G298" t="s">
        <v>52</v>
      </c>
      <c r="H298" t="s">
        <v>36</v>
      </c>
      <c r="I298">
        <v>100</v>
      </c>
    </row>
    <row r="299" spans="1:9" ht="14.5" x14ac:dyDescent="0.35">
      <c r="A299">
        <v>4</v>
      </c>
      <c r="B299" t="s">
        <v>50</v>
      </c>
      <c r="C299" t="s">
        <v>72</v>
      </c>
      <c r="D299" t="s">
        <v>79</v>
      </c>
      <c r="E299" t="s">
        <v>80</v>
      </c>
      <c r="F299" t="s">
        <v>82</v>
      </c>
      <c r="G299" t="s">
        <v>52</v>
      </c>
      <c r="H299" t="s">
        <v>36</v>
      </c>
      <c r="I299">
        <v>100</v>
      </c>
    </row>
    <row r="300" spans="1:9" ht="14.5" x14ac:dyDescent="0.35">
      <c r="A300">
        <v>4</v>
      </c>
      <c r="B300" t="s">
        <v>51</v>
      </c>
      <c r="C300" t="s">
        <v>85</v>
      </c>
      <c r="D300" t="s">
        <v>92</v>
      </c>
      <c r="E300" t="s">
        <v>93</v>
      </c>
      <c r="F300" t="s">
        <v>96</v>
      </c>
      <c r="G300" t="s">
        <v>35</v>
      </c>
      <c r="H300" t="s">
        <v>36</v>
      </c>
      <c r="I300">
        <v>100</v>
      </c>
    </row>
    <row r="301" spans="1:9" ht="14.5" x14ac:dyDescent="0.35">
      <c r="A301">
        <v>4</v>
      </c>
      <c r="B301" t="s">
        <v>51</v>
      </c>
      <c r="C301" t="s">
        <v>72</v>
      </c>
      <c r="D301" t="s">
        <v>73</v>
      </c>
      <c r="E301" t="s">
        <v>74</v>
      </c>
      <c r="F301" t="s">
        <v>78</v>
      </c>
      <c r="G301" t="s">
        <v>52</v>
      </c>
      <c r="H301" t="s">
        <v>36</v>
      </c>
      <c r="I301">
        <v>100</v>
      </c>
    </row>
    <row r="302" spans="1:9" ht="14.5" x14ac:dyDescent="0.35">
      <c r="A302">
        <v>1</v>
      </c>
      <c r="B302" t="s">
        <v>30</v>
      </c>
      <c r="C302" t="s">
        <v>31</v>
      </c>
      <c r="D302" t="s">
        <v>32</v>
      </c>
      <c r="E302" t="s">
        <v>33</v>
      </c>
      <c r="F302" t="s">
        <v>37</v>
      </c>
      <c r="G302" t="s">
        <v>52</v>
      </c>
      <c r="H302" t="s">
        <v>36</v>
      </c>
      <c r="I302">
        <v>110</v>
      </c>
    </row>
    <row r="303" spans="1:9" ht="14.5" x14ac:dyDescent="0.35">
      <c r="A303">
        <v>1</v>
      </c>
      <c r="B303" t="s">
        <v>30</v>
      </c>
      <c r="C303" t="s">
        <v>31</v>
      </c>
      <c r="D303" t="s">
        <v>53</v>
      </c>
      <c r="E303" t="s">
        <v>54</v>
      </c>
      <c r="F303" t="s">
        <v>57</v>
      </c>
      <c r="G303" t="s">
        <v>35</v>
      </c>
      <c r="H303" t="s">
        <v>36</v>
      </c>
      <c r="I303">
        <v>110</v>
      </c>
    </row>
    <row r="304" spans="1:9" ht="14.5" x14ac:dyDescent="0.35">
      <c r="A304">
        <v>1</v>
      </c>
      <c r="B304" t="s">
        <v>30</v>
      </c>
      <c r="C304" t="s">
        <v>85</v>
      </c>
      <c r="D304" t="s">
        <v>92</v>
      </c>
      <c r="E304" t="s">
        <v>93</v>
      </c>
      <c r="F304" t="s">
        <v>94</v>
      </c>
      <c r="G304" t="s">
        <v>35</v>
      </c>
      <c r="H304" t="s">
        <v>36</v>
      </c>
      <c r="I304">
        <v>110</v>
      </c>
    </row>
    <row r="305" spans="1:9" ht="14.5" x14ac:dyDescent="0.35">
      <c r="A305">
        <v>1</v>
      </c>
      <c r="B305" t="s">
        <v>30</v>
      </c>
      <c r="C305" t="s">
        <v>85</v>
      </c>
      <c r="D305" t="s">
        <v>92</v>
      </c>
      <c r="E305" t="s">
        <v>93</v>
      </c>
      <c r="F305" t="s">
        <v>95</v>
      </c>
      <c r="G305" t="s">
        <v>52</v>
      </c>
      <c r="H305" t="s">
        <v>36</v>
      </c>
      <c r="I305">
        <v>110</v>
      </c>
    </row>
    <row r="306" spans="1:9" ht="14.5" x14ac:dyDescent="0.35">
      <c r="A306">
        <v>1</v>
      </c>
      <c r="B306" t="s">
        <v>30</v>
      </c>
      <c r="C306" t="s">
        <v>85</v>
      </c>
      <c r="D306" t="s">
        <v>92</v>
      </c>
      <c r="E306" t="s">
        <v>93</v>
      </c>
      <c r="F306" t="s">
        <v>97</v>
      </c>
      <c r="G306" t="s">
        <v>52</v>
      </c>
      <c r="H306" t="s">
        <v>36</v>
      </c>
      <c r="I306">
        <v>110</v>
      </c>
    </row>
    <row r="307" spans="1:9" ht="14.5" x14ac:dyDescent="0.35">
      <c r="A307">
        <v>1</v>
      </c>
      <c r="B307" t="s">
        <v>30</v>
      </c>
      <c r="C307" t="s">
        <v>59</v>
      </c>
      <c r="D307" t="s">
        <v>60</v>
      </c>
      <c r="E307" t="s">
        <v>61</v>
      </c>
      <c r="F307" t="s">
        <v>64</v>
      </c>
      <c r="G307" t="s">
        <v>35</v>
      </c>
      <c r="H307" t="s">
        <v>36</v>
      </c>
      <c r="I307">
        <v>110</v>
      </c>
    </row>
    <row r="308" spans="1:9" ht="14.5" x14ac:dyDescent="0.35">
      <c r="A308">
        <v>1</v>
      </c>
      <c r="B308" t="s">
        <v>30</v>
      </c>
      <c r="C308" t="s">
        <v>72</v>
      </c>
      <c r="D308" t="s">
        <v>79</v>
      </c>
      <c r="E308" t="s">
        <v>80</v>
      </c>
      <c r="F308" t="s">
        <v>81</v>
      </c>
      <c r="G308" t="s">
        <v>35</v>
      </c>
      <c r="H308" t="s">
        <v>36</v>
      </c>
      <c r="I308">
        <v>110</v>
      </c>
    </row>
    <row r="309" spans="1:9" ht="14.5" x14ac:dyDescent="0.35">
      <c r="A309">
        <v>1</v>
      </c>
      <c r="B309" t="s">
        <v>41</v>
      </c>
      <c r="C309" t="s">
        <v>31</v>
      </c>
      <c r="D309" t="s">
        <v>32</v>
      </c>
      <c r="E309" t="s">
        <v>33</v>
      </c>
      <c r="F309" t="s">
        <v>39</v>
      </c>
      <c r="G309" t="s">
        <v>52</v>
      </c>
      <c r="H309" t="s">
        <v>36</v>
      </c>
      <c r="I309">
        <v>110</v>
      </c>
    </row>
    <row r="310" spans="1:9" ht="14.5" x14ac:dyDescent="0.35">
      <c r="A310">
        <v>1</v>
      </c>
      <c r="B310" t="s">
        <v>41</v>
      </c>
      <c r="C310" t="s">
        <v>85</v>
      </c>
      <c r="D310" t="s">
        <v>86</v>
      </c>
      <c r="E310" t="s">
        <v>87</v>
      </c>
      <c r="F310" t="s">
        <v>89</v>
      </c>
      <c r="G310" t="s">
        <v>52</v>
      </c>
      <c r="H310" t="s">
        <v>36</v>
      </c>
      <c r="I310">
        <v>110</v>
      </c>
    </row>
    <row r="311" spans="1:9" ht="14.5" x14ac:dyDescent="0.35">
      <c r="A311">
        <v>1</v>
      </c>
      <c r="B311" t="s">
        <v>42</v>
      </c>
      <c r="C311" t="s">
        <v>31</v>
      </c>
      <c r="D311" t="s">
        <v>32</v>
      </c>
      <c r="E311" t="s">
        <v>33</v>
      </c>
      <c r="F311" t="s">
        <v>34</v>
      </c>
      <c r="G311" t="s">
        <v>52</v>
      </c>
      <c r="H311" t="s">
        <v>36</v>
      </c>
      <c r="I311">
        <v>110</v>
      </c>
    </row>
    <row r="312" spans="1:9" ht="14.5" x14ac:dyDescent="0.35">
      <c r="A312">
        <v>1</v>
      </c>
      <c r="B312" t="s">
        <v>42</v>
      </c>
      <c r="C312" t="s">
        <v>85</v>
      </c>
      <c r="D312" t="s">
        <v>86</v>
      </c>
      <c r="E312" t="s">
        <v>87</v>
      </c>
      <c r="F312" t="s">
        <v>89</v>
      </c>
      <c r="G312" t="s">
        <v>35</v>
      </c>
      <c r="H312" t="s">
        <v>36</v>
      </c>
      <c r="I312">
        <v>110</v>
      </c>
    </row>
    <row r="313" spans="1:9" ht="14.5" x14ac:dyDescent="0.35">
      <c r="A313">
        <v>1</v>
      </c>
      <c r="B313" t="s">
        <v>42</v>
      </c>
      <c r="C313" t="s">
        <v>59</v>
      </c>
      <c r="D313" t="s">
        <v>60</v>
      </c>
      <c r="E313" t="s">
        <v>61</v>
      </c>
      <c r="F313" t="s">
        <v>64</v>
      </c>
      <c r="G313" t="s">
        <v>35</v>
      </c>
      <c r="H313" t="s">
        <v>36</v>
      </c>
      <c r="I313">
        <v>110</v>
      </c>
    </row>
    <row r="314" spans="1:9" ht="14.5" x14ac:dyDescent="0.35">
      <c r="A314">
        <v>1</v>
      </c>
      <c r="B314" t="s">
        <v>42</v>
      </c>
      <c r="C314" t="s">
        <v>72</v>
      </c>
      <c r="D314" t="s">
        <v>79</v>
      </c>
      <c r="E314" t="s">
        <v>80</v>
      </c>
      <c r="F314" t="s">
        <v>84</v>
      </c>
      <c r="G314" t="s">
        <v>52</v>
      </c>
      <c r="H314" t="s">
        <v>36</v>
      </c>
      <c r="I314">
        <v>110</v>
      </c>
    </row>
    <row r="315" spans="1:9" ht="14.5" x14ac:dyDescent="0.35">
      <c r="A315">
        <v>2</v>
      </c>
      <c r="B315" t="s">
        <v>43</v>
      </c>
      <c r="C315" t="s">
        <v>59</v>
      </c>
      <c r="D315" t="s">
        <v>66</v>
      </c>
      <c r="E315" t="s">
        <v>67</v>
      </c>
      <c r="F315" t="s">
        <v>69</v>
      </c>
      <c r="G315" t="s">
        <v>35</v>
      </c>
      <c r="H315" t="s">
        <v>36</v>
      </c>
      <c r="I315">
        <v>110</v>
      </c>
    </row>
    <row r="316" spans="1:9" ht="14.5" x14ac:dyDescent="0.35">
      <c r="A316">
        <v>2</v>
      </c>
      <c r="B316" t="s">
        <v>43</v>
      </c>
      <c r="C316" t="s">
        <v>72</v>
      </c>
      <c r="D316" t="s">
        <v>73</v>
      </c>
      <c r="E316" t="s">
        <v>74</v>
      </c>
      <c r="F316" t="s">
        <v>76</v>
      </c>
      <c r="G316" t="s">
        <v>35</v>
      </c>
      <c r="H316" t="s">
        <v>36</v>
      </c>
      <c r="I316">
        <v>110</v>
      </c>
    </row>
    <row r="317" spans="1:9" ht="14.5" x14ac:dyDescent="0.35">
      <c r="A317">
        <v>2</v>
      </c>
      <c r="B317" t="s">
        <v>44</v>
      </c>
      <c r="C317" t="s">
        <v>59</v>
      </c>
      <c r="D317" t="s">
        <v>66</v>
      </c>
      <c r="E317" t="s">
        <v>67</v>
      </c>
      <c r="F317" t="s">
        <v>71</v>
      </c>
      <c r="G317" t="s">
        <v>52</v>
      </c>
      <c r="H317" t="s">
        <v>36</v>
      </c>
      <c r="I317">
        <v>110</v>
      </c>
    </row>
    <row r="318" spans="1:9" ht="14.5" x14ac:dyDescent="0.35">
      <c r="A318">
        <v>2</v>
      </c>
      <c r="B318" t="s">
        <v>44</v>
      </c>
      <c r="C318" t="s">
        <v>72</v>
      </c>
      <c r="D318" t="s">
        <v>79</v>
      </c>
      <c r="E318" t="s">
        <v>80</v>
      </c>
      <c r="F318" t="s">
        <v>84</v>
      </c>
      <c r="G318" t="s">
        <v>52</v>
      </c>
      <c r="H318" t="s">
        <v>36</v>
      </c>
      <c r="I318">
        <v>110</v>
      </c>
    </row>
    <row r="319" spans="1:9" ht="14.5" x14ac:dyDescent="0.35">
      <c r="A319">
        <v>2</v>
      </c>
      <c r="B319" t="s">
        <v>45</v>
      </c>
      <c r="C319" t="s">
        <v>31</v>
      </c>
      <c r="D319" t="s">
        <v>53</v>
      </c>
      <c r="E319" t="s">
        <v>54</v>
      </c>
      <c r="F319" t="s">
        <v>57</v>
      </c>
      <c r="G319" t="s">
        <v>35</v>
      </c>
      <c r="H319" t="s">
        <v>36</v>
      </c>
      <c r="I319">
        <v>110</v>
      </c>
    </row>
    <row r="320" spans="1:9" ht="14.5" x14ac:dyDescent="0.35">
      <c r="A320">
        <v>2</v>
      </c>
      <c r="B320" t="s">
        <v>45</v>
      </c>
      <c r="C320" t="s">
        <v>85</v>
      </c>
      <c r="D320" t="s">
        <v>86</v>
      </c>
      <c r="E320" t="s">
        <v>87</v>
      </c>
      <c r="F320" t="s">
        <v>88</v>
      </c>
      <c r="G320" t="s">
        <v>35</v>
      </c>
      <c r="H320" t="s">
        <v>36</v>
      </c>
      <c r="I320">
        <v>110</v>
      </c>
    </row>
    <row r="321" spans="1:9" ht="14.5" x14ac:dyDescent="0.35">
      <c r="A321">
        <v>2</v>
      </c>
      <c r="B321" t="s">
        <v>45</v>
      </c>
      <c r="C321" t="s">
        <v>85</v>
      </c>
      <c r="D321" t="s">
        <v>86</v>
      </c>
      <c r="E321" t="s">
        <v>87</v>
      </c>
      <c r="F321" t="s">
        <v>89</v>
      </c>
      <c r="G321" t="s">
        <v>35</v>
      </c>
      <c r="H321" t="s">
        <v>36</v>
      </c>
      <c r="I321">
        <v>110</v>
      </c>
    </row>
    <row r="322" spans="1:9" ht="14.5" x14ac:dyDescent="0.35">
      <c r="A322">
        <v>2</v>
      </c>
      <c r="B322" t="s">
        <v>45</v>
      </c>
      <c r="C322" t="s">
        <v>85</v>
      </c>
      <c r="D322" t="s">
        <v>92</v>
      </c>
      <c r="E322" t="s">
        <v>93</v>
      </c>
      <c r="F322" t="s">
        <v>97</v>
      </c>
      <c r="G322" t="s">
        <v>52</v>
      </c>
      <c r="H322" t="s">
        <v>36</v>
      </c>
      <c r="I322">
        <v>110</v>
      </c>
    </row>
    <row r="323" spans="1:9" ht="14.5" x14ac:dyDescent="0.35">
      <c r="A323">
        <v>2</v>
      </c>
      <c r="B323" t="s">
        <v>45</v>
      </c>
      <c r="C323" t="s">
        <v>59</v>
      </c>
      <c r="D323" t="s">
        <v>60</v>
      </c>
      <c r="E323" t="s">
        <v>61</v>
      </c>
      <c r="F323" t="s">
        <v>63</v>
      </c>
      <c r="G323" t="s">
        <v>52</v>
      </c>
      <c r="H323" t="s">
        <v>36</v>
      </c>
      <c r="I323">
        <v>110</v>
      </c>
    </row>
    <row r="324" spans="1:9" ht="14.5" x14ac:dyDescent="0.35">
      <c r="A324">
        <v>2</v>
      </c>
      <c r="B324" t="s">
        <v>45</v>
      </c>
      <c r="C324" t="s">
        <v>72</v>
      </c>
      <c r="D324" t="s">
        <v>79</v>
      </c>
      <c r="E324" t="s">
        <v>80</v>
      </c>
      <c r="F324" t="s">
        <v>84</v>
      </c>
      <c r="G324" t="s">
        <v>35</v>
      </c>
      <c r="H324" t="s">
        <v>36</v>
      </c>
      <c r="I324">
        <v>110</v>
      </c>
    </row>
    <row r="325" spans="1:9" ht="14.5" x14ac:dyDescent="0.35">
      <c r="A325">
        <v>3</v>
      </c>
      <c r="B325" t="s">
        <v>46</v>
      </c>
      <c r="C325" t="s">
        <v>85</v>
      </c>
      <c r="D325" t="s">
        <v>92</v>
      </c>
      <c r="E325" t="s">
        <v>93</v>
      </c>
      <c r="F325" t="s">
        <v>95</v>
      </c>
      <c r="G325" t="s">
        <v>52</v>
      </c>
      <c r="H325" t="s">
        <v>36</v>
      </c>
      <c r="I325">
        <v>110</v>
      </c>
    </row>
    <row r="326" spans="1:9" ht="14.5" x14ac:dyDescent="0.35">
      <c r="A326">
        <v>3</v>
      </c>
      <c r="B326" t="s">
        <v>47</v>
      </c>
      <c r="C326" t="s">
        <v>59</v>
      </c>
      <c r="D326" t="s">
        <v>60</v>
      </c>
      <c r="E326" t="s">
        <v>61</v>
      </c>
      <c r="F326" t="s">
        <v>65</v>
      </c>
      <c r="G326" t="s">
        <v>52</v>
      </c>
      <c r="H326" t="s">
        <v>36</v>
      </c>
      <c r="I326">
        <v>110</v>
      </c>
    </row>
    <row r="327" spans="1:9" ht="14.5" x14ac:dyDescent="0.35">
      <c r="A327">
        <v>3</v>
      </c>
      <c r="B327" t="s">
        <v>47</v>
      </c>
      <c r="C327" t="s">
        <v>72</v>
      </c>
      <c r="D327" t="s">
        <v>73</v>
      </c>
      <c r="E327" t="s">
        <v>74</v>
      </c>
      <c r="F327" t="s">
        <v>75</v>
      </c>
      <c r="G327" t="s">
        <v>52</v>
      </c>
      <c r="H327" t="s">
        <v>36</v>
      </c>
      <c r="I327">
        <v>110</v>
      </c>
    </row>
    <row r="328" spans="1:9" ht="14.5" x14ac:dyDescent="0.35">
      <c r="A328">
        <v>3</v>
      </c>
      <c r="B328" t="s">
        <v>47</v>
      </c>
      <c r="C328" t="s">
        <v>72</v>
      </c>
      <c r="D328" t="s">
        <v>79</v>
      </c>
      <c r="E328" t="s">
        <v>80</v>
      </c>
      <c r="F328" t="s">
        <v>81</v>
      </c>
      <c r="G328" t="s">
        <v>35</v>
      </c>
      <c r="H328" t="s">
        <v>36</v>
      </c>
      <c r="I328">
        <v>110</v>
      </c>
    </row>
    <row r="329" spans="1:9" ht="14.5" x14ac:dyDescent="0.35">
      <c r="A329">
        <v>3</v>
      </c>
      <c r="B329" t="s">
        <v>47</v>
      </c>
      <c r="C329" t="s">
        <v>72</v>
      </c>
      <c r="D329" t="s">
        <v>79</v>
      </c>
      <c r="E329" t="s">
        <v>80</v>
      </c>
      <c r="F329" t="s">
        <v>83</v>
      </c>
      <c r="G329" t="s">
        <v>52</v>
      </c>
      <c r="H329" t="s">
        <v>36</v>
      </c>
      <c r="I329">
        <v>110</v>
      </c>
    </row>
    <row r="330" spans="1:9" ht="14.5" x14ac:dyDescent="0.35">
      <c r="A330">
        <v>3</v>
      </c>
      <c r="B330" t="s">
        <v>47</v>
      </c>
      <c r="C330" t="s">
        <v>72</v>
      </c>
      <c r="D330" t="s">
        <v>79</v>
      </c>
      <c r="E330" t="s">
        <v>80</v>
      </c>
      <c r="F330" t="s">
        <v>84</v>
      </c>
      <c r="G330" t="s">
        <v>52</v>
      </c>
      <c r="H330" t="s">
        <v>36</v>
      </c>
      <c r="I330">
        <v>110</v>
      </c>
    </row>
    <row r="331" spans="1:9" ht="14.5" x14ac:dyDescent="0.35">
      <c r="A331">
        <v>3</v>
      </c>
      <c r="B331" t="s">
        <v>48</v>
      </c>
      <c r="C331" t="s">
        <v>31</v>
      </c>
      <c r="D331" t="s">
        <v>32</v>
      </c>
      <c r="E331" t="s">
        <v>33</v>
      </c>
      <c r="F331" t="s">
        <v>37</v>
      </c>
      <c r="G331" t="s">
        <v>52</v>
      </c>
      <c r="H331" t="s">
        <v>36</v>
      </c>
      <c r="I331">
        <v>110</v>
      </c>
    </row>
    <row r="332" spans="1:9" ht="14.5" x14ac:dyDescent="0.35">
      <c r="A332">
        <v>3</v>
      </c>
      <c r="B332" t="s">
        <v>48</v>
      </c>
      <c r="C332" t="s">
        <v>31</v>
      </c>
      <c r="D332" t="s">
        <v>53</v>
      </c>
      <c r="E332" t="s">
        <v>54</v>
      </c>
      <c r="F332" t="s">
        <v>57</v>
      </c>
      <c r="G332" t="s">
        <v>35</v>
      </c>
      <c r="H332" t="s">
        <v>36</v>
      </c>
      <c r="I332">
        <v>110</v>
      </c>
    </row>
    <row r="333" spans="1:9" ht="14.5" x14ac:dyDescent="0.35">
      <c r="A333">
        <v>3</v>
      </c>
      <c r="B333" t="s">
        <v>48</v>
      </c>
      <c r="C333" t="s">
        <v>85</v>
      </c>
      <c r="D333" t="s">
        <v>86</v>
      </c>
      <c r="E333" t="s">
        <v>87</v>
      </c>
      <c r="F333" t="s">
        <v>91</v>
      </c>
      <c r="G333" t="s">
        <v>35</v>
      </c>
      <c r="H333" t="s">
        <v>36</v>
      </c>
      <c r="I333">
        <v>110</v>
      </c>
    </row>
    <row r="334" spans="1:9" ht="14.5" x14ac:dyDescent="0.35">
      <c r="A334">
        <v>4</v>
      </c>
      <c r="B334" t="s">
        <v>49</v>
      </c>
      <c r="C334" t="s">
        <v>31</v>
      </c>
      <c r="D334" t="s">
        <v>53</v>
      </c>
      <c r="E334" t="s">
        <v>54</v>
      </c>
      <c r="F334" t="s">
        <v>55</v>
      </c>
      <c r="G334" t="s">
        <v>35</v>
      </c>
      <c r="H334" t="s">
        <v>36</v>
      </c>
      <c r="I334">
        <v>110</v>
      </c>
    </row>
    <row r="335" spans="1:9" ht="14.5" x14ac:dyDescent="0.35">
      <c r="A335">
        <v>4</v>
      </c>
      <c r="B335" t="s">
        <v>49</v>
      </c>
      <c r="C335" t="s">
        <v>59</v>
      </c>
      <c r="D335" t="s">
        <v>66</v>
      </c>
      <c r="E335" t="s">
        <v>67</v>
      </c>
      <c r="F335" t="s">
        <v>69</v>
      </c>
      <c r="G335" t="s">
        <v>52</v>
      </c>
      <c r="H335" t="s">
        <v>36</v>
      </c>
      <c r="I335">
        <v>110</v>
      </c>
    </row>
    <row r="336" spans="1:9" ht="14.5" x14ac:dyDescent="0.35">
      <c r="A336">
        <v>4</v>
      </c>
      <c r="B336" t="s">
        <v>50</v>
      </c>
      <c r="C336" t="s">
        <v>85</v>
      </c>
      <c r="D336" t="s">
        <v>86</v>
      </c>
      <c r="E336" t="s">
        <v>87</v>
      </c>
      <c r="F336" t="s">
        <v>88</v>
      </c>
      <c r="G336" t="s">
        <v>52</v>
      </c>
      <c r="H336" t="s">
        <v>36</v>
      </c>
      <c r="I336">
        <v>110</v>
      </c>
    </row>
    <row r="337" spans="1:9" ht="14.5" x14ac:dyDescent="0.35">
      <c r="A337">
        <v>4</v>
      </c>
      <c r="B337" t="s">
        <v>50</v>
      </c>
      <c r="C337" t="s">
        <v>59</v>
      </c>
      <c r="D337" t="s">
        <v>66</v>
      </c>
      <c r="E337" t="s">
        <v>67</v>
      </c>
      <c r="F337" t="s">
        <v>68</v>
      </c>
      <c r="G337" t="s">
        <v>35</v>
      </c>
      <c r="H337" t="s">
        <v>36</v>
      </c>
      <c r="I337">
        <v>110</v>
      </c>
    </row>
    <row r="338" spans="1:9" ht="14.5" x14ac:dyDescent="0.35">
      <c r="A338">
        <v>4</v>
      </c>
      <c r="B338" t="s">
        <v>50</v>
      </c>
      <c r="C338" t="s">
        <v>59</v>
      </c>
      <c r="D338" t="s">
        <v>66</v>
      </c>
      <c r="E338" t="s">
        <v>67</v>
      </c>
      <c r="F338" t="s">
        <v>69</v>
      </c>
      <c r="G338" t="s">
        <v>35</v>
      </c>
      <c r="H338" t="s">
        <v>36</v>
      </c>
      <c r="I338">
        <v>110</v>
      </c>
    </row>
    <row r="339" spans="1:9" ht="14.5" x14ac:dyDescent="0.35">
      <c r="A339">
        <v>4</v>
      </c>
      <c r="B339" t="s">
        <v>50</v>
      </c>
      <c r="C339" t="s">
        <v>72</v>
      </c>
      <c r="D339" t="s">
        <v>79</v>
      </c>
      <c r="E339" t="s">
        <v>80</v>
      </c>
      <c r="F339" t="s">
        <v>81</v>
      </c>
      <c r="G339" t="s">
        <v>52</v>
      </c>
      <c r="H339" t="s">
        <v>36</v>
      </c>
      <c r="I339">
        <v>110</v>
      </c>
    </row>
    <row r="340" spans="1:9" ht="14.5" x14ac:dyDescent="0.35">
      <c r="A340">
        <v>4</v>
      </c>
      <c r="B340" t="s">
        <v>51</v>
      </c>
      <c r="C340" t="s">
        <v>31</v>
      </c>
      <c r="D340" t="s">
        <v>32</v>
      </c>
      <c r="E340" t="s">
        <v>33</v>
      </c>
      <c r="F340" t="s">
        <v>39</v>
      </c>
      <c r="G340" t="s">
        <v>52</v>
      </c>
      <c r="H340" t="s">
        <v>36</v>
      </c>
      <c r="I340">
        <v>110</v>
      </c>
    </row>
    <row r="341" spans="1:9" ht="14.5" x14ac:dyDescent="0.35">
      <c r="A341">
        <v>4</v>
      </c>
      <c r="B341" t="s">
        <v>51</v>
      </c>
      <c r="C341" t="s">
        <v>31</v>
      </c>
      <c r="D341" t="s">
        <v>53</v>
      </c>
      <c r="E341" t="s">
        <v>54</v>
      </c>
      <c r="F341" t="s">
        <v>56</v>
      </c>
      <c r="G341" t="s">
        <v>35</v>
      </c>
      <c r="H341" t="s">
        <v>36</v>
      </c>
      <c r="I341">
        <v>110</v>
      </c>
    </row>
    <row r="342" spans="1:9" ht="14.5" x14ac:dyDescent="0.35">
      <c r="A342">
        <v>4</v>
      </c>
      <c r="B342" t="s">
        <v>51</v>
      </c>
      <c r="C342" t="s">
        <v>85</v>
      </c>
      <c r="D342" t="s">
        <v>86</v>
      </c>
      <c r="E342" t="s">
        <v>87</v>
      </c>
      <c r="F342" t="s">
        <v>90</v>
      </c>
      <c r="G342" t="s">
        <v>52</v>
      </c>
      <c r="H342" t="s">
        <v>36</v>
      </c>
      <c r="I342">
        <v>110</v>
      </c>
    </row>
    <row r="343" spans="1:9" ht="14.5" x14ac:dyDescent="0.35">
      <c r="A343">
        <v>4</v>
      </c>
      <c r="B343" t="s">
        <v>51</v>
      </c>
      <c r="C343" t="s">
        <v>59</v>
      </c>
      <c r="D343" t="s">
        <v>60</v>
      </c>
      <c r="E343" t="s">
        <v>61</v>
      </c>
      <c r="F343" t="s">
        <v>64</v>
      </c>
      <c r="G343" t="s">
        <v>35</v>
      </c>
      <c r="H343" t="s">
        <v>36</v>
      </c>
      <c r="I343">
        <v>110</v>
      </c>
    </row>
    <row r="344" spans="1:9" ht="14.5" x14ac:dyDescent="0.35">
      <c r="A344">
        <v>4</v>
      </c>
      <c r="B344" t="s">
        <v>51</v>
      </c>
      <c r="C344" t="s">
        <v>72</v>
      </c>
      <c r="D344" t="s">
        <v>73</v>
      </c>
      <c r="E344" t="s">
        <v>74</v>
      </c>
      <c r="F344" t="s">
        <v>77</v>
      </c>
      <c r="G344" t="s">
        <v>52</v>
      </c>
      <c r="H344" t="s">
        <v>36</v>
      </c>
      <c r="I344">
        <v>110</v>
      </c>
    </row>
    <row r="345" spans="1:9" ht="14.5" x14ac:dyDescent="0.35">
      <c r="A345">
        <v>1</v>
      </c>
      <c r="B345" t="s">
        <v>30</v>
      </c>
      <c r="C345" t="s">
        <v>85</v>
      </c>
      <c r="D345" t="s">
        <v>86</v>
      </c>
      <c r="E345" t="s">
        <v>87</v>
      </c>
      <c r="F345" t="s">
        <v>89</v>
      </c>
      <c r="G345" t="s">
        <v>35</v>
      </c>
      <c r="H345" t="s">
        <v>36</v>
      </c>
      <c r="I345">
        <v>120</v>
      </c>
    </row>
    <row r="346" spans="1:9" ht="14.5" x14ac:dyDescent="0.35">
      <c r="A346">
        <v>1</v>
      </c>
      <c r="B346" t="s">
        <v>30</v>
      </c>
      <c r="C346" t="s">
        <v>85</v>
      </c>
      <c r="D346" t="s">
        <v>86</v>
      </c>
      <c r="E346" t="s">
        <v>87</v>
      </c>
      <c r="F346" t="s">
        <v>91</v>
      </c>
      <c r="G346" t="s">
        <v>35</v>
      </c>
      <c r="H346" t="s">
        <v>36</v>
      </c>
      <c r="I346">
        <v>120</v>
      </c>
    </row>
    <row r="347" spans="1:9" ht="14.5" x14ac:dyDescent="0.35">
      <c r="A347">
        <v>1</v>
      </c>
      <c r="B347" t="s">
        <v>30</v>
      </c>
      <c r="C347" t="s">
        <v>59</v>
      </c>
      <c r="D347" t="s">
        <v>66</v>
      </c>
      <c r="E347" t="s">
        <v>67</v>
      </c>
      <c r="F347" t="s">
        <v>68</v>
      </c>
      <c r="G347" t="s">
        <v>35</v>
      </c>
      <c r="H347" t="s">
        <v>36</v>
      </c>
      <c r="I347">
        <v>120</v>
      </c>
    </row>
    <row r="348" spans="1:9" ht="14.5" x14ac:dyDescent="0.35">
      <c r="A348">
        <v>1</v>
      </c>
      <c r="B348" t="s">
        <v>30</v>
      </c>
      <c r="C348" t="s">
        <v>72</v>
      </c>
      <c r="D348" t="s">
        <v>79</v>
      </c>
      <c r="E348" t="s">
        <v>80</v>
      </c>
      <c r="F348" t="s">
        <v>83</v>
      </c>
      <c r="G348" t="s">
        <v>52</v>
      </c>
      <c r="H348" t="s">
        <v>36</v>
      </c>
      <c r="I348">
        <v>120</v>
      </c>
    </row>
    <row r="349" spans="1:9" ht="14.5" x14ac:dyDescent="0.35">
      <c r="A349">
        <v>1</v>
      </c>
      <c r="B349" t="s">
        <v>41</v>
      </c>
      <c r="C349" t="s">
        <v>85</v>
      </c>
      <c r="D349" t="s">
        <v>92</v>
      </c>
      <c r="E349" t="s">
        <v>93</v>
      </c>
      <c r="F349" t="s">
        <v>94</v>
      </c>
      <c r="G349" t="s">
        <v>35</v>
      </c>
      <c r="H349" t="s">
        <v>36</v>
      </c>
      <c r="I349">
        <v>120</v>
      </c>
    </row>
    <row r="350" spans="1:9" ht="14.5" x14ac:dyDescent="0.35">
      <c r="A350">
        <v>1</v>
      </c>
      <c r="B350" t="s">
        <v>41</v>
      </c>
      <c r="C350" t="s">
        <v>85</v>
      </c>
      <c r="D350" t="s">
        <v>92</v>
      </c>
      <c r="E350" t="s">
        <v>93</v>
      </c>
      <c r="F350" t="s">
        <v>95</v>
      </c>
      <c r="G350" t="s">
        <v>35</v>
      </c>
      <c r="H350" t="s">
        <v>36</v>
      </c>
      <c r="I350">
        <v>120</v>
      </c>
    </row>
    <row r="351" spans="1:9" ht="14.5" x14ac:dyDescent="0.35">
      <c r="A351">
        <v>1</v>
      </c>
      <c r="B351" t="s">
        <v>41</v>
      </c>
      <c r="C351" t="s">
        <v>59</v>
      </c>
      <c r="D351" t="s">
        <v>60</v>
      </c>
      <c r="E351" t="s">
        <v>61</v>
      </c>
      <c r="F351" t="s">
        <v>64</v>
      </c>
      <c r="G351" t="s">
        <v>52</v>
      </c>
      <c r="H351" t="s">
        <v>36</v>
      </c>
      <c r="I351">
        <v>120</v>
      </c>
    </row>
    <row r="352" spans="1:9" ht="14.5" x14ac:dyDescent="0.35">
      <c r="A352">
        <v>1</v>
      </c>
      <c r="B352" t="s">
        <v>42</v>
      </c>
      <c r="C352" t="s">
        <v>31</v>
      </c>
      <c r="D352" t="s">
        <v>53</v>
      </c>
      <c r="E352" t="s">
        <v>54</v>
      </c>
      <c r="F352" t="s">
        <v>57</v>
      </c>
      <c r="G352" t="s">
        <v>35</v>
      </c>
      <c r="H352" t="s">
        <v>36</v>
      </c>
      <c r="I352">
        <v>120</v>
      </c>
    </row>
    <row r="353" spans="1:9" ht="14.5" x14ac:dyDescent="0.35">
      <c r="A353">
        <v>1</v>
      </c>
      <c r="B353" t="s">
        <v>42</v>
      </c>
      <c r="C353" t="s">
        <v>59</v>
      </c>
      <c r="D353" t="s">
        <v>60</v>
      </c>
      <c r="E353" t="s">
        <v>61</v>
      </c>
      <c r="F353" t="s">
        <v>62</v>
      </c>
      <c r="G353" t="s">
        <v>52</v>
      </c>
      <c r="H353" t="s">
        <v>36</v>
      </c>
      <c r="I353">
        <v>120</v>
      </c>
    </row>
    <row r="354" spans="1:9" ht="14.5" x14ac:dyDescent="0.35">
      <c r="A354">
        <v>2</v>
      </c>
      <c r="B354" t="s">
        <v>43</v>
      </c>
      <c r="C354" t="s">
        <v>31</v>
      </c>
      <c r="D354" t="s">
        <v>32</v>
      </c>
      <c r="E354" t="s">
        <v>33</v>
      </c>
      <c r="F354" t="s">
        <v>40</v>
      </c>
      <c r="G354" t="s">
        <v>35</v>
      </c>
      <c r="H354" t="s">
        <v>36</v>
      </c>
      <c r="I354">
        <v>120</v>
      </c>
    </row>
    <row r="355" spans="1:9" ht="14.5" x14ac:dyDescent="0.35">
      <c r="A355">
        <v>2</v>
      </c>
      <c r="B355" t="s">
        <v>43</v>
      </c>
      <c r="C355" t="s">
        <v>31</v>
      </c>
      <c r="D355" t="s">
        <v>53</v>
      </c>
      <c r="E355" t="s">
        <v>54</v>
      </c>
      <c r="F355" t="s">
        <v>57</v>
      </c>
      <c r="G355" t="s">
        <v>52</v>
      </c>
      <c r="H355" t="s">
        <v>36</v>
      </c>
      <c r="I355">
        <v>120</v>
      </c>
    </row>
    <row r="356" spans="1:9" ht="14.5" x14ac:dyDescent="0.35">
      <c r="A356">
        <v>2</v>
      </c>
      <c r="B356" t="s">
        <v>43</v>
      </c>
      <c r="C356" t="s">
        <v>85</v>
      </c>
      <c r="D356" t="s">
        <v>86</v>
      </c>
      <c r="E356" t="s">
        <v>87</v>
      </c>
      <c r="F356" t="s">
        <v>88</v>
      </c>
      <c r="G356" t="s">
        <v>35</v>
      </c>
      <c r="H356" t="s">
        <v>36</v>
      </c>
      <c r="I356">
        <v>120</v>
      </c>
    </row>
    <row r="357" spans="1:9" ht="14.5" x14ac:dyDescent="0.35">
      <c r="A357">
        <v>2</v>
      </c>
      <c r="B357" t="s">
        <v>43</v>
      </c>
      <c r="C357" t="s">
        <v>72</v>
      </c>
      <c r="D357" t="s">
        <v>79</v>
      </c>
      <c r="E357" t="s">
        <v>80</v>
      </c>
      <c r="F357" t="s">
        <v>82</v>
      </c>
      <c r="G357" t="s">
        <v>35</v>
      </c>
      <c r="H357" t="s">
        <v>36</v>
      </c>
      <c r="I357">
        <v>120</v>
      </c>
    </row>
    <row r="358" spans="1:9" ht="14.5" x14ac:dyDescent="0.35">
      <c r="A358">
        <v>2</v>
      </c>
      <c r="B358" t="s">
        <v>44</v>
      </c>
      <c r="C358" t="s">
        <v>31</v>
      </c>
      <c r="D358" t="s">
        <v>32</v>
      </c>
      <c r="E358" t="s">
        <v>33</v>
      </c>
      <c r="F358" t="s">
        <v>34</v>
      </c>
      <c r="G358" t="s">
        <v>52</v>
      </c>
      <c r="H358" t="s">
        <v>36</v>
      </c>
      <c r="I358">
        <v>120</v>
      </c>
    </row>
    <row r="359" spans="1:9" ht="14.5" x14ac:dyDescent="0.35">
      <c r="A359">
        <v>2</v>
      </c>
      <c r="B359" t="s">
        <v>44</v>
      </c>
      <c r="C359" t="s">
        <v>31</v>
      </c>
      <c r="D359" t="s">
        <v>53</v>
      </c>
      <c r="E359" t="s">
        <v>54</v>
      </c>
      <c r="F359" t="s">
        <v>55</v>
      </c>
      <c r="G359" t="s">
        <v>52</v>
      </c>
      <c r="H359" t="s">
        <v>36</v>
      </c>
      <c r="I359">
        <v>120</v>
      </c>
    </row>
    <row r="360" spans="1:9" ht="14.5" x14ac:dyDescent="0.35">
      <c r="A360">
        <v>2</v>
      </c>
      <c r="B360" t="s">
        <v>44</v>
      </c>
      <c r="C360" t="s">
        <v>31</v>
      </c>
      <c r="D360" t="s">
        <v>53</v>
      </c>
      <c r="E360" t="s">
        <v>54</v>
      </c>
      <c r="F360" t="s">
        <v>56</v>
      </c>
      <c r="G360" t="s">
        <v>52</v>
      </c>
      <c r="H360" t="s">
        <v>36</v>
      </c>
      <c r="I360">
        <v>120</v>
      </c>
    </row>
    <row r="361" spans="1:9" ht="14.5" x14ac:dyDescent="0.35">
      <c r="A361">
        <v>2</v>
      </c>
      <c r="B361" t="s">
        <v>44</v>
      </c>
      <c r="C361" t="s">
        <v>31</v>
      </c>
      <c r="D361" t="s">
        <v>53</v>
      </c>
      <c r="E361" t="s">
        <v>54</v>
      </c>
      <c r="F361" t="s">
        <v>58</v>
      </c>
      <c r="G361" t="s">
        <v>52</v>
      </c>
      <c r="H361" t="s">
        <v>36</v>
      </c>
      <c r="I361">
        <v>120</v>
      </c>
    </row>
    <row r="362" spans="1:9" ht="14.5" x14ac:dyDescent="0.35">
      <c r="A362">
        <v>2</v>
      </c>
      <c r="B362" t="s">
        <v>44</v>
      </c>
      <c r="C362" t="s">
        <v>85</v>
      </c>
      <c r="D362" t="s">
        <v>86</v>
      </c>
      <c r="E362" t="s">
        <v>87</v>
      </c>
      <c r="F362" t="s">
        <v>90</v>
      </c>
      <c r="G362" t="s">
        <v>35</v>
      </c>
      <c r="H362" t="s">
        <v>36</v>
      </c>
      <c r="I362">
        <v>120</v>
      </c>
    </row>
    <row r="363" spans="1:9" ht="14.5" x14ac:dyDescent="0.35">
      <c r="A363">
        <v>2</v>
      </c>
      <c r="B363" t="s">
        <v>44</v>
      </c>
      <c r="C363" t="s">
        <v>85</v>
      </c>
      <c r="D363" t="s">
        <v>92</v>
      </c>
      <c r="E363" t="s">
        <v>93</v>
      </c>
      <c r="F363" t="s">
        <v>95</v>
      </c>
      <c r="G363" t="s">
        <v>52</v>
      </c>
      <c r="H363" t="s">
        <v>36</v>
      </c>
      <c r="I363">
        <v>120</v>
      </c>
    </row>
    <row r="364" spans="1:9" ht="14.5" x14ac:dyDescent="0.35">
      <c r="A364">
        <v>2</v>
      </c>
      <c r="B364" t="s">
        <v>44</v>
      </c>
      <c r="C364" t="s">
        <v>85</v>
      </c>
      <c r="D364" t="s">
        <v>92</v>
      </c>
      <c r="E364" t="s">
        <v>93</v>
      </c>
      <c r="F364" t="s">
        <v>96</v>
      </c>
      <c r="G364" t="s">
        <v>52</v>
      </c>
      <c r="H364" t="s">
        <v>36</v>
      </c>
      <c r="I364">
        <v>120</v>
      </c>
    </row>
    <row r="365" spans="1:9" ht="14.5" x14ac:dyDescent="0.35">
      <c r="A365">
        <v>2</v>
      </c>
      <c r="B365" t="s">
        <v>44</v>
      </c>
      <c r="C365" t="s">
        <v>59</v>
      </c>
      <c r="D365" t="s">
        <v>60</v>
      </c>
      <c r="E365" t="s">
        <v>61</v>
      </c>
      <c r="F365" t="s">
        <v>63</v>
      </c>
      <c r="G365" t="s">
        <v>52</v>
      </c>
      <c r="H365" t="s">
        <v>36</v>
      </c>
      <c r="I365">
        <v>120</v>
      </c>
    </row>
    <row r="366" spans="1:9" ht="14.5" x14ac:dyDescent="0.35">
      <c r="A366">
        <v>2</v>
      </c>
      <c r="B366" t="s">
        <v>44</v>
      </c>
      <c r="C366" t="s">
        <v>59</v>
      </c>
      <c r="D366" t="s">
        <v>60</v>
      </c>
      <c r="E366" t="s">
        <v>61</v>
      </c>
      <c r="F366" t="s">
        <v>64</v>
      </c>
      <c r="G366" t="s">
        <v>35</v>
      </c>
      <c r="H366" t="s">
        <v>36</v>
      </c>
      <c r="I366">
        <v>120</v>
      </c>
    </row>
    <row r="367" spans="1:9" ht="14.5" x14ac:dyDescent="0.35">
      <c r="A367">
        <v>2</v>
      </c>
      <c r="B367" t="s">
        <v>44</v>
      </c>
      <c r="C367" t="s">
        <v>59</v>
      </c>
      <c r="D367" t="s">
        <v>60</v>
      </c>
      <c r="E367" t="s">
        <v>61</v>
      </c>
      <c r="F367" t="s">
        <v>62</v>
      </c>
      <c r="G367" t="s">
        <v>35</v>
      </c>
      <c r="H367" t="s">
        <v>36</v>
      </c>
      <c r="I367">
        <v>120</v>
      </c>
    </row>
    <row r="368" spans="1:9" ht="14.5" x14ac:dyDescent="0.35">
      <c r="A368">
        <v>2</v>
      </c>
      <c r="B368" t="s">
        <v>44</v>
      </c>
      <c r="C368" t="s">
        <v>72</v>
      </c>
      <c r="D368" t="s">
        <v>73</v>
      </c>
      <c r="E368" t="s">
        <v>74</v>
      </c>
      <c r="F368" t="s">
        <v>76</v>
      </c>
      <c r="G368" t="s">
        <v>35</v>
      </c>
      <c r="H368" t="s">
        <v>36</v>
      </c>
      <c r="I368">
        <v>120</v>
      </c>
    </row>
    <row r="369" spans="1:9" ht="14.5" x14ac:dyDescent="0.35">
      <c r="A369">
        <v>2</v>
      </c>
      <c r="B369" t="s">
        <v>44</v>
      </c>
      <c r="C369" t="s">
        <v>72</v>
      </c>
      <c r="D369" t="s">
        <v>79</v>
      </c>
      <c r="E369" t="s">
        <v>80</v>
      </c>
      <c r="F369" t="s">
        <v>82</v>
      </c>
      <c r="G369" t="s">
        <v>52</v>
      </c>
      <c r="H369" t="s">
        <v>36</v>
      </c>
      <c r="I369">
        <v>120</v>
      </c>
    </row>
    <row r="370" spans="1:9" ht="14.5" x14ac:dyDescent="0.35">
      <c r="A370">
        <v>2</v>
      </c>
      <c r="B370" t="s">
        <v>45</v>
      </c>
      <c r="C370" t="s">
        <v>31</v>
      </c>
      <c r="D370" t="s">
        <v>53</v>
      </c>
      <c r="E370" t="s">
        <v>54</v>
      </c>
      <c r="F370" t="s">
        <v>56</v>
      </c>
      <c r="G370" t="s">
        <v>52</v>
      </c>
      <c r="H370" t="s">
        <v>36</v>
      </c>
      <c r="I370">
        <v>120</v>
      </c>
    </row>
    <row r="371" spans="1:9" ht="14.5" x14ac:dyDescent="0.35">
      <c r="A371">
        <v>2</v>
      </c>
      <c r="B371" t="s">
        <v>45</v>
      </c>
      <c r="C371" t="s">
        <v>31</v>
      </c>
      <c r="D371" t="s">
        <v>53</v>
      </c>
      <c r="E371" t="s">
        <v>54</v>
      </c>
      <c r="F371" t="s">
        <v>58</v>
      </c>
      <c r="G371" t="s">
        <v>52</v>
      </c>
      <c r="H371" t="s">
        <v>36</v>
      </c>
      <c r="I371">
        <v>120</v>
      </c>
    </row>
    <row r="372" spans="1:9" ht="14.5" x14ac:dyDescent="0.35">
      <c r="A372">
        <v>2</v>
      </c>
      <c r="B372" t="s">
        <v>45</v>
      </c>
      <c r="C372" t="s">
        <v>85</v>
      </c>
      <c r="D372" t="s">
        <v>92</v>
      </c>
      <c r="E372" t="s">
        <v>93</v>
      </c>
      <c r="F372" t="s">
        <v>94</v>
      </c>
      <c r="G372" t="s">
        <v>52</v>
      </c>
      <c r="H372" t="s">
        <v>36</v>
      </c>
      <c r="I372">
        <v>120</v>
      </c>
    </row>
    <row r="373" spans="1:9" ht="14.5" x14ac:dyDescent="0.35">
      <c r="A373">
        <v>2</v>
      </c>
      <c r="B373" t="s">
        <v>45</v>
      </c>
      <c r="C373" t="s">
        <v>59</v>
      </c>
      <c r="D373" t="s">
        <v>60</v>
      </c>
      <c r="E373" t="s">
        <v>61</v>
      </c>
      <c r="F373" t="s">
        <v>65</v>
      </c>
      <c r="G373" t="s">
        <v>52</v>
      </c>
      <c r="H373" t="s">
        <v>36</v>
      </c>
      <c r="I373">
        <v>120</v>
      </c>
    </row>
    <row r="374" spans="1:9" ht="14.5" x14ac:dyDescent="0.35">
      <c r="A374">
        <v>2</v>
      </c>
      <c r="B374" t="s">
        <v>45</v>
      </c>
      <c r="C374" t="s">
        <v>59</v>
      </c>
      <c r="D374" t="s">
        <v>66</v>
      </c>
      <c r="E374" t="s">
        <v>67</v>
      </c>
      <c r="F374" t="s">
        <v>70</v>
      </c>
      <c r="G374" t="s">
        <v>52</v>
      </c>
      <c r="H374" t="s">
        <v>36</v>
      </c>
      <c r="I374">
        <v>120</v>
      </c>
    </row>
    <row r="375" spans="1:9" ht="14.5" x14ac:dyDescent="0.35">
      <c r="A375">
        <v>3</v>
      </c>
      <c r="B375" t="s">
        <v>46</v>
      </c>
      <c r="C375" t="s">
        <v>31</v>
      </c>
      <c r="D375" t="s">
        <v>53</v>
      </c>
      <c r="E375" t="s">
        <v>54</v>
      </c>
      <c r="F375" t="s">
        <v>56</v>
      </c>
      <c r="G375" t="s">
        <v>35</v>
      </c>
      <c r="H375" t="s">
        <v>36</v>
      </c>
      <c r="I375">
        <v>120</v>
      </c>
    </row>
    <row r="376" spans="1:9" ht="14.5" x14ac:dyDescent="0.35">
      <c r="A376">
        <v>3</v>
      </c>
      <c r="B376" t="s">
        <v>46</v>
      </c>
      <c r="C376" t="s">
        <v>59</v>
      </c>
      <c r="D376" t="s">
        <v>60</v>
      </c>
      <c r="E376" t="s">
        <v>61</v>
      </c>
      <c r="F376" t="s">
        <v>65</v>
      </c>
      <c r="G376" t="s">
        <v>52</v>
      </c>
      <c r="H376" t="s">
        <v>36</v>
      </c>
      <c r="I376">
        <v>120</v>
      </c>
    </row>
    <row r="377" spans="1:9" ht="14.5" x14ac:dyDescent="0.35">
      <c r="A377">
        <v>3</v>
      </c>
      <c r="B377" t="s">
        <v>46</v>
      </c>
      <c r="C377" t="s">
        <v>72</v>
      </c>
      <c r="D377" t="s">
        <v>79</v>
      </c>
      <c r="E377" t="s">
        <v>80</v>
      </c>
      <c r="F377" t="s">
        <v>81</v>
      </c>
      <c r="G377" t="s">
        <v>52</v>
      </c>
      <c r="H377" t="s">
        <v>36</v>
      </c>
      <c r="I377">
        <v>120</v>
      </c>
    </row>
    <row r="378" spans="1:9" ht="14.5" x14ac:dyDescent="0.35">
      <c r="A378">
        <v>3</v>
      </c>
      <c r="B378" t="s">
        <v>47</v>
      </c>
      <c r="C378" t="s">
        <v>31</v>
      </c>
      <c r="D378" t="s">
        <v>32</v>
      </c>
      <c r="E378" t="s">
        <v>33</v>
      </c>
      <c r="F378" t="s">
        <v>34</v>
      </c>
      <c r="G378" t="s">
        <v>35</v>
      </c>
      <c r="H378" t="s">
        <v>36</v>
      </c>
      <c r="I378">
        <v>120</v>
      </c>
    </row>
    <row r="379" spans="1:9" ht="14.5" x14ac:dyDescent="0.35">
      <c r="A379">
        <v>3</v>
      </c>
      <c r="B379" t="s">
        <v>47</v>
      </c>
      <c r="C379" t="s">
        <v>85</v>
      </c>
      <c r="D379" t="s">
        <v>92</v>
      </c>
      <c r="E379" t="s">
        <v>93</v>
      </c>
      <c r="F379" t="s">
        <v>96</v>
      </c>
      <c r="G379" t="s">
        <v>52</v>
      </c>
      <c r="H379" t="s">
        <v>36</v>
      </c>
      <c r="I379">
        <v>120</v>
      </c>
    </row>
    <row r="380" spans="1:9" ht="14.5" x14ac:dyDescent="0.35">
      <c r="A380">
        <v>3</v>
      </c>
      <c r="B380" t="s">
        <v>47</v>
      </c>
      <c r="C380" t="s">
        <v>59</v>
      </c>
      <c r="D380" t="s">
        <v>60</v>
      </c>
      <c r="E380" t="s">
        <v>61</v>
      </c>
      <c r="F380" t="s">
        <v>63</v>
      </c>
      <c r="G380" t="s">
        <v>35</v>
      </c>
      <c r="H380" t="s">
        <v>36</v>
      </c>
      <c r="I380">
        <v>120</v>
      </c>
    </row>
    <row r="381" spans="1:9" ht="14.5" x14ac:dyDescent="0.35">
      <c r="A381">
        <v>3</v>
      </c>
      <c r="B381" t="s">
        <v>47</v>
      </c>
      <c r="C381" t="s">
        <v>59</v>
      </c>
      <c r="D381" t="s">
        <v>66</v>
      </c>
      <c r="E381" t="s">
        <v>67</v>
      </c>
      <c r="F381" t="s">
        <v>71</v>
      </c>
      <c r="G381" t="s">
        <v>52</v>
      </c>
      <c r="H381" t="s">
        <v>36</v>
      </c>
      <c r="I381">
        <v>120</v>
      </c>
    </row>
    <row r="382" spans="1:9" ht="14.5" x14ac:dyDescent="0.35">
      <c r="A382">
        <v>3</v>
      </c>
      <c r="B382" t="s">
        <v>47</v>
      </c>
      <c r="C382" t="s">
        <v>72</v>
      </c>
      <c r="D382" t="s">
        <v>73</v>
      </c>
      <c r="E382" t="s">
        <v>74</v>
      </c>
      <c r="F382" t="s">
        <v>78</v>
      </c>
      <c r="G382" t="s">
        <v>52</v>
      </c>
      <c r="H382" t="s">
        <v>36</v>
      </c>
      <c r="I382">
        <v>120</v>
      </c>
    </row>
    <row r="383" spans="1:9" ht="14.5" x14ac:dyDescent="0.35">
      <c r="A383">
        <v>3</v>
      </c>
      <c r="B383" t="s">
        <v>48</v>
      </c>
      <c r="C383" t="s">
        <v>31</v>
      </c>
      <c r="D383" t="s">
        <v>32</v>
      </c>
      <c r="E383" t="s">
        <v>33</v>
      </c>
      <c r="F383" t="s">
        <v>34</v>
      </c>
      <c r="G383" t="s">
        <v>35</v>
      </c>
      <c r="H383" t="s">
        <v>36</v>
      </c>
      <c r="I383">
        <v>120</v>
      </c>
    </row>
    <row r="384" spans="1:9" ht="14.5" x14ac:dyDescent="0.35">
      <c r="A384">
        <v>3</v>
      </c>
      <c r="B384" t="s">
        <v>48</v>
      </c>
      <c r="C384" t="s">
        <v>85</v>
      </c>
      <c r="D384" t="s">
        <v>92</v>
      </c>
      <c r="E384" t="s">
        <v>93</v>
      </c>
      <c r="F384" t="s">
        <v>94</v>
      </c>
      <c r="G384" t="s">
        <v>52</v>
      </c>
      <c r="H384" t="s">
        <v>36</v>
      </c>
      <c r="I384">
        <v>120</v>
      </c>
    </row>
    <row r="385" spans="1:9" ht="14.5" x14ac:dyDescent="0.35">
      <c r="A385">
        <v>3</v>
      </c>
      <c r="B385" t="s">
        <v>48</v>
      </c>
      <c r="C385" t="s">
        <v>59</v>
      </c>
      <c r="D385" t="s">
        <v>60</v>
      </c>
      <c r="E385" t="s">
        <v>61</v>
      </c>
      <c r="F385" t="s">
        <v>64</v>
      </c>
      <c r="G385" t="s">
        <v>35</v>
      </c>
      <c r="H385" t="s">
        <v>36</v>
      </c>
      <c r="I385">
        <v>120</v>
      </c>
    </row>
    <row r="386" spans="1:9" ht="14.5" x14ac:dyDescent="0.35">
      <c r="A386">
        <v>3</v>
      </c>
      <c r="B386" t="s">
        <v>48</v>
      </c>
      <c r="C386" t="s">
        <v>72</v>
      </c>
      <c r="D386" t="s">
        <v>79</v>
      </c>
      <c r="E386" t="s">
        <v>80</v>
      </c>
      <c r="F386" t="s">
        <v>82</v>
      </c>
      <c r="G386" t="s">
        <v>35</v>
      </c>
      <c r="H386" t="s">
        <v>36</v>
      </c>
      <c r="I386">
        <v>120</v>
      </c>
    </row>
    <row r="387" spans="1:9" ht="14.5" x14ac:dyDescent="0.35">
      <c r="A387">
        <v>3</v>
      </c>
      <c r="B387" t="s">
        <v>48</v>
      </c>
      <c r="C387" t="s">
        <v>72</v>
      </c>
      <c r="D387" t="s">
        <v>79</v>
      </c>
      <c r="E387" t="s">
        <v>80</v>
      </c>
      <c r="F387" t="s">
        <v>84</v>
      </c>
      <c r="G387" t="s">
        <v>35</v>
      </c>
      <c r="H387" t="s">
        <v>36</v>
      </c>
      <c r="I387">
        <v>120</v>
      </c>
    </row>
    <row r="388" spans="1:9" ht="14.5" x14ac:dyDescent="0.35">
      <c r="A388">
        <v>4</v>
      </c>
      <c r="B388" t="s">
        <v>49</v>
      </c>
      <c r="C388" t="s">
        <v>31</v>
      </c>
      <c r="D388" t="s">
        <v>53</v>
      </c>
      <c r="E388" t="s">
        <v>54</v>
      </c>
      <c r="F388" t="s">
        <v>56</v>
      </c>
      <c r="G388" t="s">
        <v>35</v>
      </c>
      <c r="H388" t="s">
        <v>36</v>
      </c>
      <c r="I388">
        <v>120</v>
      </c>
    </row>
    <row r="389" spans="1:9" ht="14.5" x14ac:dyDescent="0.35">
      <c r="A389">
        <v>4</v>
      </c>
      <c r="B389" t="s">
        <v>49</v>
      </c>
      <c r="C389" t="s">
        <v>31</v>
      </c>
      <c r="D389" t="s">
        <v>53</v>
      </c>
      <c r="E389" t="s">
        <v>54</v>
      </c>
      <c r="F389" t="s">
        <v>58</v>
      </c>
      <c r="G389" t="s">
        <v>35</v>
      </c>
      <c r="H389" t="s">
        <v>36</v>
      </c>
      <c r="I389">
        <v>120</v>
      </c>
    </row>
    <row r="390" spans="1:9" ht="14.5" x14ac:dyDescent="0.35">
      <c r="A390">
        <v>4</v>
      </c>
      <c r="B390" t="s">
        <v>49</v>
      </c>
      <c r="C390" t="s">
        <v>85</v>
      </c>
      <c r="D390" t="s">
        <v>92</v>
      </c>
      <c r="E390" t="s">
        <v>93</v>
      </c>
      <c r="F390" t="s">
        <v>96</v>
      </c>
      <c r="G390" t="s">
        <v>52</v>
      </c>
      <c r="H390" t="s">
        <v>36</v>
      </c>
      <c r="I390">
        <v>120</v>
      </c>
    </row>
    <row r="391" spans="1:9" ht="14.5" x14ac:dyDescent="0.35">
      <c r="A391">
        <v>4</v>
      </c>
      <c r="B391" t="s">
        <v>49</v>
      </c>
      <c r="C391" t="s">
        <v>59</v>
      </c>
      <c r="D391" t="s">
        <v>66</v>
      </c>
      <c r="E391" t="s">
        <v>67</v>
      </c>
      <c r="F391" t="s">
        <v>71</v>
      </c>
      <c r="G391" t="s">
        <v>52</v>
      </c>
      <c r="H391" t="s">
        <v>36</v>
      </c>
      <c r="I391">
        <v>120</v>
      </c>
    </row>
    <row r="392" spans="1:9" ht="14.5" x14ac:dyDescent="0.35">
      <c r="A392">
        <v>4</v>
      </c>
      <c r="B392" t="s">
        <v>50</v>
      </c>
      <c r="C392" t="s">
        <v>59</v>
      </c>
      <c r="D392" t="s">
        <v>60</v>
      </c>
      <c r="E392" t="s">
        <v>61</v>
      </c>
      <c r="F392" t="s">
        <v>65</v>
      </c>
      <c r="G392" t="s">
        <v>52</v>
      </c>
      <c r="H392" t="s">
        <v>36</v>
      </c>
      <c r="I392">
        <v>120</v>
      </c>
    </row>
    <row r="393" spans="1:9" ht="14.5" x14ac:dyDescent="0.35">
      <c r="A393">
        <v>4</v>
      </c>
      <c r="B393" t="s">
        <v>50</v>
      </c>
      <c r="C393" t="s">
        <v>59</v>
      </c>
      <c r="D393" t="s">
        <v>66</v>
      </c>
      <c r="E393" t="s">
        <v>67</v>
      </c>
      <c r="F393" t="s">
        <v>68</v>
      </c>
      <c r="G393" t="s">
        <v>52</v>
      </c>
      <c r="H393" t="s">
        <v>36</v>
      </c>
      <c r="I393">
        <v>120</v>
      </c>
    </row>
    <row r="394" spans="1:9" ht="14.5" x14ac:dyDescent="0.35">
      <c r="A394">
        <v>4</v>
      </c>
      <c r="B394" t="s">
        <v>50</v>
      </c>
      <c r="C394" t="s">
        <v>59</v>
      </c>
      <c r="D394" t="s">
        <v>66</v>
      </c>
      <c r="E394" t="s">
        <v>67</v>
      </c>
      <c r="F394" t="s">
        <v>69</v>
      </c>
      <c r="G394" t="s">
        <v>52</v>
      </c>
      <c r="H394" t="s">
        <v>36</v>
      </c>
      <c r="I394">
        <v>120</v>
      </c>
    </row>
    <row r="395" spans="1:9" ht="14.5" x14ac:dyDescent="0.35">
      <c r="A395">
        <v>4</v>
      </c>
      <c r="B395" t="s">
        <v>50</v>
      </c>
      <c r="C395" t="s">
        <v>72</v>
      </c>
      <c r="D395" t="s">
        <v>73</v>
      </c>
      <c r="E395" t="s">
        <v>74</v>
      </c>
      <c r="F395" t="s">
        <v>76</v>
      </c>
      <c r="G395" t="s">
        <v>52</v>
      </c>
      <c r="H395" t="s">
        <v>36</v>
      </c>
      <c r="I395">
        <v>120</v>
      </c>
    </row>
    <row r="396" spans="1:9" ht="14.5" x14ac:dyDescent="0.35">
      <c r="A396">
        <v>4</v>
      </c>
      <c r="B396" t="s">
        <v>51</v>
      </c>
      <c r="C396" t="s">
        <v>31</v>
      </c>
      <c r="D396" t="s">
        <v>53</v>
      </c>
      <c r="E396" t="s">
        <v>54</v>
      </c>
      <c r="F396" t="s">
        <v>55</v>
      </c>
      <c r="G396" t="s">
        <v>35</v>
      </c>
      <c r="H396" t="s">
        <v>36</v>
      </c>
      <c r="I396">
        <v>120</v>
      </c>
    </row>
    <row r="397" spans="1:9" ht="14.5" x14ac:dyDescent="0.35">
      <c r="A397">
        <v>4</v>
      </c>
      <c r="B397" t="s">
        <v>51</v>
      </c>
      <c r="C397" t="s">
        <v>85</v>
      </c>
      <c r="D397" t="s">
        <v>92</v>
      </c>
      <c r="E397" t="s">
        <v>93</v>
      </c>
      <c r="F397" t="s">
        <v>97</v>
      </c>
      <c r="G397" t="s">
        <v>35</v>
      </c>
      <c r="H397" t="s">
        <v>36</v>
      </c>
      <c r="I397">
        <v>120</v>
      </c>
    </row>
    <row r="398" spans="1:9" ht="14.5" x14ac:dyDescent="0.35">
      <c r="A398">
        <v>4</v>
      </c>
      <c r="B398" t="s">
        <v>51</v>
      </c>
      <c r="C398" t="s">
        <v>59</v>
      </c>
      <c r="D398" t="s">
        <v>60</v>
      </c>
      <c r="E398" t="s">
        <v>61</v>
      </c>
      <c r="F398" t="s">
        <v>62</v>
      </c>
      <c r="G398" t="s">
        <v>35</v>
      </c>
      <c r="H398" t="s">
        <v>36</v>
      </c>
      <c r="I398">
        <v>120</v>
      </c>
    </row>
    <row r="399" spans="1:9" ht="14.5" x14ac:dyDescent="0.35">
      <c r="A399">
        <v>4</v>
      </c>
      <c r="B399" t="s">
        <v>51</v>
      </c>
      <c r="C399" t="s">
        <v>59</v>
      </c>
      <c r="D399" t="s">
        <v>66</v>
      </c>
      <c r="E399" t="s">
        <v>67</v>
      </c>
      <c r="F399" t="s">
        <v>70</v>
      </c>
      <c r="G399" t="s">
        <v>52</v>
      </c>
      <c r="H399" t="s">
        <v>36</v>
      </c>
      <c r="I399">
        <v>120</v>
      </c>
    </row>
    <row r="400" spans="1:9" ht="14.5" x14ac:dyDescent="0.35">
      <c r="A400">
        <v>4</v>
      </c>
      <c r="B400" t="s">
        <v>51</v>
      </c>
      <c r="C400" t="s">
        <v>59</v>
      </c>
      <c r="D400" t="s">
        <v>66</v>
      </c>
      <c r="E400" t="s">
        <v>67</v>
      </c>
      <c r="F400" t="s">
        <v>71</v>
      </c>
      <c r="G400" t="s">
        <v>35</v>
      </c>
      <c r="H400" t="s">
        <v>36</v>
      </c>
      <c r="I400">
        <v>120</v>
      </c>
    </row>
    <row r="401" spans="1:9" ht="14.5" x14ac:dyDescent="0.35">
      <c r="A401">
        <v>1</v>
      </c>
      <c r="B401" t="s">
        <v>30</v>
      </c>
      <c r="C401" t="s">
        <v>59</v>
      </c>
      <c r="D401" t="s">
        <v>66</v>
      </c>
      <c r="E401" t="s">
        <v>67</v>
      </c>
      <c r="F401" t="s">
        <v>70</v>
      </c>
      <c r="G401" t="s">
        <v>52</v>
      </c>
      <c r="H401" t="s">
        <v>36</v>
      </c>
      <c r="I401">
        <v>130</v>
      </c>
    </row>
    <row r="402" spans="1:9" ht="14.5" x14ac:dyDescent="0.35">
      <c r="A402">
        <v>1</v>
      </c>
      <c r="B402" t="s">
        <v>41</v>
      </c>
      <c r="C402" t="s">
        <v>85</v>
      </c>
      <c r="D402" t="s">
        <v>86</v>
      </c>
      <c r="E402" t="s">
        <v>87</v>
      </c>
      <c r="F402" t="s">
        <v>88</v>
      </c>
      <c r="G402" t="s">
        <v>52</v>
      </c>
      <c r="H402" t="s">
        <v>36</v>
      </c>
      <c r="I402">
        <v>130</v>
      </c>
    </row>
    <row r="403" spans="1:9" ht="14.5" x14ac:dyDescent="0.35">
      <c r="A403">
        <v>1</v>
      </c>
      <c r="B403" t="s">
        <v>41</v>
      </c>
      <c r="C403" t="s">
        <v>59</v>
      </c>
      <c r="D403" t="s">
        <v>60</v>
      </c>
      <c r="E403" t="s">
        <v>61</v>
      </c>
      <c r="F403" t="s">
        <v>63</v>
      </c>
      <c r="G403" t="s">
        <v>52</v>
      </c>
      <c r="H403" t="s">
        <v>36</v>
      </c>
      <c r="I403">
        <v>130</v>
      </c>
    </row>
    <row r="404" spans="1:9" ht="14.5" x14ac:dyDescent="0.35">
      <c r="A404">
        <v>1</v>
      </c>
      <c r="B404" t="s">
        <v>41</v>
      </c>
      <c r="C404" t="s">
        <v>59</v>
      </c>
      <c r="D404" t="s">
        <v>60</v>
      </c>
      <c r="E404" t="s">
        <v>61</v>
      </c>
      <c r="F404" t="s">
        <v>65</v>
      </c>
      <c r="G404" t="s">
        <v>52</v>
      </c>
      <c r="H404" t="s">
        <v>36</v>
      </c>
      <c r="I404">
        <v>130</v>
      </c>
    </row>
    <row r="405" spans="1:9" ht="14.5" x14ac:dyDescent="0.35">
      <c r="A405">
        <v>1</v>
      </c>
      <c r="B405" t="s">
        <v>41</v>
      </c>
      <c r="C405" t="s">
        <v>59</v>
      </c>
      <c r="D405" t="s">
        <v>66</v>
      </c>
      <c r="E405" t="s">
        <v>67</v>
      </c>
      <c r="F405" t="s">
        <v>70</v>
      </c>
      <c r="G405" t="s">
        <v>35</v>
      </c>
      <c r="H405" t="s">
        <v>36</v>
      </c>
      <c r="I405">
        <v>130</v>
      </c>
    </row>
    <row r="406" spans="1:9" ht="14.5" x14ac:dyDescent="0.35">
      <c r="A406">
        <v>1</v>
      </c>
      <c r="B406" t="s">
        <v>41</v>
      </c>
      <c r="C406" t="s">
        <v>72</v>
      </c>
      <c r="D406" t="s">
        <v>73</v>
      </c>
      <c r="E406" t="s">
        <v>74</v>
      </c>
      <c r="F406" t="s">
        <v>75</v>
      </c>
      <c r="G406" t="s">
        <v>35</v>
      </c>
      <c r="H406" t="s">
        <v>36</v>
      </c>
      <c r="I406">
        <v>130</v>
      </c>
    </row>
    <row r="407" spans="1:9" ht="14.5" x14ac:dyDescent="0.35">
      <c r="A407">
        <v>1</v>
      </c>
      <c r="B407" t="s">
        <v>41</v>
      </c>
      <c r="C407" t="s">
        <v>72</v>
      </c>
      <c r="D407" t="s">
        <v>79</v>
      </c>
      <c r="E407" t="s">
        <v>80</v>
      </c>
      <c r="F407" t="s">
        <v>81</v>
      </c>
      <c r="G407" t="s">
        <v>52</v>
      </c>
      <c r="H407" t="s">
        <v>36</v>
      </c>
      <c r="I407">
        <v>130</v>
      </c>
    </row>
    <row r="408" spans="1:9" ht="14.5" x14ac:dyDescent="0.35">
      <c r="A408">
        <v>1</v>
      </c>
      <c r="B408" t="s">
        <v>42</v>
      </c>
      <c r="C408" t="s">
        <v>31</v>
      </c>
      <c r="D408" t="s">
        <v>53</v>
      </c>
      <c r="E408" t="s">
        <v>54</v>
      </c>
      <c r="F408" t="s">
        <v>55</v>
      </c>
      <c r="G408" t="s">
        <v>35</v>
      </c>
      <c r="H408" t="s">
        <v>36</v>
      </c>
      <c r="I408">
        <v>130</v>
      </c>
    </row>
    <row r="409" spans="1:9" ht="14.5" x14ac:dyDescent="0.35">
      <c r="A409">
        <v>1</v>
      </c>
      <c r="B409" t="s">
        <v>42</v>
      </c>
      <c r="C409" t="s">
        <v>85</v>
      </c>
      <c r="D409" t="s">
        <v>92</v>
      </c>
      <c r="E409" t="s">
        <v>93</v>
      </c>
      <c r="F409" t="s">
        <v>96</v>
      </c>
      <c r="G409" t="s">
        <v>52</v>
      </c>
      <c r="H409" t="s">
        <v>36</v>
      </c>
      <c r="I409">
        <v>130</v>
      </c>
    </row>
    <row r="410" spans="1:9" ht="14.5" x14ac:dyDescent="0.35">
      <c r="A410">
        <v>1</v>
      </c>
      <c r="B410" t="s">
        <v>42</v>
      </c>
      <c r="C410" t="s">
        <v>59</v>
      </c>
      <c r="D410" t="s">
        <v>66</v>
      </c>
      <c r="E410" t="s">
        <v>67</v>
      </c>
      <c r="F410" t="s">
        <v>71</v>
      </c>
      <c r="G410" t="s">
        <v>35</v>
      </c>
      <c r="H410" t="s">
        <v>36</v>
      </c>
      <c r="I410">
        <v>130</v>
      </c>
    </row>
    <row r="411" spans="1:9" ht="14.5" x14ac:dyDescent="0.35">
      <c r="A411">
        <v>2</v>
      </c>
      <c r="B411" t="s">
        <v>43</v>
      </c>
      <c r="C411" t="s">
        <v>31</v>
      </c>
      <c r="D411" t="s">
        <v>32</v>
      </c>
      <c r="E411" t="s">
        <v>33</v>
      </c>
      <c r="F411" t="s">
        <v>37</v>
      </c>
      <c r="G411" t="s">
        <v>52</v>
      </c>
      <c r="H411" t="s">
        <v>36</v>
      </c>
      <c r="I411">
        <v>130</v>
      </c>
    </row>
    <row r="412" spans="1:9" ht="14.5" x14ac:dyDescent="0.35">
      <c r="A412">
        <v>2</v>
      </c>
      <c r="B412" t="s">
        <v>43</v>
      </c>
      <c r="C412" t="s">
        <v>85</v>
      </c>
      <c r="D412" t="s">
        <v>86</v>
      </c>
      <c r="E412" t="s">
        <v>87</v>
      </c>
      <c r="F412" t="s">
        <v>89</v>
      </c>
      <c r="G412" t="s">
        <v>35</v>
      </c>
      <c r="H412" t="s">
        <v>36</v>
      </c>
      <c r="I412">
        <v>130</v>
      </c>
    </row>
    <row r="413" spans="1:9" ht="14.5" x14ac:dyDescent="0.35">
      <c r="A413">
        <v>2</v>
      </c>
      <c r="B413" t="s">
        <v>43</v>
      </c>
      <c r="C413" t="s">
        <v>59</v>
      </c>
      <c r="D413" t="s">
        <v>60</v>
      </c>
      <c r="E413" t="s">
        <v>61</v>
      </c>
      <c r="F413" t="s">
        <v>65</v>
      </c>
      <c r="G413" t="s">
        <v>35</v>
      </c>
      <c r="H413" t="s">
        <v>36</v>
      </c>
      <c r="I413">
        <v>130</v>
      </c>
    </row>
    <row r="414" spans="1:9" ht="14.5" x14ac:dyDescent="0.35">
      <c r="A414">
        <v>2</v>
      </c>
      <c r="B414" t="s">
        <v>44</v>
      </c>
      <c r="C414" t="s">
        <v>31</v>
      </c>
      <c r="D414" t="s">
        <v>32</v>
      </c>
      <c r="E414" t="s">
        <v>33</v>
      </c>
      <c r="F414" t="s">
        <v>40</v>
      </c>
      <c r="G414" t="s">
        <v>35</v>
      </c>
      <c r="H414" t="s">
        <v>36</v>
      </c>
      <c r="I414">
        <v>130</v>
      </c>
    </row>
    <row r="415" spans="1:9" ht="14.5" x14ac:dyDescent="0.35">
      <c r="A415">
        <v>2</v>
      </c>
      <c r="B415" t="s">
        <v>44</v>
      </c>
      <c r="C415" t="s">
        <v>31</v>
      </c>
      <c r="D415" t="s">
        <v>53</v>
      </c>
      <c r="E415" t="s">
        <v>54</v>
      </c>
      <c r="F415" t="s">
        <v>57</v>
      </c>
      <c r="G415" t="s">
        <v>35</v>
      </c>
      <c r="H415" t="s">
        <v>36</v>
      </c>
      <c r="I415">
        <v>130</v>
      </c>
    </row>
    <row r="416" spans="1:9" ht="14.5" x14ac:dyDescent="0.35">
      <c r="A416">
        <v>2</v>
      </c>
      <c r="B416" t="s">
        <v>45</v>
      </c>
      <c r="C416" t="s">
        <v>31</v>
      </c>
      <c r="D416" t="s">
        <v>32</v>
      </c>
      <c r="E416" t="s">
        <v>33</v>
      </c>
      <c r="F416" t="s">
        <v>34</v>
      </c>
      <c r="G416" t="s">
        <v>52</v>
      </c>
      <c r="H416" t="s">
        <v>36</v>
      </c>
      <c r="I416">
        <v>130</v>
      </c>
    </row>
    <row r="417" spans="1:9" ht="14.5" x14ac:dyDescent="0.35">
      <c r="A417">
        <v>2</v>
      </c>
      <c r="B417" t="s">
        <v>45</v>
      </c>
      <c r="C417" t="s">
        <v>59</v>
      </c>
      <c r="D417" t="s">
        <v>60</v>
      </c>
      <c r="E417" t="s">
        <v>61</v>
      </c>
      <c r="F417" t="s">
        <v>63</v>
      </c>
      <c r="G417" t="s">
        <v>35</v>
      </c>
      <c r="H417" t="s">
        <v>36</v>
      </c>
      <c r="I417">
        <v>130</v>
      </c>
    </row>
    <row r="418" spans="1:9" ht="14.5" x14ac:dyDescent="0.35">
      <c r="A418">
        <v>2</v>
      </c>
      <c r="B418" t="s">
        <v>45</v>
      </c>
      <c r="C418" t="s">
        <v>59</v>
      </c>
      <c r="D418" t="s">
        <v>66</v>
      </c>
      <c r="E418" t="s">
        <v>67</v>
      </c>
      <c r="F418" t="s">
        <v>71</v>
      </c>
      <c r="G418" t="s">
        <v>52</v>
      </c>
      <c r="H418" t="s">
        <v>36</v>
      </c>
      <c r="I418">
        <v>130</v>
      </c>
    </row>
    <row r="419" spans="1:9" ht="14.5" x14ac:dyDescent="0.35">
      <c r="A419">
        <v>3</v>
      </c>
      <c r="B419" t="s">
        <v>46</v>
      </c>
      <c r="C419" t="s">
        <v>31</v>
      </c>
      <c r="D419" t="s">
        <v>32</v>
      </c>
      <c r="E419" t="s">
        <v>33</v>
      </c>
      <c r="F419" t="s">
        <v>40</v>
      </c>
      <c r="G419" t="s">
        <v>52</v>
      </c>
      <c r="H419" t="s">
        <v>36</v>
      </c>
      <c r="I419">
        <v>130</v>
      </c>
    </row>
    <row r="420" spans="1:9" ht="14.5" x14ac:dyDescent="0.35">
      <c r="A420">
        <v>3</v>
      </c>
      <c r="B420" t="s">
        <v>46</v>
      </c>
      <c r="C420" t="s">
        <v>31</v>
      </c>
      <c r="D420" t="s">
        <v>32</v>
      </c>
      <c r="E420" t="s">
        <v>33</v>
      </c>
      <c r="F420" t="s">
        <v>34</v>
      </c>
      <c r="G420" t="s">
        <v>35</v>
      </c>
      <c r="H420" t="s">
        <v>36</v>
      </c>
      <c r="I420">
        <v>130</v>
      </c>
    </row>
    <row r="421" spans="1:9" ht="14.5" x14ac:dyDescent="0.35">
      <c r="A421">
        <v>3</v>
      </c>
      <c r="B421" t="s">
        <v>46</v>
      </c>
      <c r="C421" t="s">
        <v>59</v>
      </c>
      <c r="D421" t="s">
        <v>66</v>
      </c>
      <c r="E421" t="s">
        <v>67</v>
      </c>
      <c r="F421" t="s">
        <v>69</v>
      </c>
      <c r="G421" t="s">
        <v>35</v>
      </c>
      <c r="H421" t="s">
        <v>36</v>
      </c>
      <c r="I421">
        <v>130</v>
      </c>
    </row>
    <row r="422" spans="1:9" ht="14.5" x14ac:dyDescent="0.35">
      <c r="A422">
        <v>3</v>
      </c>
      <c r="B422" t="s">
        <v>46</v>
      </c>
      <c r="C422" t="s">
        <v>59</v>
      </c>
      <c r="D422" t="s">
        <v>66</v>
      </c>
      <c r="E422" t="s">
        <v>67</v>
      </c>
      <c r="F422" t="s">
        <v>70</v>
      </c>
      <c r="G422" t="s">
        <v>52</v>
      </c>
      <c r="H422" t="s">
        <v>36</v>
      </c>
      <c r="I422">
        <v>130</v>
      </c>
    </row>
    <row r="423" spans="1:9" ht="14.5" x14ac:dyDescent="0.35">
      <c r="A423">
        <v>3</v>
      </c>
      <c r="B423" t="s">
        <v>46</v>
      </c>
      <c r="C423" t="s">
        <v>72</v>
      </c>
      <c r="D423" t="s">
        <v>73</v>
      </c>
      <c r="E423" t="s">
        <v>74</v>
      </c>
      <c r="F423" t="s">
        <v>75</v>
      </c>
      <c r="G423" t="s">
        <v>35</v>
      </c>
      <c r="H423" t="s">
        <v>36</v>
      </c>
      <c r="I423">
        <v>130</v>
      </c>
    </row>
    <row r="424" spans="1:9" ht="14.5" x14ac:dyDescent="0.35">
      <c r="A424">
        <v>3</v>
      </c>
      <c r="B424" t="s">
        <v>46</v>
      </c>
      <c r="C424" t="s">
        <v>72</v>
      </c>
      <c r="D424" t="s">
        <v>73</v>
      </c>
      <c r="E424" t="s">
        <v>74</v>
      </c>
      <c r="F424" t="s">
        <v>76</v>
      </c>
      <c r="G424" t="s">
        <v>35</v>
      </c>
      <c r="H424" t="s">
        <v>36</v>
      </c>
      <c r="I424">
        <v>130</v>
      </c>
    </row>
    <row r="425" spans="1:9" ht="14.5" x14ac:dyDescent="0.35">
      <c r="A425">
        <v>3</v>
      </c>
      <c r="B425" t="s">
        <v>47</v>
      </c>
      <c r="C425" t="s">
        <v>31</v>
      </c>
      <c r="D425" t="s">
        <v>53</v>
      </c>
      <c r="E425" t="s">
        <v>54</v>
      </c>
      <c r="F425" t="s">
        <v>56</v>
      </c>
      <c r="G425" t="s">
        <v>52</v>
      </c>
      <c r="H425" t="s">
        <v>36</v>
      </c>
      <c r="I425">
        <v>130</v>
      </c>
    </row>
    <row r="426" spans="1:9" ht="14.5" x14ac:dyDescent="0.35">
      <c r="A426">
        <v>3</v>
      </c>
      <c r="B426" t="s">
        <v>47</v>
      </c>
      <c r="C426" t="s">
        <v>31</v>
      </c>
      <c r="D426" t="s">
        <v>53</v>
      </c>
      <c r="E426" t="s">
        <v>54</v>
      </c>
      <c r="F426" t="s">
        <v>58</v>
      </c>
      <c r="G426" t="s">
        <v>52</v>
      </c>
      <c r="H426" t="s">
        <v>36</v>
      </c>
      <c r="I426">
        <v>130</v>
      </c>
    </row>
    <row r="427" spans="1:9" ht="14.5" x14ac:dyDescent="0.35">
      <c r="A427">
        <v>3</v>
      </c>
      <c r="B427" t="s">
        <v>47</v>
      </c>
      <c r="C427" t="s">
        <v>85</v>
      </c>
      <c r="D427" t="s">
        <v>92</v>
      </c>
      <c r="E427" t="s">
        <v>93</v>
      </c>
      <c r="F427" t="s">
        <v>95</v>
      </c>
      <c r="G427" t="s">
        <v>52</v>
      </c>
      <c r="H427" t="s">
        <v>36</v>
      </c>
      <c r="I427">
        <v>130</v>
      </c>
    </row>
    <row r="428" spans="1:9" ht="14.5" x14ac:dyDescent="0.35">
      <c r="A428">
        <v>3</v>
      </c>
      <c r="B428" t="s">
        <v>47</v>
      </c>
      <c r="C428" t="s">
        <v>85</v>
      </c>
      <c r="D428" t="s">
        <v>92</v>
      </c>
      <c r="E428" t="s">
        <v>93</v>
      </c>
      <c r="F428" t="s">
        <v>96</v>
      </c>
      <c r="G428" t="s">
        <v>35</v>
      </c>
      <c r="H428" t="s">
        <v>36</v>
      </c>
      <c r="I428">
        <v>130</v>
      </c>
    </row>
    <row r="429" spans="1:9" ht="14.5" x14ac:dyDescent="0.35">
      <c r="A429">
        <v>3</v>
      </c>
      <c r="B429" t="s">
        <v>47</v>
      </c>
      <c r="C429" t="s">
        <v>72</v>
      </c>
      <c r="D429" t="s">
        <v>79</v>
      </c>
      <c r="E429" t="s">
        <v>80</v>
      </c>
      <c r="F429" t="s">
        <v>82</v>
      </c>
      <c r="G429" t="s">
        <v>52</v>
      </c>
      <c r="H429" t="s">
        <v>36</v>
      </c>
      <c r="I429">
        <v>130</v>
      </c>
    </row>
    <row r="430" spans="1:9" ht="14.5" x14ac:dyDescent="0.35">
      <c r="A430">
        <v>3</v>
      </c>
      <c r="B430" t="s">
        <v>48</v>
      </c>
      <c r="C430" t="s">
        <v>59</v>
      </c>
      <c r="D430" t="s">
        <v>66</v>
      </c>
      <c r="E430" t="s">
        <v>67</v>
      </c>
      <c r="F430" t="s">
        <v>69</v>
      </c>
      <c r="G430" t="s">
        <v>35</v>
      </c>
      <c r="H430" t="s">
        <v>36</v>
      </c>
      <c r="I430">
        <v>130</v>
      </c>
    </row>
    <row r="431" spans="1:9" ht="14.5" x14ac:dyDescent="0.35">
      <c r="A431">
        <v>3</v>
      </c>
      <c r="B431" t="s">
        <v>48</v>
      </c>
      <c r="C431" t="s">
        <v>59</v>
      </c>
      <c r="D431" t="s">
        <v>66</v>
      </c>
      <c r="E431" t="s">
        <v>67</v>
      </c>
      <c r="F431" t="s">
        <v>71</v>
      </c>
      <c r="G431" t="s">
        <v>35</v>
      </c>
      <c r="H431" t="s">
        <v>36</v>
      </c>
      <c r="I431">
        <v>130</v>
      </c>
    </row>
    <row r="432" spans="1:9" ht="14.5" x14ac:dyDescent="0.35">
      <c r="A432">
        <v>3</v>
      </c>
      <c r="B432" t="s">
        <v>48</v>
      </c>
      <c r="C432" t="s">
        <v>72</v>
      </c>
      <c r="D432" t="s">
        <v>73</v>
      </c>
      <c r="E432" t="s">
        <v>74</v>
      </c>
      <c r="F432" t="s">
        <v>77</v>
      </c>
      <c r="G432" t="s">
        <v>35</v>
      </c>
      <c r="H432" t="s">
        <v>36</v>
      </c>
      <c r="I432">
        <v>130</v>
      </c>
    </row>
    <row r="433" spans="1:9" ht="14.5" x14ac:dyDescent="0.35">
      <c r="A433">
        <v>3</v>
      </c>
      <c r="B433" t="s">
        <v>48</v>
      </c>
      <c r="C433" t="s">
        <v>72</v>
      </c>
      <c r="D433" t="s">
        <v>73</v>
      </c>
      <c r="E433" t="s">
        <v>74</v>
      </c>
      <c r="F433" t="s">
        <v>78</v>
      </c>
      <c r="G433" t="s">
        <v>52</v>
      </c>
      <c r="H433" t="s">
        <v>36</v>
      </c>
      <c r="I433">
        <v>130</v>
      </c>
    </row>
    <row r="434" spans="1:9" ht="14.5" x14ac:dyDescent="0.35">
      <c r="A434">
        <v>4</v>
      </c>
      <c r="B434" t="s">
        <v>49</v>
      </c>
      <c r="C434" t="s">
        <v>31</v>
      </c>
      <c r="D434" t="s">
        <v>53</v>
      </c>
      <c r="E434" t="s">
        <v>54</v>
      </c>
      <c r="F434" t="s">
        <v>56</v>
      </c>
      <c r="G434" t="s">
        <v>52</v>
      </c>
      <c r="H434" t="s">
        <v>36</v>
      </c>
      <c r="I434">
        <v>130</v>
      </c>
    </row>
    <row r="435" spans="1:9" ht="14.5" x14ac:dyDescent="0.35">
      <c r="A435">
        <v>4</v>
      </c>
      <c r="B435" t="s">
        <v>49</v>
      </c>
      <c r="C435" t="s">
        <v>85</v>
      </c>
      <c r="D435" t="s">
        <v>86</v>
      </c>
      <c r="E435" t="s">
        <v>87</v>
      </c>
      <c r="F435" t="s">
        <v>90</v>
      </c>
      <c r="G435" t="s">
        <v>52</v>
      </c>
      <c r="H435" t="s">
        <v>36</v>
      </c>
      <c r="I435">
        <v>130</v>
      </c>
    </row>
    <row r="436" spans="1:9" ht="14.5" x14ac:dyDescent="0.35">
      <c r="A436">
        <v>4</v>
      </c>
      <c r="B436" t="s">
        <v>49</v>
      </c>
      <c r="C436" t="s">
        <v>85</v>
      </c>
      <c r="D436" t="s">
        <v>92</v>
      </c>
      <c r="E436" t="s">
        <v>93</v>
      </c>
      <c r="F436" t="s">
        <v>95</v>
      </c>
      <c r="G436" t="s">
        <v>35</v>
      </c>
      <c r="H436" t="s">
        <v>36</v>
      </c>
      <c r="I436">
        <v>130</v>
      </c>
    </row>
    <row r="437" spans="1:9" ht="14.5" x14ac:dyDescent="0.35">
      <c r="A437">
        <v>4</v>
      </c>
      <c r="B437" t="s">
        <v>49</v>
      </c>
      <c r="C437" t="s">
        <v>59</v>
      </c>
      <c r="D437" t="s">
        <v>66</v>
      </c>
      <c r="E437" t="s">
        <v>67</v>
      </c>
      <c r="F437" t="s">
        <v>71</v>
      </c>
      <c r="G437" t="s">
        <v>35</v>
      </c>
      <c r="H437" t="s">
        <v>36</v>
      </c>
      <c r="I437">
        <v>130</v>
      </c>
    </row>
    <row r="438" spans="1:9" ht="14.5" x14ac:dyDescent="0.35">
      <c r="A438">
        <v>4</v>
      </c>
      <c r="B438" t="s">
        <v>49</v>
      </c>
      <c r="C438" t="s">
        <v>72</v>
      </c>
      <c r="D438" t="s">
        <v>73</v>
      </c>
      <c r="E438" t="s">
        <v>74</v>
      </c>
      <c r="F438" t="s">
        <v>78</v>
      </c>
      <c r="G438" t="s">
        <v>35</v>
      </c>
      <c r="H438" t="s">
        <v>36</v>
      </c>
      <c r="I438">
        <v>130</v>
      </c>
    </row>
    <row r="439" spans="1:9" ht="14.5" x14ac:dyDescent="0.35">
      <c r="A439">
        <v>4</v>
      </c>
      <c r="B439" t="s">
        <v>49</v>
      </c>
      <c r="C439" t="s">
        <v>72</v>
      </c>
      <c r="D439" t="s">
        <v>79</v>
      </c>
      <c r="E439" t="s">
        <v>80</v>
      </c>
      <c r="F439" t="s">
        <v>83</v>
      </c>
      <c r="G439" t="s">
        <v>52</v>
      </c>
      <c r="H439" t="s">
        <v>36</v>
      </c>
      <c r="I439">
        <v>130</v>
      </c>
    </row>
    <row r="440" spans="1:9" ht="14.5" x14ac:dyDescent="0.35">
      <c r="A440">
        <v>4</v>
      </c>
      <c r="B440" t="s">
        <v>50</v>
      </c>
      <c r="C440" t="s">
        <v>31</v>
      </c>
      <c r="D440" t="s">
        <v>32</v>
      </c>
      <c r="E440" t="s">
        <v>33</v>
      </c>
      <c r="F440" t="s">
        <v>39</v>
      </c>
      <c r="G440" t="s">
        <v>35</v>
      </c>
      <c r="H440" t="s">
        <v>36</v>
      </c>
      <c r="I440">
        <v>130</v>
      </c>
    </row>
    <row r="441" spans="1:9" ht="14.5" x14ac:dyDescent="0.35">
      <c r="A441">
        <v>4</v>
      </c>
      <c r="B441" t="s">
        <v>50</v>
      </c>
      <c r="C441" t="s">
        <v>31</v>
      </c>
      <c r="D441" t="s">
        <v>32</v>
      </c>
      <c r="E441" t="s">
        <v>33</v>
      </c>
      <c r="F441" t="s">
        <v>39</v>
      </c>
      <c r="G441" t="s">
        <v>52</v>
      </c>
      <c r="H441" t="s">
        <v>36</v>
      </c>
      <c r="I441">
        <v>130</v>
      </c>
    </row>
    <row r="442" spans="1:9" ht="14.5" x14ac:dyDescent="0.35">
      <c r="A442">
        <v>4</v>
      </c>
      <c r="B442" t="s">
        <v>50</v>
      </c>
      <c r="C442" t="s">
        <v>31</v>
      </c>
      <c r="D442" t="s">
        <v>32</v>
      </c>
      <c r="E442" t="s">
        <v>33</v>
      </c>
      <c r="F442" t="s">
        <v>34</v>
      </c>
      <c r="G442" t="s">
        <v>52</v>
      </c>
      <c r="H442" t="s">
        <v>36</v>
      </c>
      <c r="I442">
        <v>130</v>
      </c>
    </row>
    <row r="443" spans="1:9" ht="14.5" x14ac:dyDescent="0.35">
      <c r="A443">
        <v>4</v>
      </c>
      <c r="B443" t="s">
        <v>50</v>
      </c>
      <c r="C443" t="s">
        <v>85</v>
      </c>
      <c r="D443" t="s">
        <v>86</v>
      </c>
      <c r="E443" t="s">
        <v>87</v>
      </c>
      <c r="F443" t="s">
        <v>91</v>
      </c>
      <c r="G443" t="s">
        <v>35</v>
      </c>
      <c r="H443" t="s">
        <v>36</v>
      </c>
      <c r="I443">
        <v>130</v>
      </c>
    </row>
    <row r="444" spans="1:9" ht="14.5" x14ac:dyDescent="0.35">
      <c r="A444">
        <v>4</v>
      </c>
      <c r="B444" t="s">
        <v>50</v>
      </c>
      <c r="C444" t="s">
        <v>85</v>
      </c>
      <c r="D444" t="s">
        <v>92</v>
      </c>
      <c r="E444" t="s">
        <v>93</v>
      </c>
      <c r="F444" t="s">
        <v>97</v>
      </c>
      <c r="G444" t="s">
        <v>52</v>
      </c>
      <c r="H444" t="s">
        <v>36</v>
      </c>
      <c r="I444">
        <v>130</v>
      </c>
    </row>
    <row r="445" spans="1:9" ht="14.5" x14ac:dyDescent="0.35">
      <c r="A445">
        <v>4</v>
      </c>
      <c r="B445" t="s">
        <v>50</v>
      </c>
      <c r="C445" t="s">
        <v>59</v>
      </c>
      <c r="D445" t="s">
        <v>60</v>
      </c>
      <c r="E445" t="s">
        <v>61</v>
      </c>
      <c r="F445" t="s">
        <v>63</v>
      </c>
      <c r="G445" t="s">
        <v>35</v>
      </c>
      <c r="H445" t="s">
        <v>36</v>
      </c>
      <c r="I445">
        <v>130</v>
      </c>
    </row>
    <row r="446" spans="1:9" ht="14.5" x14ac:dyDescent="0.35">
      <c r="A446">
        <v>4</v>
      </c>
      <c r="B446" t="s">
        <v>50</v>
      </c>
      <c r="C446" t="s">
        <v>59</v>
      </c>
      <c r="D446" t="s">
        <v>60</v>
      </c>
      <c r="E446" t="s">
        <v>61</v>
      </c>
      <c r="F446" t="s">
        <v>64</v>
      </c>
      <c r="G446" t="s">
        <v>35</v>
      </c>
      <c r="H446" t="s">
        <v>36</v>
      </c>
      <c r="I446">
        <v>130</v>
      </c>
    </row>
    <row r="447" spans="1:9" ht="14.5" x14ac:dyDescent="0.35">
      <c r="A447">
        <v>4</v>
      </c>
      <c r="B447" t="s">
        <v>50</v>
      </c>
      <c r="C447" t="s">
        <v>72</v>
      </c>
      <c r="D447" t="s">
        <v>79</v>
      </c>
      <c r="E447" t="s">
        <v>80</v>
      </c>
      <c r="F447" t="s">
        <v>84</v>
      </c>
      <c r="G447" t="s">
        <v>35</v>
      </c>
      <c r="H447" t="s">
        <v>36</v>
      </c>
      <c r="I447">
        <v>130</v>
      </c>
    </row>
    <row r="448" spans="1:9" ht="14.5" x14ac:dyDescent="0.35">
      <c r="A448">
        <v>4</v>
      </c>
      <c r="B448" t="s">
        <v>51</v>
      </c>
      <c r="C448" t="s">
        <v>31</v>
      </c>
      <c r="D448" t="s">
        <v>32</v>
      </c>
      <c r="E448" t="s">
        <v>33</v>
      </c>
      <c r="F448" t="s">
        <v>40</v>
      </c>
      <c r="G448" t="s">
        <v>35</v>
      </c>
      <c r="H448" t="s">
        <v>36</v>
      </c>
      <c r="I448">
        <v>130</v>
      </c>
    </row>
    <row r="449" spans="1:9" ht="14.5" x14ac:dyDescent="0.35">
      <c r="A449">
        <v>4</v>
      </c>
      <c r="B449" t="s">
        <v>51</v>
      </c>
      <c r="C449" t="s">
        <v>59</v>
      </c>
      <c r="D449" t="s">
        <v>60</v>
      </c>
      <c r="E449" t="s">
        <v>61</v>
      </c>
      <c r="F449" t="s">
        <v>65</v>
      </c>
      <c r="G449" t="s">
        <v>52</v>
      </c>
      <c r="H449" t="s">
        <v>36</v>
      </c>
      <c r="I449">
        <v>130</v>
      </c>
    </row>
    <row r="450" spans="1:9" ht="14.5" x14ac:dyDescent="0.35">
      <c r="A450">
        <v>4</v>
      </c>
      <c r="B450" t="s">
        <v>51</v>
      </c>
      <c r="C450" t="s">
        <v>59</v>
      </c>
      <c r="D450" t="s">
        <v>66</v>
      </c>
      <c r="E450" t="s">
        <v>67</v>
      </c>
      <c r="F450" t="s">
        <v>69</v>
      </c>
      <c r="G450" t="s">
        <v>35</v>
      </c>
      <c r="H450" t="s">
        <v>36</v>
      </c>
      <c r="I450">
        <v>130</v>
      </c>
    </row>
    <row r="451" spans="1:9" ht="14.5" x14ac:dyDescent="0.35">
      <c r="A451">
        <v>1</v>
      </c>
      <c r="B451" t="s">
        <v>30</v>
      </c>
      <c r="C451" t="s">
        <v>31</v>
      </c>
      <c r="D451" t="s">
        <v>32</v>
      </c>
      <c r="E451" t="s">
        <v>33</v>
      </c>
      <c r="F451" t="s">
        <v>34</v>
      </c>
      <c r="G451" t="s">
        <v>35</v>
      </c>
      <c r="H451" t="s">
        <v>36</v>
      </c>
      <c r="I451">
        <v>140</v>
      </c>
    </row>
    <row r="452" spans="1:9" ht="14.5" x14ac:dyDescent="0.35">
      <c r="A452">
        <v>1</v>
      </c>
      <c r="B452" t="s">
        <v>30</v>
      </c>
      <c r="C452" t="s">
        <v>31</v>
      </c>
      <c r="D452" t="s">
        <v>53</v>
      </c>
      <c r="E452" t="s">
        <v>54</v>
      </c>
      <c r="F452" t="s">
        <v>57</v>
      </c>
      <c r="G452" t="s">
        <v>52</v>
      </c>
      <c r="H452" t="s">
        <v>36</v>
      </c>
      <c r="I452">
        <v>140</v>
      </c>
    </row>
    <row r="453" spans="1:9" ht="14.5" x14ac:dyDescent="0.35">
      <c r="A453">
        <v>1</v>
      </c>
      <c r="B453" t="s">
        <v>30</v>
      </c>
      <c r="C453" t="s">
        <v>85</v>
      </c>
      <c r="D453" t="s">
        <v>86</v>
      </c>
      <c r="E453" t="s">
        <v>87</v>
      </c>
      <c r="F453" t="s">
        <v>88</v>
      </c>
      <c r="G453" t="s">
        <v>35</v>
      </c>
      <c r="H453" t="s">
        <v>36</v>
      </c>
      <c r="I453">
        <v>140</v>
      </c>
    </row>
    <row r="454" spans="1:9" ht="14.5" x14ac:dyDescent="0.35">
      <c r="A454">
        <v>1</v>
      </c>
      <c r="B454" t="s">
        <v>30</v>
      </c>
      <c r="C454" t="s">
        <v>85</v>
      </c>
      <c r="D454" t="s">
        <v>92</v>
      </c>
      <c r="E454" t="s">
        <v>93</v>
      </c>
      <c r="F454" t="s">
        <v>97</v>
      </c>
      <c r="G454" t="s">
        <v>35</v>
      </c>
      <c r="H454" t="s">
        <v>36</v>
      </c>
      <c r="I454">
        <v>140</v>
      </c>
    </row>
    <row r="455" spans="1:9" ht="14.5" x14ac:dyDescent="0.35">
      <c r="A455">
        <v>1</v>
      </c>
      <c r="B455" t="s">
        <v>30</v>
      </c>
      <c r="C455" t="s">
        <v>72</v>
      </c>
      <c r="D455" t="s">
        <v>73</v>
      </c>
      <c r="E455" t="s">
        <v>74</v>
      </c>
      <c r="F455" t="s">
        <v>75</v>
      </c>
      <c r="G455" t="s">
        <v>52</v>
      </c>
      <c r="H455" t="s">
        <v>36</v>
      </c>
      <c r="I455">
        <v>140</v>
      </c>
    </row>
    <row r="456" spans="1:9" ht="14.5" x14ac:dyDescent="0.35">
      <c r="A456">
        <v>1</v>
      </c>
      <c r="B456" t="s">
        <v>41</v>
      </c>
      <c r="C456" t="s">
        <v>31</v>
      </c>
      <c r="D456" t="s">
        <v>32</v>
      </c>
      <c r="E456" t="s">
        <v>33</v>
      </c>
      <c r="F456" t="s">
        <v>40</v>
      </c>
      <c r="G456" t="s">
        <v>35</v>
      </c>
      <c r="H456" t="s">
        <v>36</v>
      </c>
      <c r="I456">
        <v>140</v>
      </c>
    </row>
    <row r="457" spans="1:9" ht="14.5" x14ac:dyDescent="0.35">
      <c r="A457">
        <v>1</v>
      </c>
      <c r="B457" t="s">
        <v>41</v>
      </c>
      <c r="C457" t="s">
        <v>31</v>
      </c>
      <c r="D457" t="s">
        <v>32</v>
      </c>
      <c r="E457" t="s">
        <v>33</v>
      </c>
      <c r="F457" t="s">
        <v>39</v>
      </c>
      <c r="G457" t="s">
        <v>35</v>
      </c>
      <c r="H457" t="s">
        <v>36</v>
      </c>
      <c r="I457">
        <v>140</v>
      </c>
    </row>
    <row r="458" spans="1:9" ht="14.5" x14ac:dyDescent="0.35">
      <c r="A458">
        <v>1</v>
      </c>
      <c r="B458" t="s">
        <v>41</v>
      </c>
      <c r="C458" t="s">
        <v>85</v>
      </c>
      <c r="D458" t="s">
        <v>92</v>
      </c>
      <c r="E458" t="s">
        <v>93</v>
      </c>
      <c r="F458" t="s">
        <v>96</v>
      </c>
      <c r="G458" t="s">
        <v>35</v>
      </c>
      <c r="H458" t="s">
        <v>36</v>
      </c>
      <c r="I458">
        <v>140</v>
      </c>
    </row>
    <row r="459" spans="1:9" ht="14.5" x14ac:dyDescent="0.35">
      <c r="A459">
        <v>1</v>
      </c>
      <c r="B459" t="s">
        <v>41</v>
      </c>
      <c r="C459" t="s">
        <v>85</v>
      </c>
      <c r="D459" t="s">
        <v>92</v>
      </c>
      <c r="E459" t="s">
        <v>93</v>
      </c>
      <c r="F459" t="s">
        <v>97</v>
      </c>
      <c r="G459" t="s">
        <v>52</v>
      </c>
      <c r="H459" t="s">
        <v>36</v>
      </c>
      <c r="I459">
        <v>140</v>
      </c>
    </row>
    <row r="460" spans="1:9" ht="14.5" x14ac:dyDescent="0.35">
      <c r="A460">
        <v>1</v>
      </c>
      <c r="B460" t="s">
        <v>41</v>
      </c>
      <c r="C460" t="s">
        <v>72</v>
      </c>
      <c r="D460" t="s">
        <v>79</v>
      </c>
      <c r="E460" t="s">
        <v>80</v>
      </c>
      <c r="F460" t="s">
        <v>83</v>
      </c>
      <c r="G460" t="s">
        <v>35</v>
      </c>
      <c r="H460" t="s">
        <v>36</v>
      </c>
      <c r="I460">
        <v>140</v>
      </c>
    </row>
    <row r="461" spans="1:9" ht="14.5" x14ac:dyDescent="0.35">
      <c r="A461">
        <v>1</v>
      </c>
      <c r="B461" t="s">
        <v>42</v>
      </c>
      <c r="C461" t="s">
        <v>85</v>
      </c>
      <c r="D461" t="s">
        <v>86</v>
      </c>
      <c r="E461" t="s">
        <v>87</v>
      </c>
      <c r="F461" t="s">
        <v>90</v>
      </c>
      <c r="G461" t="s">
        <v>35</v>
      </c>
      <c r="H461" t="s">
        <v>36</v>
      </c>
      <c r="I461">
        <v>140</v>
      </c>
    </row>
    <row r="462" spans="1:9" ht="14.5" x14ac:dyDescent="0.35">
      <c r="A462">
        <v>1</v>
      </c>
      <c r="B462" t="s">
        <v>42</v>
      </c>
      <c r="C462" t="s">
        <v>85</v>
      </c>
      <c r="D462" t="s">
        <v>92</v>
      </c>
      <c r="E462" t="s">
        <v>93</v>
      </c>
      <c r="F462" t="s">
        <v>94</v>
      </c>
      <c r="G462" t="s">
        <v>52</v>
      </c>
      <c r="H462" t="s">
        <v>36</v>
      </c>
      <c r="I462">
        <v>140</v>
      </c>
    </row>
    <row r="463" spans="1:9" ht="14.5" x14ac:dyDescent="0.35">
      <c r="A463">
        <v>2</v>
      </c>
      <c r="B463" t="s">
        <v>43</v>
      </c>
      <c r="C463" t="s">
        <v>31</v>
      </c>
      <c r="D463" t="s">
        <v>32</v>
      </c>
      <c r="E463" t="s">
        <v>33</v>
      </c>
      <c r="F463" t="s">
        <v>39</v>
      </c>
      <c r="G463" t="s">
        <v>52</v>
      </c>
      <c r="H463" t="s">
        <v>36</v>
      </c>
      <c r="I463">
        <v>140</v>
      </c>
    </row>
    <row r="464" spans="1:9" ht="14.5" x14ac:dyDescent="0.35">
      <c r="A464">
        <v>2</v>
      </c>
      <c r="B464" t="s">
        <v>43</v>
      </c>
      <c r="C464" t="s">
        <v>31</v>
      </c>
      <c r="D464" t="s">
        <v>53</v>
      </c>
      <c r="E464" t="s">
        <v>54</v>
      </c>
      <c r="F464" t="s">
        <v>56</v>
      </c>
      <c r="G464" t="s">
        <v>52</v>
      </c>
      <c r="H464" t="s">
        <v>36</v>
      </c>
      <c r="I464">
        <v>140</v>
      </c>
    </row>
    <row r="465" spans="1:9" ht="14.5" x14ac:dyDescent="0.35">
      <c r="A465">
        <v>2</v>
      </c>
      <c r="B465" t="s">
        <v>43</v>
      </c>
      <c r="C465" t="s">
        <v>31</v>
      </c>
      <c r="D465" t="s">
        <v>53</v>
      </c>
      <c r="E465" t="s">
        <v>54</v>
      </c>
      <c r="F465" t="s">
        <v>57</v>
      </c>
      <c r="G465" t="s">
        <v>35</v>
      </c>
      <c r="H465" t="s">
        <v>36</v>
      </c>
      <c r="I465">
        <v>140</v>
      </c>
    </row>
    <row r="466" spans="1:9" ht="14.5" x14ac:dyDescent="0.35">
      <c r="A466">
        <v>2</v>
      </c>
      <c r="B466" t="s">
        <v>43</v>
      </c>
      <c r="C466" t="s">
        <v>85</v>
      </c>
      <c r="D466" t="s">
        <v>86</v>
      </c>
      <c r="E466" t="s">
        <v>87</v>
      </c>
      <c r="F466" t="s">
        <v>90</v>
      </c>
      <c r="G466" t="s">
        <v>35</v>
      </c>
      <c r="H466" t="s">
        <v>36</v>
      </c>
      <c r="I466">
        <v>140</v>
      </c>
    </row>
    <row r="467" spans="1:9" ht="14.5" x14ac:dyDescent="0.35">
      <c r="A467">
        <v>2</v>
      </c>
      <c r="B467" t="s">
        <v>43</v>
      </c>
      <c r="C467" t="s">
        <v>85</v>
      </c>
      <c r="D467" t="s">
        <v>92</v>
      </c>
      <c r="E467" t="s">
        <v>93</v>
      </c>
      <c r="F467" t="s">
        <v>94</v>
      </c>
      <c r="G467" t="s">
        <v>52</v>
      </c>
      <c r="H467" t="s">
        <v>36</v>
      </c>
      <c r="I467">
        <v>140</v>
      </c>
    </row>
    <row r="468" spans="1:9" ht="14.5" x14ac:dyDescent="0.35">
      <c r="A468">
        <v>2</v>
      </c>
      <c r="B468" t="s">
        <v>43</v>
      </c>
      <c r="C468" t="s">
        <v>72</v>
      </c>
      <c r="D468" t="s">
        <v>79</v>
      </c>
      <c r="E468" t="s">
        <v>80</v>
      </c>
      <c r="F468" t="s">
        <v>82</v>
      </c>
      <c r="G468" t="s">
        <v>52</v>
      </c>
      <c r="H468" t="s">
        <v>36</v>
      </c>
      <c r="I468">
        <v>140</v>
      </c>
    </row>
    <row r="469" spans="1:9" ht="14.5" x14ac:dyDescent="0.35">
      <c r="A469">
        <v>2</v>
      </c>
      <c r="B469" t="s">
        <v>44</v>
      </c>
      <c r="C469" t="s">
        <v>59</v>
      </c>
      <c r="D469" t="s">
        <v>66</v>
      </c>
      <c r="E469" t="s">
        <v>67</v>
      </c>
      <c r="F469" t="s">
        <v>68</v>
      </c>
      <c r="G469" t="s">
        <v>52</v>
      </c>
      <c r="H469" t="s">
        <v>36</v>
      </c>
      <c r="I469">
        <v>140</v>
      </c>
    </row>
    <row r="470" spans="1:9" ht="14.5" x14ac:dyDescent="0.35">
      <c r="A470">
        <v>2</v>
      </c>
      <c r="B470" t="s">
        <v>44</v>
      </c>
      <c r="C470" t="s">
        <v>59</v>
      </c>
      <c r="D470" t="s">
        <v>66</v>
      </c>
      <c r="E470" t="s">
        <v>67</v>
      </c>
      <c r="F470" t="s">
        <v>71</v>
      </c>
      <c r="G470" t="s">
        <v>35</v>
      </c>
      <c r="H470" t="s">
        <v>36</v>
      </c>
      <c r="I470">
        <v>140</v>
      </c>
    </row>
    <row r="471" spans="1:9" ht="14.5" x14ac:dyDescent="0.35">
      <c r="A471">
        <v>2</v>
      </c>
      <c r="B471" t="s">
        <v>45</v>
      </c>
      <c r="C471" t="s">
        <v>31</v>
      </c>
      <c r="D471" t="s">
        <v>32</v>
      </c>
      <c r="E471" t="s">
        <v>33</v>
      </c>
      <c r="F471" t="s">
        <v>37</v>
      </c>
      <c r="G471" t="s">
        <v>52</v>
      </c>
      <c r="H471" t="s">
        <v>36</v>
      </c>
      <c r="I471">
        <v>140</v>
      </c>
    </row>
    <row r="472" spans="1:9" ht="14.5" x14ac:dyDescent="0.35">
      <c r="A472">
        <v>2</v>
      </c>
      <c r="B472" t="s">
        <v>45</v>
      </c>
      <c r="C472" t="s">
        <v>31</v>
      </c>
      <c r="D472" t="s">
        <v>32</v>
      </c>
      <c r="E472" t="s">
        <v>33</v>
      </c>
      <c r="F472" t="s">
        <v>40</v>
      </c>
      <c r="G472" t="s">
        <v>35</v>
      </c>
      <c r="H472" t="s">
        <v>36</v>
      </c>
      <c r="I472">
        <v>140</v>
      </c>
    </row>
    <row r="473" spans="1:9" ht="14.5" x14ac:dyDescent="0.35">
      <c r="A473">
        <v>2</v>
      </c>
      <c r="B473" t="s">
        <v>45</v>
      </c>
      <c r="C473" t="s">
        <v>31</v>
      </c>
      <c r="D473" t="s">
        <v>32</v>
      </c>
      <c r="E473" t="s">
        <v>33</v>
      </c>
      <c r="F473" t="s">
        <v>39</v>
      </c>
      <c r="G473" t="s">
        <v>52</v>
      </c>
      <c r="H473" t="s">
        <v>36</v>
      </c>
      <c r="I473">
        <v>140</v>
      </c>
    </row>
    <row r="474" spans="1:9" ht="14.5" x14ac:dyDescent="0.35">
      <c r="A474">
        <v>2</v>
      </c>
      <c r="B474" t="s">
        <v>45</v>
      </c>
      <c r="C474" t="s">
        <v>31</v>
      </c>
      <c r="D474" t="s">
        <v>53</v>
      </c>
      <c r="E474" t="s">
        <v>54</v>
      </c>
      <c r="F474" t="s">
        <v>56</v>
      </c>
      <c r="G474" t="s">
        <v>35</v>
      </c>
      <c r="H474" t="s">
        <v>36</v>
      </c>
      <c r="I474">
        <v>140</v>
      </c>
    </row>
    <row r="475" spans="1:9" ht="14.5" x14ac:dyDescent="0.35">
      <c r="A475">
        <v>2</v>
      </c>
      <c r="B475" t="s">
        <v>45</v>
      </c>
      <c r="C475" t="s">
        <v>85</v>
      </c>
      <c r="D475" t="s">
        <v>86</v>
      </c>
      <c r="E475" t="s">
        <v>87</v>
      </c>
      <c r="F475" t="s">
        <v>90</v>
      </c>
      <c r="G475" t="s">
        <v>52</v>
      </c>
      <c r="H475" t="s">
        <v>36</v>
      </c>
      <c r="I475">
        <v>140</v>
      </c>
    </row>
    <row r="476" spans="1:9" ht="14.5" x14ac:dyDescent="0.35">
      <c r="A476">
        <v>2</v>
      </c>
      <c r="B476" t="s">
        <v>45</v>
      </c>
      <c r="C476" t="s">
        <v>85</v>
      </c>
      <c r="D476" t="s">
        <v>92</v>
      </c>
      <c r="E476" t="s">
        <v>93</v>
      </c>
      <c r="F476" t="s">
        <v>96</v>
      </c>
      <c r="G476" t="s">
        <v>52</v>
      </c>
      <c r="H476" t="s">
        <v>36</v>
      </c>
      <c r="I476">
        <v>140</v>
      </c>
    </row>
    <row r="477" spans="1:9" ht="14.5" x14ac:dyDescent="0.35">
      <c r="A477">
        <v>2</v>
      </c>
      <c r="B477" t="s">
        <v>45</v>
      </c>
      <c r="C477" t="s">
        <v>59</v>
      </c>
      <c r="D477" t="s">
        <v>66</v>
      </c>
      <c r="E477" t="s">
        <v>67</v>
      </c>
      <c r="F477" t="s">
        <v>69</v>
      </c>
      <c r="G477" t="s">
        <v>52</v>
      </c>
      <c r="H477" t="s">
        <v>36</v>
      </c>
      <c r="I477">
        <v>140</v>
      </c>
    </row>
    <row r="478" spans="1:9" ht="14.5" x14ac:dyDescent="0.35">
      <c r="A478">
        <v>2</v>
      </c>
      <c r="B478" t="s">
        <v>45</v>
      </c>
      <c r="C478" t="s">
        <v>72</v>
      </c>
      <c r="D478" t="s">
        <v>79</v>
      </c>
      <c r="E478" t="s">
        <v>80</v>
      </c>
      <c r="F478" t="s">
        <v>84</v>
      </c>
      <c r="G478" t="s">
        <v>52</v>
      </c>
      <c r="H478" t="s">
        <v>36</v>
      </c>
      <c r="I478">
        <v>140</v>
      </c>
    </row>
    <row r="479" spans="1:9" ht="14.5" x14ac:dyDescent="0.35">
      <c r="A479">
        <v>3</v>
      </c>
      <c r="B479" t="s">
        <v>46</v>
      </c>
      <c r="C479" t="s">
        <v>85</v>
      </c>
      <c r="D479" t="s">
        <v>92</v>
      </c>
      <c r="E479" t="s">
        <v>93</v>
      </c>
      <c r="F479" t="s">
        <v>97</v>
      </c>
      <c r="G479" t="s">
        <v>52</v>
      </c>
      <c r="H479" t="s">
        <v>36</v>
      </c>
      <c r="I479">
        <v>140</v>
      </c>
    </row>
    <row r="480" spans="1:9" ht="14.5" x14ac:dyDescent="0.35">
      <c r="A480">
        <v>3</v>
      </c>
      <c r="B480" t="s">
        <v>46</v>
      </c>
      <c r="C480" t="s">
        <v>59</v>
      </c>
      <c r="D480" t="s">
        <v>60</v>
      </c>
      <c r="E480" t="s">
        <v>61</v>
      </c>
      <c r="F480" t="s">
        <v>64</v>
      </c>
      <c r="G480" t="s">
        <v>35</v>
      </c>
      <c r="H480" t="s">
        <v>36</v>
      </c>
      <c r="I480">
        <v>140</v>
      </c>
    </row>
    <row r="481" spans="1:9" ht="14.5" x14ac:dyDescent="0.35">
      <c r="A481">
        <v>3</v>
      </c>
      <c r="B481" t="s">
        <v>46</v>
      </c>
      <c r="C481" t="s">
        <v>72</v>
      </c>
      <c r="D481" t="s">
        <v>73</v>
      </c>
      <c r="E481" t="s">
        <v>74</v>
      </c>
      <c r="F481" t="s">
        <v>75</v>
      </c>
      <c r="G481" t="s">
        <v>52</v>
      </c>
      <c r="H481" t="s">
        <v>36</v>
      </c>
      <c r="I481">
        <v>140</v>
      </c>
    </row>
    <row r="482" spans="1:9" ht="14.5" x14ac:dyDescent="0.35">
      <c r="A482">
        <v>3</v>
      </c>
      <c r="B482" t="s">
        <v>47</v>
      </c>
      <c r="C482" t="s">
        <v>31</v>
      </c>
      <c r="D482" t="s">
        <v>32</v>
      </c>
      <c r="E482" t="s">
        <v>33</v>
      </c>
      <c r="F482" t="s">
        <v>40</v>
      </c>
      <c r="G482" t="s">
        <v>35</v>
      </c>
      <c r="H482" t="s">
        <v>36</v>
      </c>
      <c r="I482">
        <v>140</v>
      </c>
    </row>
    <row r="483" spans="1:9" ht="14.5" x14ac:dyDescent="0.35">
      <c r="A483">
        <v>3</v>
      </c>
      <c r="B483" t="s">
        <v>47</v>
      </c>
      <c r="C483" t="s">
        <v>31</v>
      </c>
      <c r="D483" t="s">
        <v>32</v>
      </c>
      <c r="E483" t="s">
        <v>33</v>
      </c>
      <c r="F483" t="s">
        <v>40</v>
      </c>
      <c r="G483" t="s">
        <v>52</v>
      </c>
      <c r="H483" t="s">
        <v>36</v>
      </c>
      <c r="I483">
        <v>140</v>
      </c>
    </row>
    <row r="484" spans="1:9" ht="14.5" x14ac:dyDescent="0.35">
      <c r="A484">
        <v>3</v>
      </c>
      <c r="B484" t="s">
        <v>47</v>
      </c>
      <c r="C484" t="s">
        <v>31</v>
      </c>
      <c r="D484" t="s">
        <v>53</v>
      </c>
      <c r="E484" t="s">
        <v>54</v>
      </c>
      <c r="F484" t="s">
        <v>55</v>
      </c>
      <c r="G484" t="s">
        <v>35</v>
      </c>
      <c r="H484" t="s">
        <v>36</v>
      </c>
      <c r="I484">
        <v>140</v>
      </c>
    </row>
    <row r="485" spans="1:9" ht="14.5" x14ac:dyDescent="0.35">
      <c r="A485">
        <v>3</v>
      </c>
      <c r="B485" t="s">
        <v>47</v>
      </c>
      <c r="C485" t="s">
        <v>31</v>
      </c>
      <c r="D485" t="s">
        <v>53</v>
      </c>
      <c r="E485" t="s">
        <v>54</v>
      </c>
      <c r="F485" t="s">
        <v>57</v>
      </c>
      <c r="G485" t="s">
        <v>52</v>
      </c>
      <c r="H485" t="s">
        <v>36</v>
      </c>
      <c r="I485">
        <v>140</v>
      </c>
    </row>
    <row r="486" spans="1:9" ht="14.5" x14ac:dyDescent="0.35">
      <c r="A486">
        <v>3</v>
      </c>
      <c r="B486" t="s">
        <v>47</v>
      </c>
      <c r="C486" t="s">
        <v>85</v>
      </c>
      <c r="D486" t="s">
        <v>86</v>
      </c>
      <c r="E486" t="s">
        <v>87</v>
      </c>
      <c r="F486" t="s">
        <v>91</v>
      </c>
      <c r="G486" t="s">
        <v>52</v>
      </c>
      <c r="H486" t="s">
        <v>36</v>
      </c>
      <c r="I486">
        <v>140</v>
      </c>
    </row>
    <row r="487" spans="1:9" ht="14.5" x14ac:dyDescent="0.35">
      <c r="A487">
        <v>3</v>
      </c>
      <c r="B487" t="s">
        <v>47</v>
      </c>
      <c r="C487" t="s">
        <v>85</v>
      </c>
      <c r="D487" t="s">
        <v>92</v>
      </c>
      <c r="E487" t="s">
        <v>93</v>
      </c>
      <c r="F487" t="s">
        <v>94</v>
      </c>
      <c r="G487" t="s">
        <v>52</v>
      </c>
      <c r="H487" t="s">
        <v>36</v>
      </c>
      <c r="I487">
        <v>140</v>
      </c>
    </row>
    <row r="488" spans="1:9" ht="14.5" x14ac:dyDescent="0.35">
      <c r="A488">
        <v>3</v>
      </c>
      <c r="B488" t="s">
        <v>48</v>
      </c>
      <c r="C488" t="s">
        <v>31</v>
      </c>
      <c r="D488" t="s">
        <v>32</v>
      </c>
      <c r="E488" t="s">
        <v>33</v>
      </c>
      <c r="F488" t="s">
        <v>40</v>
      </c>
      <c r="G488" t="s">
        <v>52</v>
      </c>
      <c r="H488" t="s">
        <v>36</v>
      </c>
      <c r="I488">
        <v>140</v>
      </c>
    </row>
    <row r="489" spans="1:9" ht="14.5" x14ac:dyDescent="0.35">
      <c r="A489">
        <v>3</v>
      </c>
      <c r="B489" t="s">
        <v>48</v>
      </c>
      <c r="C489" t="s">
        <v>31</v>
      </c>
      <c r="D489" t="s">
        <v>53</v>
      </c>
      <c r="E489" t="s">
        <v>54</v>
      </c>
      <c r="F489" t="s">
        <v>55</v>
      </c>
      <c r="G489" t="s">
        <v>52</v>
      </c>
      <c r="H489" t="s">
        <v>36</v>
      </c>
      <c r="I489">
        <v>140</v>
      </c>
    </row>
    <row r="490" spans="1:9" ht="14.5" x14ac:dyDescent="0.35">
      <c r="A490">
        <v>3</v>
      </c>
      <c r="B490" t="s">
        <v>48</v>
      </c>
      <c r="C490" t="s">
        <v>85</v>
      </c>
      <c r="D490" t="s">
        <v>86</v>
      </c>
      <c r="E490" t="s">
        <v>87</v>
      </c>
      <c r="F490" t="s">
        <v>88</v>
      </c>
      <c r="G490" t="s">
        <v>52</v>
      </c>
      <c r="H490" t="s">
        <v>36</v>
      </c>
      <c r="I490">
        <v>140</v>
      </c>
    </row>
    <row r="491" spans="1:9" ht="14.5" x14ac:dyDescent="0.35">
      <c r="A491">
        <v>3</v>
      </c>
      <c r="B491" t="s">
        <v>48</v>
      </c>
      <c r="C491" t="s">
        <v>85</v>
      </c>
      <c r="D491" t="s">
        <v>86</v>
      </c>
      <c r="E491" t="s">
        <v>87</v>
      </c>
      <c r="F491" t="s">
        <v>91</v>
      </c>
      <c r="G491" t="s">
        <v>52</v>
      </c>
      <c r="H491" t="s">
        <v>36</v>
      </c>
      <c r="I491">
        <v>140</v>
      </c>
    </row>
    <row r="492" spans="1:9" ht="14.5" x14ac:dyDescent="0.35">
      <c r="A492">
        <v>3</v>
      </c>
      <c r="B492" t="s">
        <v>48</v>
      </c>
      <c r="C492" t="s">
        <v>59</v>
      </c>
      <c r="D492" t="s">
        <v>60</v>
      </c>
      <c r="E492" t="s">
        <v>61</v>
      </c>
      <c r="F492" t="s">
        <v>64</v>
      </c>
      <c r="G492" t="s">
        <v>52</v>
      </c>
      <c r="H492" t="s">
        <v>36</v>
      </c>
      <c r="I492">
        <v>140</v>
      </c>
    </row>
    <row r="493" spans="1:9" ht="14.5" x14ac:dyDescent="0.35">
      <c r="A493">
        <v>3</v>
      </c>
      <c r="B493" t="s">
        <v>48</v>
      </c>
      <c r="C493" t="s">
        <v>59</v>
      </c>
      <c r="D493" t="s">
        <v>66</v>
      </c>
      <c r="E493" t="s">
        <v>67</v>
      </c>
      <c r="F493" t="s">
        <v>69</v>
      </c>
      <c r="G493" t="s">
        <v>52</v>
      </c>
      <c r="H493" t="s">
        <v>36</v>
      </c>
      <c r="I493">
        <v>140</v>
      </c>
    </row>
    <row r="494" spans="1:9" ht="14.5" x14ac:dyDescent="0.35">
      <c r="A494">
        <v>4</v>
      </c>
      <c r="B494" t="s">
        <v>49</v>
      </c>
      <c r="C494" t="s">
        <v>31</v>
      </c>
      <c r="D494" t="s">
        <v>32</v>
      </c>
      <c r="E494" t="s">
        <v>33</v>
      </c>
      <c r="F494" t="s">
        <v>37</v>
      </c>
      <c r="G494" t="s">
        <v>52</v>
      </c>
      <c r="H494" t="s">
        <v>36</v>
      </c>
      <c r="I494">
        <v>140</v>
      </c>
    </row>
    <row r="495" spans="1:9" ht="14.5" x14ac:dyDescent="0.35">
      <c r="A495">
        <v>4</v>
      </c>
      <c r="B495" t="s">
        <v>49</v>
      </c>
      <c r="C495" t="s">
        <v>85</v>
      </c>
      <c r="D495" t="s">
        <v>86</v>
      </c>
      <c r="E495" t="s">
        <v>87</v>
      </c>
      <c r="F495" t="s">
        <v>88</v>
      </c>
      <c r="G495" t="s">
        <v>52</v>
      </c>
      <c r="H495" t="s">
        <v>36</v>
      </c>
      <c r="I495">
        <v>140</v>
      </c>
    </row>
    <row r="496" spans="1:9" ht="14.5" x14ac:dyDescent="0.35">
      <c r="A496">
        <v>4</v>
      </c>
      <c r="B496" t="s">
        <v>49</v>
      </c>
      <c r="C496" t="s">
        <v>59</v>
      </c>
      <c r="D496" t="s">
        <v>60</v>
      </c>
      <c r="E496" t="s">
        <v>61</v>
      </c>
      <c r="F496" t="s">
        <v>62</v>
      </c>
      <c r="G496" t="s">
        <v>35</v>
      </c>
      <c r="H496" t="s">
        <v>36</v>
      </c>
      <c r="I496">
        <v>140</v>
      </c>
    </row>
    <row r="497" spans="1:9" ht="14.5" x14ac:dyDescent="0.35">
      <c r="A497">
        <v>4</v>
      </c>
      <c r="B497" t="s">
        <v>49</v>
      </c>
      <c r="C497" t="s">
        <v>59</v>
      </c>
      <c r="D497" t="s">
        <v>66</v>
      </c>
      <c r="E497" t="s">
        <v>67</v>
      </c>
      <c r="F497" t="s">
        <v>69</v>
      </c>
      <c r="G497" t="s">
        <v>35</v>
      </c>
      <c r="H497" t="s">
        <v>36</v>
      </c>
      <c r="I497">
        <v>140</v>
      </c>
    </row>
    <row r="498" spans="1:9" ht="14.5" x14ac:dyDescent="0.35">
      <c r="A498">
        <v>4</v>
      </c>
      <c r="B498" t="s">
        <v>51</v>
      </c>
      <c r="C498" t="s">
        <v>31</v>
      </c>
      <c r="D498" t="s">
        <v>32</v>
      </c>
      <c r="E498" t="s">
        <v>33</v>
      </c>
      <c r="F498" t="s">
        <v>37</v>
      </c>
      <c r="G498" t="s">
        <v>35</v>
      </c>
      <c r="H498" t="s">
        <v>36</v>
      </c>
      <c r="I498">
        <v>140</v>
      </c>
    </row>
    <row r="499" spans="1:9" ht="14.5" x14ac:dyDescent="0.35">
      <c r="A499">
        <v>4</v>
      </c>
      <c r="B499" t="s">
        <v>51</v>
      </c>
      <c r="C499" t="s">
        <v>31</v>
      </c>
      <c r="D499" t="s">
        <v>32</v>
      </c>
      <c r="E499" t="s">
        <v>33</v>
      </c>
      <c r="F499" t="s">
        <v>34</v>
      </c>
      <c r="G499" t="s">
        <v>52</v>
      </c>
      <c r="H499" t="s">
        <v>36</v>
      </c>
      <c r="I499">
        <v>140</v>
      </c>
    </row>
    <row r="500" spans="1:9" ht="14.5" x14ac:dyDescent="0.35">
      <c r="A500">
        <v>4</v>
      </c>
      <c r="B500" t="s">
        <v>51</v>
      </c>
      <c r="C500" t="s">
        <v>31</v>
      </c>
      <c r="D500" t="s">
        <v>53</v>
      </c>
      <c r="E500" t="s">
        <v>54</v>
      </c>
      <c r="F500" t="s">
        <v>56</v>
      </c>
      <c r="G500" t="s">
        <v>52</v>
      </c>
      <c r="H500" t="s">
        <v>36</v>
      </c>
      <c r="I500">
        <v>140</v>
      </c>
    </row>
    <row r="501" spans="1:9" ht="14.5" x14ac:dyDescent="0.35">
      <c r="A501">
        <v>4</v>
      </c>
      <c r="B501" t="s">
        <v>51</v>
      </c>
      <c r="C501" t="s">
        <v>85</v>
      </c>
      <c r="D501" t="s">
        <v>86</v>
      </c>
      <c r="E501" t="s">
        <v>87</v>
      </c>
      <c r="F501" t="s">
        <v>89</v>
      </c>
      <c r="G501" t="s">
        <v>52</v>
      </c>
      <c r="H501" t="s">
        <v>36</v>
      </c>
      <c r="I501">
        <v>140</v>
      </c>
    </row>
    <row r="502" spans="1:9" ht="14.5" x14ac:dyDescent="0.35">
      <c r="A502">
        <v>4</v>
      </c>
      <c r="B502" t="s">
        <v>51</v>
      </c>
      <c r="C502" t="s">
        <v>59</v>
      </c>
      <c r="D502" t="s">
        <v>60</v>
      </c>
      <c r="E502" t="s">
        <v>61</v>
      </c>
      <c r="F502" t="s">
        <v>63</v>
      </c>
      <c r="G502" t="s">
        <v>52</v>
      </c>
      <c r="H502" t="s">
        <v>36</v>
      </c>
      <c r="I502">
        <v>140</v>
      </c>
    </row>
    <row r="503" spans="1:9" ht="14.5" x14ac:dyDescent="0.35">
      <c r="A503">
        <v>4</v>
      </c>
      <c r="B503" t="s">
        <v>51</v>
      </c>
      <c r="C503" t="s">
        <v>59</v>
      </c>
      <c r="D503" t="s">
        <v>66</v>
      </c>
      <c r="E503" t="s">
        <v>67</v>
      </c>
      <c r="F503" t="s">
        <v>68</v>
      </c>
      <c r="G503" t="s">
        <v>52</v>
      </c>
      <c r="H503" t="s">
        <v>36</v>
      </c>
      <c r="I503">
        <v>140</v>
      </c>
    </row>
    <row r="504" spans="1:9" ht="14.5" x14ac:dyDescent="0.35">
      <c r="A504">
        <v>4</v>
      </c>
      <c r="B504" t="s">
        <v>51</v>
      </c>
      <c r="C504" t="s">
        <v>72</v>
      </c>
      <c r="D504" t="s">
        <v>73</v>
      </c>
      <c r="E504" t="s">
        <v>74</v>
      </c>
      <c r="F504" t="s">
        <v>76</v>
      </c>
      <c r="G504" t="s">
        <v>52</v>
      </c>
      <c r="H504" t="s">
        <v>36</v>
      </c>
      <c r="I504">
        <v>140</v>
      </c>
    </row>
    <row r="505" spans="1:9" ht="14.5" x14ac:dyDescent="0.35">
      <c r="A505">
        <v>4</v>
      </c>
      <c r="B505" t="s">
        <v>51</v>
      </c>
      <c r="C505" t="s">
        <v>72</v>
      </c>
      <c r="D505" t="s">
        <v>79</v>
      </c>
      <c r="E505" t="s">
        <v>80</v>
      </c>
      <c r="F505" t="s">
        <v>84</v>
      </c>
      <c r="G505" t="s">
        <v>35</v>
      </c>
      <c r="H505" t="s">
        <v>36</v>
      </c>
      <c r="I505">
        <v>140</v>
      </c>
    </row>
    <row r="506" spans="1:9" ht="14.5" x14ac:dyDescent="0.35">
      <c r="A506">
        <v>1</v>
      </c>
      <c r="B506" t="s">
        <v>30</v>
      </c>
      <c r="C506" t="s">
        <v>31</v>
      </c>
      <c r="D506" t="s">
        <v>32</v>
      </c>
      <c r="E506" t="s">
        <v>33</v>
      </c>
      <c r="F506" t="s">
        <v>39</v>
      </c>
      <c r="G506" t="s">
        <v>35</v>
      </c>
      <c r="H506" t="s">
        <v>36</v>
      </c>
      <c r="I506">
        <v>150</v>
      </c>
    </row>
    <row r="507" spans="1:9" ht="14.5" x14ac:dyDescent="0.35">
      <c r="A507">
        <v>1</v>
      </c>
      <c r="B507" t="s">
        <v>30</v>
      </c>
      <c r="C507" t="s">
        <v>31</v>
      </c>
      <c r="D507" t="s">
        <v>53</v>
      </c>
      <c r="E507" t="s">
        <v>54</v>
      </c>
      <c r="F507" t="s">
        <v>55</v>
      </c>
      <c r="G507" t="s">
        <v>35</v>
      </c>
      <c r="H507" t="s">
        <v>36</v>
      </c>
      <c r="I507">
        <v>150</v>
      </c>
    </row>
    <row r="508" spans="1:9" ht="14.5" x14ac:dyDescent="0.35">
      <c r="A508">
        <v>1</v>
      </c>
      <c r="B508" t="s">
        <v>30</v>
      </c>
      <c r="C508" t="s">
        <v>85</v>
      </c>
      <c r="D508" t="s">
        <v>86</v>
      </c>
      <c r="E508" t="s">
        <v>87</v>
      </c>
      <c r="F508" t="s">
        <v>91</v>
      </c>
      <c r="G508" t="s">
        <v>52</v>
      </c>
      <c r="H508" t="s">
        <v>36</v>
      </c>
      <c r="I508">
        <v>150</v>
      </c>
    </row>
    <row r="509" spans="1:9" ht="14.5" x14ac:dyDescent="0.35">
      <c r="A509">
        <v>1</v>
      </c>
      <c r="B509" t="s">
        <v>30</v>
      </c>
      <c r="C509" t="s">
        <v>59</v>
      </c>
      <c r="D509" t="s">
        <v>60</v>
      </c>
      <c r="E509" t="s">
        <v>61</v>
      </c>
      <c r="F509" t="s">
        <v>65</v>
      </c>
      <c r="G509" t="s">
        <v>35</v>
      </c>
      <c r="H509" t="s">
        <v>36</v>
      </c>
      <c r="I509">
        <v>150</v>
      </c>
    </row>
    <row r="510" spans="1:9" ht="14.5" x14ac:dyDescent="0.35">
      <c r="A510">
        <v>1</v>
      </c>
      <c r="B510" t="s">
        <v>30</v>
      </c>
      <c r="C510" t="s">
        <v>59</v>
      </c>
      <c r="D510" t="s">
        <v>66</v>
      </c>
      <c r="E510" t="s">
        <v>67</v>
      </c>
      <c r="F510" t="s">
        <v>71</v>
      </c>
      <c r="G510" t="s">
        <v>52</v>
      </c>
      <c r="H510" t="s">
        <v>36</v>
      </c>
      <c r="I510">
        <v>150</v>
      </c>
    </row>
    <row r="511" spans="1:9" ht="14.5" x14ac:dyDescent="0.35">
      <c r="A511">
        <v>1</v>
      </c>
      <c r="B511" t="s">
        <v>42</v>
      </c>
      <c r="C511" t="s">
        <v>31</v>
      </c>
      <c r="D511" t="s">
        <v>32</v>
      </c>
      <c r="E511" t="s">
        <v>33</v>
      </c>
      <c r="F511" t="s">
        <v>40</v>
      </c>
      <c r="G511" t="s">
        <v>52</v>
      </c>
      <c r="H511" t="s">
        <v>36</v>
      </c>
      <c r="I511">
        <v>150</v>
      </c>
    </row>
    <row r="512" spans="1:9" ht="14.5" x14ac:dyDescent="0.35">
      <c r="A512">
        <v>1</v>
      </c>
      <c r="B512" t="s">
        <v>42</v>
      </c>
      <c r="C512" t="s">
        <v>31</v>
      </c>
      <c r="D512" t="s">
        <v>53</v>
      </c>
      <c r="E512" t="s">
        <v>54</v>
      </c>
      <c r="F512" t="s">
        <v>56</v>
      </c>
      <c r="G512" t="s">
        <v>52</v>
      </c>
      <c r="H512" t="s">
        <v>36</v>
      </c>
      <c r="I512">
        <v>150</v>
      </c>
    </row>
    <row r="513" spans="1:9" ht="14.5" x14ac:dyDescent="0.35">
      <c r="A513">
        <v>1</v>
      </c>
      <c r="B513" t="s">
        <v>42</v>
      </c>
      <c r="C513" t="s">
        <v>59</v>
      </c>
      <c r="D513" t="s">
        <v>66</v>
      </c>
      <c r="E513" t="s">
        <v>67</v>
      </c>
      <c r="F513" t="s">
        <v>69</v>
      </c>
      <c r="G513" t="s">
        <v>52</v>
      </c>
      <c r="H513" t="s">
        <v>36</v>
      </c>
      <c r="I513">
        <v>150</v>
      </c>
    </row>
    <row r="514" spans="1:9" ht="14.5" x14ac:dyDescent="0.35">
      <c r="A514">
        <v>1</v>
      </c>
      <c r="B514" t="s">
        <v>42</v>
      </c>
      <c r="C514" t="s">
        <v>72</v>
      </c>
      <c r="D514" t="s">
        <v>73</v>
      </c>
      <c r="E514" t="s">
        <v>74</v>
      </c>
      <c r="F514" t="s">
        <v>76</v>
      </c>
      <c r="G514" t="s">
        <v>52</v>
      </c>
      <c r="H514" t="s">
        <v>36</v>
      </c>
      <c r="I514">
        <v>150</v>
      </c>
    </row>
    <row r="515" spans="1:9" ht="14.5" x14ac:dyDescent="0.35">
      <c r="A515">
        <v>1</v>
      </c>
      <c r="B515" t="s">
        <v>42</v>
      </c>
      <c r="C515" t="s">
        <v>72</v>
      </c>
      <c r="D515" t="s">
        <v>73</v>
      </c>
      <c r="E515" t="s">
        <v>74</v>
      </c>
      <c r="F515" t="s">
        <v>77</v>
      </c>
      <c r="G515" t="s">
        <v>52</v>
      </c>
      <c r="H515" t="s">
        <v>36</v>
      </c>
      <c r="I515">
        <v>150</v>
      </c>
    </row>
    <row r="516" spans="1:9" ht="14.5" x14ac:dyDescent="0.35">
      <c r="A516">
        <v>1</v>
      </c>
      <c r="B516" t="s">
        <v>42</v>
      </c>
      <c r="C516" t="s">
        <v>72</v>
      </c>
      <c r="D516" t="s">
        <v>79</v>
      </c>
      <c r="E516" t="s">
        <v>80</v>
      </c>
      <c r="F516" t="s">
        <v>81</v>
      </c>
      <c r="G516" t="s">
        <v>52</v>
      </c>
      <c r="H516" t="s">
        <v>36</v>
      </c>
      <c r="I516">
        <v>150</v>
      </c>
    </row>
    <row r="517" spans="1:9" ht="14.5" x14ac:dyDescent="0.35">
      <c r="A517">
        <v>1</v>
      </c>
      <c r="B517" t="s">
        <v>42</v>
      </c>
      <c r="C517" t="s">
        <v>72</v>
      </c>
      <c r="D517" t="s">
        <v>79</v>
      </c>
      <c r="E517" t="s">
        <v>80</v>
      </c>
      <c r="F517" t="s">
        <v>82</v>
      </c>
      <c r="G517" t="s">
        <v>35</v>
      </c>
      <c r="H517" t="s">
        <v>36</v>
      </c>
      <c r="I517">
        <v>150</v>
      </c>
    </row>
    <row r="518" spans="1:9" ht="14.5" x14ac:dyDescent="0.35">
      <c r="A518">
        <v>2</v>
      </c>
      <c r="B518" t="s">
        <v>43</v>
      </c>
      <c r="C518" t="s">
        <v>59</v>
      </c>
      <c r="D518" t="s">
        <v>60</v>
      </c>
      <c r="E518" t="s">
        <v>61</v>
      </c>
      <c r="F518" t="s">
        <v>64</v>
      </c>
      <c r="G518" t="s">
        <v>52</v>
      </c>
      <c r="H518" t="s">
        <v>36</v>
      </c>
      <c r="I518">
        <v>150</v>
      </c>
    </row>
    <row r="519" spans="1:9" ht="14.5" x14ac:dyDescent="0.35">
      <c r="A519">
        <v>2</v>
      </c>
      <c r="B519" t="s">
        <v>43</v>
      </c>
      <c r="C519" t="s">
        <v>59</v>
      </c>
      <c r="D519" t="s">
        <v>66</v>
      </c>
      <c r="E519" t="s">
        <v>67</v>
      </c>
      <c r="F519" t="s">
        <v>71</v>
      </c>
      <c r="G519" t="s">
        <v>35</v>
      </c>
      <c r="H519" t="s">
        <v>36</v>
      </c>
      <c r="I519">
        <v>150</v>
      </c>
    </row>
    <row r="520" spans="1:9" ht="14.5" x14ac:dyDescent="0.35">
      <c r="A520">
        <v>2</v>
      </c>
      <c r="B520" t="s">
        <v>43</v>
      </c>
      <c r="C520" t="s">
        <v>72</v>
      </c>
      <c r="D520" t="s">
        <v>73</v>
      </c>
      <c r="E520" t="s">
        <v>74</v>
      </c>
      <c r="F520" t="s">
        <v>75</v>
      </c>
      <c r="G520" t="s">
        <v>35</v>
      </c>
      <c r="H520" t="s">
        <v>36</v>
      </c>
      <c r="I520">
        <v>150</v>
      </c>
    </row>
    <row r="521" spans="1:9" ht="14.5" x14ac:dyDescent="0.35">
      <c r="A521">
        <v>2</v>
      </c>
      <c r="B521" t="s">
        <v>43</v>
      </c>
      <c r="C521" t="s">
        <v>72</v>
      </c>
      <c r="D521" t="s">
        <v>73</v>
      </c>
      <c r="E521" t="s">
        <v>74</v>
      </c>
      <c r="F521" t="s">
        <v>77</v>
      </c>
      <c r="G521" t="s">
        <v>35</v>
      </c>
      <c r="H521" t="s">
        <v>36</v>
      </c>
      <c r="I521">
        <v>150</v>
      </c>
    </row>
    <row r="522" spans="1:9" ht="14.5" x14ac:dyDescent="0.35">
      <c r="A522">
        <v>2</v>
      </c>
      <c r="B522" t="s">
        <v>44</v>
      </c>
      <c r="C522" t="s">
        <v>85</v>
      </c>
      <c r="D522" t="s">
        <v>92</v>
      </c>
      <c r="E522" t="s">
        <v>93</v>
      </c>
      <c r="F522" t="s">
        <v>97</v>
      </c>
      <c r="G522" t="s">
        <v>35</v>
      </c>
      <c r="H522" t="s">
        <v>36</v>
      </c>
      <c r="I522">
        <v>150</v>
      </c>
    </row>
    <row r="523" spans="1:9" ht="14.5" x14ac:dyDescent="0.35">
      <c r="A523">
        <v>2</v>
      </c>
      <c r="B523" t="s">
        <v>44</v>
      </c>
      <c r="C523" t="s">
        <v>59</v>
      </c>
      <c r="D523" t="s">
        <v>66</v>
      </c>
      <c r="E523" t="s">
        <v>67</v>
      </c>
      <c r="F523" t="s">
        <v>70</v>
      </c>
      <c r="G523" t="s">
        <v>52</v>
      </c>
      <c r="H523" t="s">
        <v>36</v>
      </c>
      <c r="I523">
        <v>150</v>
      </c>
    </row>
    <row r="524" spans="1:9" ht="14.5" x14ac:dyDescent="0.35">
      <c r="A524">
        <v>2</v>
      </c>
      <c r="B524" t="s">
        <v>45</v>
      </c>
      <c r="C524" t="s">
        <v>85</v>
      </c>
      <c r="D524" t="s">
        <v>86</v>
      </c>
      <c r="E524" t="s">
        <v>87</v>
      </c>
      <c r="F524" t="s">
        <v>91</v>
      </c>
      <c r="G524" t="s">
        <v>52</v>
      </c>
      <c r="H524" t="s">
        <v>36</v>
      </c>
      <c r="I524">
        <v>150</v>
      </c>
    </row>
    <row r="525" spans="1:9" ht="14.5" x14ac:dyDescent="0.35">
      <c r="A525">
        <v>2</v>
      </c>
      <c r="B525" t="s">
        <v>45</v>
      </c>
      <c r="C525" t="s">
        <v>72</v>
      </c>
      <c r="D525" t="s">
        <v>73</v>
      </c>
      <c r="E525" t="s">
        <v>74</v>
      </c>
      <c r="F525" t="s">
        <v>78</v>
      </c>
      <c r="G525" t="s">
        <v>52</v>
      </c>
      <c r="H525" t="s">
        <v>36</v>
      </c>
      <c r="I525">
        <v>150</v>
      </c>
    </row>
    <row r="526" spans="1:9" ht="14.5" x14ac:dyDescent="0.35">
      <c r="A526">
        <v>3</v>
      </c>
      <c r="B526" t="s">
        <v>46</v>
      </c>
      <c r="C526" t="s">
        <v>85</v>
      </c>
      <c r="D526" t="s">
        <v>92</v>
      </c>
      <c r="E526" t="s">
        <v>93</v>
      </c>
      <c r="F526" t="s">
        <v>96</v>
      </c>
      <c r="G526" t="s">
        <v>52</v>
      </c>
      <c r="H526" t="s">
        <v>36</v>
      </c>
      <c r="I526">
        <v>150</v>
      </c>
    </row>
    <row r="527" spans="1:9" ht="14.5" x14ac:dyDescent="0.35">
      <c r="A527">
        <v>3</v>
      </c>
      <c r="B527" t="s">
        <v>46</v>
      </c>
      <c r="C527" t="s">
        <v>72</v>
      </c>
      <c r="D527" t="s">
        <v>73</v>
      </c>
      <c r="E527" t="s">
        <v>74</v>
      </c>
      <c r="F527" t="s">
        <v>76</v>
      </c>
      <c r="G527" t="s">
        <v>52</v>
      </c>
      <c r="H527" t="s">
        <v>36</v>
      </c>
      <c r="I527">
        <v>150</v>
      </c>
    </row>
    <row r="528" spans="1:9" ht="14.5" x14ac:dyDescent="0.35">
      <c r="A528">
        <v>3</v>
      </c>
      <c r="B528" t="s">
        <v>47</v>
      </c>
      <c r="C528" t="s">
        <v>85</v>
      </c>
      <c r="D528" t="s">
        <v>92</v>
      </c>
      <c r="E528" t="s">
        <v>93</v>
      </c>
      <c r="F528" t="s">
        <v>94</v>
      </c>
      <c r="G528" t="s">
        <v>35</v>
      </c>
      <c r="H528" t="s">
        <v>36</v>
      </c>
      <c r="I528">
        <v>150</v>
      </c>
    </row>
    <row r="529" spans="1:9" ht="14.5" x14ac:dyDescent="0.35">
      <c r="A529">
        <v>3</v>
      </c>
      <c r="B529" t="s">
        <v>47</v>
      </c>
      <c r="C529" t="s">
        <v>59</v>
      </c>
      <c r="D529" t="s">
        <v>60</v>
      </c>
      <c r="E529" t="s">
        <v>61</v>
      </c>
      <c r="F529" t="s">
        <v>62</v>
      </c>
      <c r="G529" t="s">
        <v>35</v>
      </c>
      <c r="H529" t="s">
        <v>36</v>
      </c>
      <c r="I529">
        <v>150</v>
      </c>
    </row>
    <row r="530" spans="1:9" ht="14.5" x14ac:dyDescent="0.35">
      <c r="A530">
        <v>3</v>
      </c>
      <c r="B530" t="s">
        <v>47</v>
      </c>
      <c r="C530" t="s">
        <v>59</v>
      </c>
      <c r="D530" t="s">
        <v>66</v>
      </c>
      <c r="E530" t="s">
        <v>67</v>
      </c>
      <c r="F530" t="s">
        <v>69</v>
      </c>
      <c r="G530" t="s">
        <v>52</v>
      </c>
      <c r="H530" t="s">
        <v>36</v>
      </c>
      <c r="I530">
        <v>150</v>
      </c>
    </row>
    <row r="531" spans="1:9" ht="14.5" x14ac:dyDescent="0.35">
      <c r="A531">
        <v>3</v>
      </c>
      <c r="B531" t="s">
        <v>48</v>
      </c>
      <c r="C531" t="s">
        <v>59</v>
      </c>
      <c r="D531" t="s">
        <v>60</v>
      </c>
      <c r="E531" t="s">
        <v>61</v>
      </c>
      <c r="F531" t="s">
        <v>62</v>
      </c>
      <c r="G531" t="s">
        <v>52</v>
      </c>
      <c r="H531" t="s">
        <v>36</v>
      </c>
      <c r="I531">
        <v>150</v>
      </c>
    </row>
    <row r="532" spans="1:9" ht="14.5" x14ac:dyDescent="0.35">
      <c r="A532">
        <v>3</v>
      </c>
      <c r="B532" t="s">
        <v>48</v>
      </c>
      <c r="C532" t="s">
        <v>72</v>
      </c>
      <c r="D532" t="s">
        <v>79</v>
      </c>
      <c r="E532" t="s">
        <v>80</v>
      </c>
      <c r="F532" t="s">
        <v>83</v>
      </c>
      <c r="G532" t="s">
        <v>35</v>
      </c>
      <c r="H532" t="s">
        <v>36</v>
      </c>
      <c r="I532">
        <v>150</v>
      </c>
    </row>
    <row r="533" spans="1:9" ht="14.5" x14ac:dyDescent="0.35">
      <c r="A533">
        <v>4</v>
      </c>
      <c r="B533" t="s">
        <v>49</v>
      </c>
      <c r="C533" t="s">
        <v>31</v>
      </c>
      <c r="D533" t="s">
        <v>32</v>
      </c>
      <c r="E533" t="s">
        <v>33</v>
      </c>
      <c r="F533" t="s">
        <v>40</v>
      </c>
      <c r="G533" t="s">
        <v>35</v>
      </c>
      <c r="H533" t="s">
        <v>36</v>
      </c>
      <c r="I533">
        <v>150</v>
      </c>
    </row>
    <row r="534" spans="1:9" ht="14.5" x14ac:dyDescent="0.35">
      <c r="A534">
        <v>4</v>
      </c>
      <c r="B534" t="s">
        <v>49</v>
      </c>
      <c r="C534" t="s">
        <v>31</v>
      </c>
      <c r="D534" t="s">
        <v>32</v>
      </c>
      <c r="E534" t="s">
        <v>33</v>
      </c>
      <c r="F534" t="s">
        <v>40</v>
      </c>
      <c r="G534" t="s">
        <v>52</v>
      </c>
      <c r="H534" t="s">
        <v>36</v>
      </c>
      <c r="I534">
        <v>150</v>
      </c>
    </row>
    <row r="535" spans="1:9" ht="14.5" x14ac:dyDescent="0.35">
      <c r="A535">
        <v>4</v>
      </c>
      <c r="B535" t="s">
        <v>49</v>
      </c>
      <c r="C535" t="s">
        <v>85</v>
      </c>
      <c r="D535" t="s">
        <v>86</v>
      </c>
      <c r="E535" t="s">
        <v>87</v>
      </c>
      <c r="F535" t="s">
        <v>91</v>
      </c>
      <c r="G535" t="s">
        <v>35</v>
      </c>
      <c r="H535" t="s">
        <v>36</v>
      </c>
      <c r="I535">
        <v>150</v>
      </c>
    </row>
    <row r="536" spans="1:9" ht="14.5" x14ac:dyDescent="0.35">
      <c r="A536">
        <v>4</v>
      </c>
      <c r="B536" t="s">
        <v>49</v>
      </c>
      <c r="C536" t="s">
        <v>85</v>
      </c>
      <c r="D536" t="s">
        <v>92</v>
      </c>
      <c r="E536" t="s">
        <v>93</v>
      </c>
      <c r="F536" t="s">
        <v>95</v>
      </c>
      <c r="G536" t="s">
        <v>52</v>
      </c>
      <c r="H536" t="s">
        <v>36</v>
      </c>
      <c r="I536">
        <v>150</v>
      </c>
    </row>
    <row r="537" spans="1:9" ht="14.5" x14ac:dyDescent="0.35">
      <c r="A537">
        <v>4</v>
      </c>
      <c r="B537" t="s">
        <v>49</v>
      </c>
      <c r="C537" t="s">
        <v>59</v>
      </c>
      <c r="D537" t="s">
        <v>66</v>
      </c>
      <c r="E537" t="s">
        <v>67</v>
      </c>
      <c r="F537" t="s">
        <v>70</v>
      </c>
      <c r="G537" t="s">
        <v>52</v>
      </c>
      <c r="H537" t="s">
        <v>36</v>
      </c>
      <c r="I537">
        <v>150</v>
      </c>
    </row>
    <row r="538" spans="1:9" ht="14.5" x14ac:dyDescent="0.35">
      <c r="A538">
        <v>4</v>
      </c>
      <c r="B538" t="s">
        <v>49</v>
      </c>
      <c r="C538" t="s">
        <v>72</v>
      </c>
      <c r="D538" t="s">
        <v>79</v>
      </c>
      <c r="E538" t="s">
        <v>80</v>
      </c>
      <c r="F538" t="s">
        <v>81</v>
      </c>
      <c r="G538" t="s">
        <v>35</v>
      </c>
      <c r="H538" t="s">
        <v>36</v>
      </c>
      <c r="I538">
        <v>150</v>
      </c>
    </row>
    <row r="539" spans="1:9" ht="14.5" x14ac:dyDescent="0.35">
      <c r="A539">
        <v>4</v>
      </c>
      <c r="B539" t="s">
        <v>50</v>
      </c>
      <c r="C539" t="s">
        <v>31</v>
      </c>
      <c r="D539" t="s">
        <v>53</v>
      </c>
      <c r="E539" t="s">
        <v>54</v>
      </c>
      <c r="F539" t="s">
        <v>56</v>
      </c>
      <c r="G539" t="s">
        <v>35</v>
      </c>
      <c r="H539" t="s">
        <v>36</v>
      </c>
      <c r="I539">
        <v>150</v>
      </c>
    </row>
    <row r="540" spans="1:9" ht="14.5" x14ac:dyDescent="0.35">
      <c r="A540">
        <v>4</v>
      </c>
      <c r="B540" t="s">
        <v>50</v>
      </c>
      <c r="C540" t="s">
        <v>85</v>
      </c>
      <c r="D540" t="s">
        <v>86</v>
      </c>
      <c r="E540" t="s">
        <v>87</v>
      </c>
      <c r="F540" t="s">
        <v>88</v>
      </c>
      <c r="G540" t="s">
        <v>35</v>
      </c>
      <c r="H540" t="s">
        <v>36</v>
      </c>
      <c r="I540">
        <v>150</v>
      </c>
    </row>
    <row r="541" spans="1:9" ht="14.5" x14ac:dyDescent="0.35">
      <c r="A541">
        <v>4</v>
      </c>
      <c r="B541" t="s">
        <v>50</v>
      </c>
      <c r="C541" t="s">
        <v>85</v>
      </c>
      <c r="D541" t="s">
        <v>86</v>
      </c>
      <c r="E541" t="s">
        <v>87</v>
      </c>
      <c r="F541" t="s">
        <v>89</v>
      </c>
      <c r="G541" t="s">
        <v>52</v>
      </c>
      <c r="H541" t="s">
        <v>36</v>
      </c>
      <c r="I541">
        <v>150</v>
      </c>
    </row>
    <row r="542" spans="1:9" ht="14.5" x14ac:dyDescent="0.35">
      <c r="A542">
        <v>4</v>
      </c>
      <c r="B542" t="s">
        <v>50</v>
      </c>
      <c r="C542" t="s">
        <v>85</v>
      </c>
      <c r="D542" t="s">
        <v>86</v>
      </c>
      <c r="E542" t="s">
        <v>87</v>
      </c>
      <c r="F542" t="s">
        <v>91</v>
      </c>
      <c r="G542" t="s">
        <v>52</v>
      </c>
      <c r="H542" t="s">
        <v>36</v>
      </c>
      <c r="I542">
        <v>150</v>
      </c>
    </row>
    <row r="543" spans="1:9" ht="14.5" x14ac:dyDescent="0.35">
      <c r="A543">
        <v>4</v>
      </c>
      <c r="B543" t="s">
        <v>50</v>
      </c>
      <c r="C543" t="s">
        <v>72</v>
      </c>
      <c r="D543" t="s">
        <v>73</v>
      </c>
      <c r="E543" t="s">
        <v>74</v>
      </c>
      <c r="F543" t="s">
        <v>77</v>
      </c>
      <c r="G543" t="s">
        <v>35</v>
      </c>
      <c r="H543" t="s">
        <v>36</v>
      </c>
      <c r="I543">
        <v>150</v>
      </c>
    </row>
    <row r="544" spans="1:9" ht="14.5" x14ac:dyDescent="0.35">
      <c r="A544">
        <v>4</v>
      </c>
      <c r="B544" t="s">
        <v>50</v>
      </c>
      <c r="C544" t="s">
        <v>72</v>
      </c>
      <c r="D544" t="s">
        <v>73</v>
      </c>
      <c r="E544" t="s">
        <v>74</v>
      </c>
      <c r="F544" t="s">
        <v>77</v>
      </c>
      <c r="G544" t="s">
        <v>52</v>
      </c>
      <c r="H544" t="s">
        <v>36</v>
      </c>
      <c r="I544">
        <v>150</v>
      </c>
    </row>
    <row r="545" spans="1:9" ht="14.5" x14ac:dyDescent="0.35">
      <c r="A545">
        <v>4</v>
      </c>
      <c r="B545" t="s">
        <v>50</v>
      </c>
      <c r="C545" t="s">
        <v>72</v>
      </c>
      <c r="D545" t="s">
        <v>79</v>
      </c>
      <c r="E545" t="s">
        <v>80</v>
      </c>
      <c r="F545" t="s">
        <v>82</v>
      </c>
      <c r="G545" t="s">
        <v>35</v>
      </c>
      <c r="H545" t="s">
        <v>36</v>
      </c>
      <c r="I545">
        <v>150</v>
      </c>
    </row>
    <row r="546" spans="1:9" ht="14.5" x14ac:dyDescent="0.35">
      <c r="A546">
        <v>4</v>
      </c>
      <c r="B546" t="s">
        <v>51</v>
      </c>
      <c r="C546" t="s">
        <v>59</v>
      </c>
      <c r="D546" t="s">
        <v>66</v>
      </c>
      <c r="E546" t="s">
        <v>67</v>
      </c>
      <c r="F546" t="s">
        <v>71</v>
      </c>
      <c r="G546" t="s">
        <v>52</v>
      </c>
      <c r="H546" t="s">
        <v>36</v>
      </c>
      <c r="I546">
        <v>150</v>
      </c>
    </row>
    <row r="547" spans="1:9" ht="14.5" x14ac:dyDescent="0.35">
      <c r="A547">
        <v>4</v>
      </c>
      <c r="B547" t="s">
        <v>51</v>
      </c>
      <c r="C547" t="s">
        <v>72</v>
      </c>
      <c r="D547" t="s">
        <v>73</v>
      </c>
      <c r="E547" t="s">
        <v>74</v>
      </c>
      <c r="F547" t="s">
        <v>76</v>
      </c>
      <c r="G547" t="s">
        <v>35</v>
      </c>
      <c r="H547" t="s">
        <v>36</v>
      </c>
      <c r="I547">
        <v>150</v>
      </c>
    </row>
    <row r="548" spans="1:9" ht="14.5" x14ac:dyDescent="0.35">
      <c r="A548">
        <v>1</v>
      </c>
      <c r="B548" t="s">
        <v>30</v>
      </c>
      <c r="C548" t="s">
        <v>31</v>
      </c>
      <c r="D548" t="s">
        <v>53</v>
      </c>
      <c r="E548" t="s">
        <v>54</v>
      </c>
      <c r="F548" t="s">
        <v>58</v>
      </c>
      <c r="G548" t="s">
        <v>35</v>
      </c>
      <c r="H548" t="s">
        <v>36</v>
      </c>
      <c r="I548">
        <v>160</v>
      </c>
    </row>
    <row r="549" spans="1:9" ht="14.5" x14ac:dyDescent="0.35">
      <c r="A549">
        <v>1</v>
      </c>
      <c r="B549" t="s">
        <v>30</v>
      </c>
      <c r="C549" t="s">
        <v>59</v>
      </c>
      <c r="D549" t="s">
        <v>60</v>
      </c>
      <c r="E549" t="s">
        <v>61</v>
      </c>
      <c r="F549" t="s">
        <v>63</v>
      </c>
      <c r="G549" t="s">
        <v>35</v>
      </c>
      <c r="H549" t="s">
        <v>36</v>
      </c>
      <c r="I549">
        <v>160</v>
      </c>
    </row>
    <row r="550" spans="1:9" ht="14.5" x14ac:dyDescent="0.35">
      <c r="A550">
        <v>1</v>
      </c>
      <c r="B550" t="s">
        <v>30</v>
      </c>
      <c r="C550" t="s">
        <v>59</v>
      </c>
      <c r="D550" t="s">
        <v>66</v>
      </c>
      <c r="E550" t="s">
        <v>67</v>
      </c>
      <c r="F550" t="s">
        <v>68</v>
      </c>
      <c r="G550" t="s">
        <v>52</v>
      </c>
      <c r="H550" t="s">
        <v>36</v>
      </c>
      <c r="I550">
        <v>160</v>
      </c>
    </row>
    <row r="551" spans="1:9" ht="14.5" x14ac:dyDescent="0.35">
      <c r="A551">
        <v>1</v>
      </c>
      <c r="B551" t="s">
        <v>41</v>
      </c>
      <c r="C551" t="s">
        <v>31</v>
      </c>
      <c r="D551" t="s">
        <v>53</v>
      </c>
      <c r="E551" t="s">
        <v>54</v>
      </c>
      <c r="F551" t="s">
        <v>56</v>
      </c>
      <c r="G551" t="s">
        <v>35</v>
      </c>
      <c r="H551" t="s">
        <v>36</v>
      </c>
      <c r="I551">
        <v>160</v>
      </c>
    </row>
    <row r="552" spans="1:9" ht="14.5" x14ac:dyDescent="0.35">
      <c r="A552">
        <v>1</v>
      </c>
      <c r="B552" t="s">
        <v>41</v>
      </c>
      <c r="C552" t="s">
        <v>85</v>
      </c>
      <c r="D552" t="s">
        <v>86</v>
      </c>
      <c r="E552" t="s">
        <v>87</v>
      </c>
      <c r="F552" t="s">
        <v>91</v>
      </c>
      <c r="G552" t="s">
        <v>35</v>
      </c>
      <c r="H552" t="s">
        <v>36</v>
      </c>
      <c r="I552">
        <v>160</v>
      </c>
    </row>
    <row r="553" spans="1:9" ht="14.5" x14ac:dyDescent="0.35">
      <c r="A553">
        <v>1</v>
      </c>
      <c r="B553" t="s">
        <v>41</v>
      </c>
      <c r="C553" t="s">
        <v>72</v>
      </c>
      <c r="D553" t="s">
        <v>73</v>
      </c>
      <c r="E553" t="s">
        <v>74</v>
      </c>
      <c r="F553" t="s">
        <v>75</v>
      </c>
      <c r="G553" t="s">
        <v>52</v>
      </c>
      <c r="H553" t="s">
        <v>36</v>
      </c>
      <c r="I553">
        <v>160</v>
      </c>
    </row>
    <row r="554" spans="1:9" ht="14.5" x14ac:dyDescent="0.35">
      <c r="A554">
        <v>1</v>
      </c>
      <c r="B554" t="s">
        <v>41</v>
      </c>
      <c r="C554" t="s">
        <v>72</v>
      </c>
      <c r="D554" t="s">
        <v>73</v>
      </c>
      <c r="E554" t="s">
        <v>74</v>
      </c>
      <c r="F554" t="s">
        <v>77</v>
      </c>
      <c r="G554" t="s">
        <v>35</v>
      </c>
      <c r="H554" t="s">
        <v>36</v>
      </c>
      <c r="I554">
        <v>160</v>
      </c>
    </row>
    <row r="555" spans="1:9" ht="14.5" x14ac:dyDescent="0.35">
      <c r="A555">
        <v>1</v>
      </c>
      <c r="B555" t="s">
        <v>42</v>
      </c>
      <c r="C555" t="s">
        <v>31</v>
      </c>
      <c r="D555" t="s">
        <v>32</v>
      </c>
      <c r="E555" t="s">
        <v>33</v>
      </c>
      <c r="F555" t="s">
        <v>39</v>
      </c>
      <c r="G555" t="s">
        <v>52</v>
      </c>
      <c r="H555" t="s">
        <v>36</v>
      </c>
      <c r="I555">
        <v>160</v>
      </c>
    </row>
    <row r="556" spans="1:9" ht="14.5" x14ac:dyDescent="0.35">
      <c r="A556">
        <v>1</v>
      </c>
      <c r="B556" t="s">
        <v>42</v>
      </c>
      <c r="C556" t="s">
        <v>85</v>
      </c>
      <c r="D556" t="s">
        <v>86</v>
      </c>
      <c r="E556" t="s">
        <v>87</v>
      </c>
      <c r="F556" t="s">
        <v>90</v>
      </c>
      <c r="G556" t="s">
        <v>52</v>
      </c>
      <c r="H556" t="s">
        <v>36</v>
      </c>
      <c r="I556">
        <v>160</v>
      </c>
    </row>
    <row r="557" spans="1:9" ht="14.5" x14ac:dyDescent="0.35">
      <c r="A557">
        <v>1</v>
      </c>
      <c r="B557" t="s">
        <v>42</v>
      </c>
      <c r="C557" t="s">
        <v>85</v>
      </c>
      <c r="D557" t="s">
        <v>92</v>
      </c>
      <c r="E557" t="s">
        <v>93</v>
      </c>
      <c r="F557" t="s">
        <v>95</v>
      </c>
      <c r="G557" t="s">
        <v>35</v>
      </c>
      <c r="H557" t="s">
        <v>36</v>
      </c>
      <c r="I557">
        <v>160</v>
      </c>
    </row>
    <row r="558" spans="1:9" ht="14.5" x14ac:dyDescent="0.35">
      <c r="A558">
        <v>1</v>
      </c>
      <c r="B558" t="s">
        <v>42</v>
      </c>
      <c r="C558" t="s">
        <v>85</v>
      </c>
      <c r="D558" t="s">
        <v>92</v>
      </c>
      <c r="E558" t="s">
        <v>93</v>
      </c>
      <c r="F558" t="s">
        <v>95</v>
      </c>
      <c r="G558" t="s">
        <v>52</v>
      </c>
      <c r="H558" t="s">
        <v>36</v>
      </c>
      <c r="I558">
        <v>160</v>
      </c>
    </row>
    <row r="559" spans="1:9" ht="14.5" x14ac:dyDescent="0.35">
      <c r="A559">
        <v>1</v>
      </c>
      <c r="B559" t="s">
        <v>42</v>
      </c>
      <c r="C559" t="s">
        <v>59</v>
      </c>
      <c r="D559" t="s">
        <v>66</v>
      </c>
      <c r="E559" t="s">
        <v>67</v>
      </c>
      <c r="F559" t="s">
        <v>70</v>
      </c>
      <c r="G559" t="s">
        <v>35</v>
      </c>
      <c r="H559" t="s">
        <v>36</v>
      </c>
      <c r="I559">
        <v>160</v>
      </c>
    </row>
    <row r="560" spans="1:9" ht="14.5" x14ac:dyDescent="0.35">
      <c r="A560">
        <v>1</v>
      </c>
      <c r="B560" t="s">
        <v>42</v>
      </c>
      <c r="C560" t="s">
        <v>72</v>
      </c>
      <c r="D560" t="s">
        <v>73</v>
      </c>
      <c r="E560" t="s">
        <v>74</v>
      </c>
      <c r="F560" t="s">
        <v>75</v>
      </c>
      <c r="G560" t="s">
        <v>52</v>
      </c>
      <c r="H560" t="s">
        <v>36</v>
      </c>
      <c r="I560">
        <v>160</v>
      </c>
    </row>
    <row r="561" spans="1:9" ht="14.5" x14ac:dyDescent="0.35">
      <c r="A561">
        <v>2</v>
      </c>
      <c r="B561" t="s">
        <v>43</v>
      </c>
      <c r="C561" t="s">
        <v>85</v>
      </c>
      <c r="D561" t="s">
        <v>86</v>
      </c>
      <c r="E561" t="s">
        <v>87</v>
      </c>
      <c r="F561" t="s">
        <v>89</v>
      </c>
      <c r="G561" t="s">
        <v>52</v>
      </c>
      <c r="H561" t="s">
        <v>36</v>
      </c>
      <c r="I561">
        <v>160</v>
      </c>
    </row>
    <row r="562" spans="1:9" ht="14.5" x14ac:dyDescent="0.35">
      <c r="A562">
        <v>2</v>
      </c>
      <c r="B562" t="s">
        <v>43</v>
      </c>
      <c r="C562" t="s">
        <v>59</v>
      </c>
      <c r="D562" t="s">
        <v>66</v>
      </c>
      <c r="E562" t="s">
        <v>67</v>
      </c>
      <c r="F562" t="s">
        <v>69</v>
      </c>
      <c r="G562" t="s">
        <v>52</v>
      </c>
      <c r="H562" t="s">
        <v>36</v>
      </c>
      <c r="I562">
        <v>160</v>
      </c>
    </row>
    <row r="563" spans="1:9" ht="14.5" x14ac:dyDescent="0.35">
      <c r="A563">
        <v>2</v>
      </c>
      <c r="B563" t="s">
        <v>43</v>
      </c>
      <c r="C563" t="s">
        <v>72</v>
      </c>
      <c r="D563" t="s">
        <v>73</v>
      </c>
      <c r="E563" t="s">
        <v>74</v>
      </c>
      <c r="F563" t="s">
        <v>78</v>
      </c>
      <c r="G563" t="s">
        <v>52</v>
      </c>
      <c r="H563" t="s">
        <v>36</v>
      </c>
      <c r="I563">
        <v>160</v>
      </c>
    </row>
    <row r="564" spans="1:9" ht="14.5" x14ac:dyDescent="0.35">
      <c r="A564">
        <v>2</v>
      </c>
      <c r="B564" t="s">
        <v>43</v>
      </c>
      <c r="C564" t="s">
        <v>72</v>
      </c>
      <c r="D564" t="s">
        <v>79</v>
      </c>
      <c r="E564" t="s">
        <v>80</v>
      </c>
      <c r="F564" t="s">
        <v>84</v>
      </c>
      <c r="G564" t="s">
        <v>52</v>
      </c>
      <c r="H564" t="s">
        <v>36</v>
      </c>
      <c r="I564">
        <v>160</v>
      </c>
    </row>
    <row r="565" spans="1:9" ht="14.5" x14ac:dyDescent="0.35">
      <c r="A565">
        <v>2</v>
      </c>
      <c r="B565" t="s">
        <v>44</v>
      </c>
      <c r="C565" t="s">
        <v>85</v>
      </c>
      <c r="D565" t="s">
        <v>92</v>
      </c>
      <c r="E565" t="s">
        <v>93</v>
      </c>
      <c r="F565" t="s">
        <v>96</v>
      </c>
      <c r="G565" t="s">
        <v>35</v>
      </c>
      <c r="H565" t="s">
        <v>36</v>
      </c>
      <c r="I565">
        <v>160</v>
      </c>
    </row>
    <row r="566" spans="1:9" ht="14.5" x14ac:dyDescent="0.35">
      <c r="A566">
        <v>2</v>
      </c>
      <c r="B566" t="s">
        <v>44</v>
      </c>
      <c r="C566" t="s">
        <v>59</v>
      </c>
      <c r="D566" t="s">
        <v>60</v>
      </c>
      <c r="E566" t="s">
        <v>61</v>
      </c>
      <c r="F566" t="s">
        <v>65</v>
      </c>
      <c r="G566" t="s">
        <v>35</v>
      </c>
      <c r="H566" t="s">
        <v>36</v>
      </c>
      <c r="I566">
        <v>160</v>
      </c>
    </row>
    <row r="567" spans="1:9" ht="14.5" x14ac:dyDescent="0.35">
      <c r="A567">
        <v>2</v>
      </c>
      <c r="B567" t="s">
        <v>44</v>
      </c>
      <c r="C567" t="s">
        <v>72</v>
      </c>
      <c r="D567" t="s">
        <v>79</v>
      </c>
      <c r="E567" t="s">
        <v>80</v>
      </c>
      <c r="F567" t="s">
        <v>83</v>
      </c>
      <c r="G567" t="s">
        <v>52</v>
      </c>
      <c r="H567" t="s">
        <v>36</v>
      </c>
      <c r="I567">
        <v>160</v>
      </c>
    </row>
    <row r="568" spans="1:9" ht="14.5" x14ac:dyDescent="0.35">
      <c r="A568">
        <v>2</v>
      </c>
      <c r="B568" t="s">
        <v>45</v>
      </c>
      <c r="C568" t="s">
        <v>31</v>
      </c>
      <c r="D568" t="s">
        <v>32</v>
      </c>
      <c r="E568" t="s">
        <v>33</v>
      </c>
      <c r="F568" t="s">
        <v>37</v>
      </c>
      <c r="G568" t="s">
        <v>35</v>
      </c>
      <c r="H568" t="s">
        <v>36</v>
      </c>
      <c r="I568">
        <v>160</v>
      </c>
    </row>
    <row r="569" spans="1:9" ht="14.5" x14ac:dyDescent="0.35">
      <c r="A569">
        <v>2</v>
      </c>
      <c r="B569" t="s">
        <v>45</v>
      </c>
      <c r="C569" t="s">
        <v>31</v>
      </c>
      <c r="D569" t="s">
        <v>53</v>
      </c>
      <c r="E569" t="s">
        <v>54</v>
      </c>
      <c r="F569" t="s">
        <v>55</v>
      </c>
      <c r="G569" t="s">
        <v>52</v>
      </c>
      <c r="H569" t="s">
        <v>36</v>
      </c>
      <c r="I569">
        <v>160</v>
      </c>
    </row>
    <row r="570" spans="1:9" ht="14.5" x14ac:dyDescent="0.35">
      <c r="A570">
        <v>2</v>
      </c>
      <c r="B570" t="s">
        <v>45</v>
      </c>
      <c r="C570" t="s">
        <v>85</v>
      </c>
      <c r="D570" t="s">
        <v>92</v>
      </c>
      <c r="E570" t="s">
        <v>93</v>
      </c>
      <c r="F570" t="s">
        <v>96</v>
      </c>
      <c r="G570" t="s">
        <v>35</v>
      </c>
      <c r="H570" t="s">
        <v>36</v>
      </c>
      <c r="I570">
        <v>160</v>
      </c>
    </row>
    <row r="571" spans="1:9" ht="14.5" x14ac:dyDescent="0.35">
      <c r="A571">
        <v>2</v>
      </c>
      <c r="B571" t="s">
        <v>45</v>
      </c>
      <c r="C571" t="s">
        <v>59</v>
      </c>
      <c r="D571" t="s">
        <v>60</v>
      </c>
      <c r="E571" t="s">
        <v>61</v>
      </c>
      <c r="F571" t="s">
        <v>65</v>
      </c>
      <c r="G571" t="s">
        <v>35</v>
      </c>
      <c r="H571" t="s">
        <v>36</v>
      </c>
      <c r="I571">
        <v>160</v>
      </c>
    </row>
    <row r="572" spans="1:9" ht="14.5" x14ac:dyDescent="0.35">
      <c r="A572">
        <v>2</v>
      </c>
      <c r="B572" t="s">
        <v>45</v>
      </c>
      <c r="C572" t="s">
        <v>59</v>
      </c>
      <c r="D572" t="s">
        <v>66</v>
      </c>
      <c r="E572" t="s">
        <v>67</v>
      </c>
      <c r="F572" t="s">
        <v>68</v>
      </c>
      <c r="G572" t="s">
        <v>35</v>
      </c>
      <c r="H572" t="s">
        <v>36</v>
      </c>
      <c r="I572">
        <v>160</v>
      </c>
    </row>
    <row r="573" spans="1:9" ht="14.5" x14ac:dyDescent="0.35">
      <c r="A573">
        <v>2</v>
      </c>
      <c r="B573" t="s">
        <v>45</v>
      </c>
      <c r="C573" t="s">
        <v>59</v>
      </c>
      <c r="D573" t="s">
        <v>66</v>
      </c>
      <c r="E573" t="s">
        <v>67</v>
      </c>
      <c r="F573" t="s">
        <v>70</v>
      </c>
      <c r="G573" t="s">
        <v>35</v>
      </c>
      <c r="H573" t="s">
        <v>36</v>
      </c>
      <c r="I573">
        <v>160</v>
      </c>
    </row>
    <row r="574" spans="1:9" ht="14.5" x14ac:dyDescent="0.35">
      <c r="A574">
        <v>2</v>
      </c>
      <c r="B574" t="s">
        <v>45</v>
      </c>
      <c r="C574" t="s">
        <v>72</v>
      </c>
      <c r="D574" t="s">
        <v>79</v>
      </c>
      <c r="E574" t="s">
        <v>80</v>
      </c>
      <c r="F574" t="s">
        <v>83</v>
      </c>
      <c r="G574" t="s">
        <v>52</v>
      </c>
      <c r="H574" t="s">
        <v>36</v>
      </c>
      <c r="I574">
        <v>160</v>
      </c>
    </row>
    <row r="575" spans="1:9" ht="14.5" x14ac:dyDescent="0.35">
      <c r="A575">
        <v>3</v>
      </c>
      <c r="B575" t="s">
        <v>46</v>
      </c>
      <c r="C575" t="s">
        <v>85</v>
      </c>
      <c r="D575" t="s">
        <v>92</v>
      </c>
      <c r="E575" t="s">
        <v>93</v>
      </c>
      <c r="F575" t="s">
        <v>94</v>
      </c>
      <c r="G575" t="s">
        <v>35</v>
      </c>
      <c r="H575" t="s">
        <v>36</v>
      </c>
      <c r="I575">
        <v>160</v>
      </c>
    </row>
    <row r="576" spans="1:9" ht="14.5" x14ac:dyDescent="0.35">
      <c r="A576">
        <v>3</v>
      </c>
      <c r="B576" t="s">
        <v>46</v>
      </c>
      <c r="C576" t="s">
        <v>85</v>
      </c>
      <c r="D576" t="s">
        <v>92</v>
      </c>
      <c r="E576" t="s">
        <v>93</v>
      </c>
      <c r="F576" t="s">
        <v>94</v>
      </c>
      <c r="G576" t="s">
        <v>52</v>
      </c>
      <c r="H576" t="s">
        <v>36</v>
      </c>
      <c r="I576">
        <v>160</v>
      </c>
    </row>
    <row r="577" spans="1:9" ht="14.5" x14ac:dyDescent="0.35">
      <c r="A577">
        <v>3</v>
      </c>
      <c r="B577" t="s">
        <v>46</v>
      </c>
      <c r="C577" t="s">
        <v>85</v>
      </c>
      <c r="D577" t="s">
        <v>92</v>
      </c>
      <c r="E577" t="s">
        <v>93</v>
      </c>
      <c r="F577" t="s">
        <v>96</v>
      </c>
      <c r="G577" t="s">
        <v>35</v>
      </c>
      <c r="H577" t="s">
        <v>36</v>
      </c>
      <c r="I577">
        <v>160</v>
      </c>
    </row>
    <row r="578" spans="1:9" ht="14.5" x14ac:dyDescent="0.35">
      <c r="A578">
        <v>3</v>
      </c>
      <c r="B578" t="s">
        <v>46</v>
      </c>
      <c r="C578" t="s">
        <v>72</v>
      </c>
      <c r="D578" t="s">
        <v>73</v>
      </c>
      <c r="E578" t="s">
        <v>74</v>
      </c>
      <c r="F578" t="s">
        <v>77</v>
      </c>
      <c r="G578" t="s">
        <v>35</v>
      </c>
      <c r="H578" t="s">
        <v>36</v>
      </c>
      <c r="I578">
        <v>160</v>
      </c>
    </row>
    <row r="579" spans="1:9" ht="14.5" x14ac:dyDescent="0.35">
      <c r="A579">
        <v>3</v>
      </c>
      <c r="B579" t="s">
        <v>46</v>
      </c>
      <c r="C579" t="s">
        <v>72</v>
      </c>
      <c r="D579" t="s">
        <v>79</v>
      </c>
      <c r="E579" t="s">
        <v>80</v>
      </c>
      <c r="F579" t="s">
        <v>84</v>
      </c>
      <c r="G579" t="s">
        <v>52</v>
      </c>
      <c r="H579" t="s">
        <v>36</v>
      </c>
      <c r="I579">
        <v>160</v>
      </c>
    </row>
    <row r="580" spans="1:9" ht="14.5" x14ac:dyDescent="0.35">
      <c r="A580">
        <v>3</v>
      </c>
      <c r="B580" t="s">
        <v>47</v>
      </c>
      <c r="C580" t="s">
        <v>31</v>
      </c>
      <c r="D580" t="s">
        <v>32</v>
      </c>
      <c r="E580" t="s">
        <v>33</v>
      </c>
      <c r="F580" t="s">
        <v>37</v>
      </c>
      <c r="G580" t="s">
        <v>52</v>
      </c>
      <c r="H580" t="s">
        <v>36</v>
      </c>
      <c r="I580">
        <v>160</v>
      </c>
    </row>
    <row r="581" spans="1:9" ht="14.5" x14ac:dyDescent="0.35">
      <c r="A581">
        <v>3</v>
      </c>
      <c r="B581" t="s">
        <v>47</v>
      </c>
      <c r="C581" t="s">
        <v>31</v>
      </c>
      <c r="D581" t="s">
        <v>53</v>
      </c>
      <c r="E581" t="s">
        <v>54</v>
      </c>
      <c r="F581" t="s">
        <v>55</v>
      </c>
      <c r="G581" t="s">
        <v>52</v>
      </c>
      <c r="H581" t="s">
        <v>36</v>
      </c>
      <c r="I581">
        <v>160</v>
      </c>
    </row>
    <row r="582" spans="1:9" ht="14.5" x14ac:dyDescent="0.35">
      <c r="A582">
        <v>3</v>
      </c>
      <c r="B582" t="s">
        <v>47</v>
      </c>
      <c r="C582" t="s">
        <v>59</v>
      </c>
      <c r="D582" t="s">
        <v>60</v>
      </c>
      <c r="E582" t="s">
        <v>61</v>
      </c>
      <c r="F582" t="s">
        <v>65</v>
      </c>
      <c r="G582" t="s">
        <v>35</v>
      </c>
      <c r="H582" t="s">
        <v>36</v>
      </c>
      <c r="I582">
        <v>160</v>
      </c>
    </row>
    <row r="583" spans="1:9" ht="14.5" x14ac:dyDescent="0.35">
      <c r="A583">
        <v>3</v>
      </c>
      <c r="B583" t="s">
        <v>47</v>
      </c>
      <c r="C583" t="s">
        <v>59</v>
      </c>
      <c r="D583" t="s">
        <v>66</v>
      </c>
      <c r="E583" t="s">
        <v>67</v>
      </c>
      <c r="F583" t="s">
        <v>70</v>
      </c>
      <c r="G583" t="s">
        <v>35</v>
      </c>
      <c r="H583" t="s">
        <v>36</v>
      </c>
      <c r="I583">
        <v>160</v>
      </c>
    </row>
    <row r="584" spans="1:9" ht="14.5" x14ac:dyDescent="0.35">
      <c r="A584">
        <v>3</v>
      </c>
      <c r="B584" t="s">
        <v>47</v>
      </c>
      <c r="C584" t="s">
        <v>59</v>
      </c>
      <c r="D584" t="s">
        <v>66</v>
      </c>
      <c r="E584" t="s">
        <v>67</v>
      </c>
      <c r="F584" t="s">
        <v>70</v>
      </c>
      <c r="G584" t="s">
        <v>52</v>
      </c>
      <c r="H584" t="s">
        <v>36</v>
      </c>
      <c r="I584">
        <v>160</v>
      </c>
    </row>
    <row r="585" spans="1:9" ht="14.5" x14ac:dyDescent="0.35">
      <c r="A585">
        <v>3</v>
      </c>
      <c r="B585" t="s">
        <v>48</v>
      </c>
      <c r="C585" t="s">
        <v>31</v>
      </c>
      <c r="D585" t="s">
        <v>32</v>
      </c>
      <c r="E585" t="s">
        <v>33</v>
      </c>
      <c r="F585" t="s">
        <v>37</v>
      </c>
      <c r="G585" t="s">
        <v>35</v>
      </c>
      <c r="H585" t="s">
        <v>36</v>
      </c>
      <c r="I585">
        <v>160</v>
      </c>
    </row>
    <row r="586" spans="1:9" ht="14.5" x14ac:dyDescent="0.35">
      <c r="A586">
        <v>3</v>
      </c>
      <c r="B586" t="s">
        <v>48</v>
      </c>
      <c r="C586" t="s">
        <v>31</v>
      </c>
      <c r="D586" t="s">
        <v>32</v>
      </c>
      <c r="E586" t="s">
        <v>33</v>
      </c>
      <c r="F586" t="s">
        <v>39</v>
      </c>
      <c r="G586" t="s">
        <v>52</v>
      </c>
      <c r="H586" t="s">
        <v>36</v>
      </c>
      <c r="I586">
        <v>160</v>
      </c>
    </row>
    <row r="587" spans="1:9" ht="14.5" x14ac:dyDescent="0.35">
      <c r="A587">
        <v>3</v>
      </c>
      <c r="B587" t="s">
        <v>48</v>
      </c>
      <c r="C587" t="s">
        <v>85</v>
      </c>
      <c r="D587" t="s">
        <v>86</v>
      </c>
      <c r="E587" t="s">
        <v>87</v>
      </c>
      <c r="F587" t="s">
        <v>89</v>
      </c>
      <c r="G587" t="s">
        <v>52</v>
      </c>
      <c r="H587" t="s">
        <v>36</v>
      </c>
      <c r="I587">
        <v>160</v>
      </c>
    </row>
    <row r="588" spans="1:9" ht="14.5" x14ac:dyDescent="0.35">
      <c r="A588">
        <v>3</v>
      </c>
      <c r="B588" t="s">
        <v>48</v>
      </c>
      <c r="C588" t="s">
        <v>85</v>
      </c>
      <c r="D588" t="s">
        <v>92</v>
      </c>
      <c r="E588" t="s">
        <v>93</v>
      </c>
      <c r="F588" t="s">
        <v>95</v>
      </c>
      <c r="G588" t="s">
        <v>35</v>
      </c>
      <c r="H588" t="s">
        <v>36</v>
      </c>
      <c r="I588">
        <v>160</v>
      </c>
    </row>
    <row r="589" spans="1:9" ht="14.5" x14ac:dyDescent="0.35">
      <c r="A589">
        <v>3</v>
      </c>
      <c r="B589" t="s">
        <v>48</v>
      </c>
      <c r="C589" t="s">
        <v>59</v>
      </c>
      <c r="D589" t="s">
        <v>60</v>
      </c>
      <c r="E589" t="s">
        <v>61</v>
      </c>
      <c r="F589" t="s">
        <v>65</v>
      </c>
      <c r="G589" t="s">
        <v>52</v>
      </c>
      <c r="H589" t="s">
        <v>36</v>
      </c>
      <c r="I589">
        <v>160</v>
      </c>
    </row>
    <row r="590" spans="1:9" ht="14.5" x14ac:dyDescent="0.35">
      <c r="A590">
        <v>4</v>
      </c>
      <c r="B590" t="s">
        <v>49</v>
      </c>
      <c r="C590" t="s">
        <v>31</v>
      </c>
      <c r="D590" t="s">
        <v>53</v>
      </c>
      <c r="E590" t="s">
        <v>54</v>
      </c>
      <c r="F590" t="s">
        <v>57</v>
      </c>
      <c r="G590" t="s">
        <v>35</v>
      </c>
      <c r="H590" t="s">
        <v>36</v>
      </c>
      <c r="I590">
        <v>160</v>
      </c>
    </row>
    <row r="591" spans="1:9" ht="14.5" x14ac:dyDescent="0.35">
      <c r="A591">
        <v>4</v>
      </c>
      <c r="B591" t="s">
        <v>49</v>
      </c>
      <c r="C591" t="s">
        <v>59</v>
      </c>
      <c r="D591" t="s">
        <v>60</v>
      </c>
      <c r="E591" t="s">
        <v>61</v>
      </c>
      <c r="F591" t="s">
        <v>62</v>
      </c>
      <c r="G591" t="s">
        <v>52</v>
      </c>
      <c r="H591" t="s">
        <v>36</v>
      </c>
      <c r="I591">
        <v>160</v>
      </c>
    </row>
    <row r="592" spans="1:9" ht="14.5" x14ac:dyDescent="0.35">
      <c r="A592">
        <v>4</v>
      </c>
      <c r="B592" t="s">
        <v>49</v>
      </c>
      <c r="C592" t="s">
        <v>59</v>
      </c>
      <c r="D592" t="s">
        <v>66</v>
      </c>
      <c r="E592" t="s">
        <v>67</v>
      </c>
      <c r="F592" t="s">
        <v>68</v>
      </c>
      <c r="G592" t="s">
        <v>35</v>
      </c>
      <c r="H592" t="s">
        <v>36</v>
      </c>
      <c r="I592">
        <v>160</v>
      </c>
    </row>
    <row r="593" spans="1:9" ht="14.5" x14ac:dyDescent="0.35">
      <c r="A593">
        <v>4</v>
      </c>
      <c r="B593" t="s">
        <v>49</v>
      </c>
      <c r="C593" t="s">
        <v>72</v>
      </c>
      <c r="D593" t="s">
        <v>73</v>
      </c>
      <c r="E593" t="s">
        <v>74</v>
      </c>
      <c r="F593" t="s">
        <v>78</v>
      </c>
      <c r="G593" t="s">
        <v>52</v>
      </c>
      <c r="H593" t="s">
        <v>36</v>
      </c>
      <c r="I593">
        <v>160</v>
      </c>
    </row>
    <row r="594" spans="1:9" ht="14.5" x14ac:dyDescent="0.35">
      <c r="A594">
        <v>4</v>
      </c>
      <c r="B594" t="s">
        <v>49</v>
      </c>
      <c r="C594" t="s">
        <v>72</v>
      </c>
      <c r="D594" t="s">
        <v>79</v>
      </c>
      <c r="E594" t="s">
        <v>80</v>
      </c>
      <c r="F594" t="s">
        <v>84</v>
      </c>
      <c r="G594" t="s">
        <v>35</v>
      </c>
      <c r="H594" t="s">
        <v>36</v>
      </c>
      <c r="I594">
        <v>160</v>
      </c>
    </row>
    <row r="595" spans="1:9" ht="14.5" x14ac:dyDescent="0.35">
      <c r="A595">
        <v>4</v>
      </c>
      <c r="B595" t="s">
        <v>50</v>
      </c>
      <c r="C595" t="s">
        <v>31</v>
      </c>
      <c r="D595" t="s">
        <v>32</v>
      </c>
      <c r="E595" t="s">
        <v>33</v>
      </c>
      <c r="F595" t="s">
        <v>37</v>
      </c>
      <c r="G595" t="s">
        <v>52</v>
      </c>
      <c r="H595" t="s">
        <v>36</v>
      </c>
      <c r="I595">
        <v>160</v>
      </c>
    </row>
    <row r="596" spans="1:9" ht="14.5" x14ac:dyDescent="0.35">
      <c r="A596">
        <v>4</v>
      </c>
      <c r="B596" t="s">
        <v>50</v>
      </c>
      <c r="C596" t="s">
        <v>85</v>
      </c>
      <c r="D596" t="s">
        <v>86</v>
      </c>
      <c r="E596" t="s">
        <v>87</v>
      </c>
      <c r="F596" t="s">
        <v>90</v>
      </c>
      <c r="G596" t="s">
        <v>52</v>
      </c>
      <c r="H596" t="s">
        <v>36</v>
      </c>
      <c r="I596">
        <v>160</v>
      </c>
    </row>
    <row r="597" spans="1:9" ht="14.5" x14ac:dyDescent="0.35">
      <c r="A597">
        <v>4</v>
      </c>
      <c r="B597" t="s">
        <v>50</v>
      </c>
      <c r="C597" t="s">
        <v>85</v>
      </c>
      <c r="D597" t="s">
        <v>92</v>
      </c>
      <c r="E597" t="s">
        <v>93</v>
      </c>
      <c r="F597" t="s">
        <v>94</v>
      </c>
      <c r="G597" t="s">
        <v>52</v>
      </c>
      <c r="H597" t="s">
        <v>36</v>
      </c>
      <c r="I597">
        <v>160</v>
      </c>
    </row>
    <row r="598" spans="1:9" ht="14.5" x14ac:dyDescent="0.35">
      <c r="A598">
        <v>4</v>
      </c>
      <c r="B598" t="s">
        <v>50</v>
      </c>
      <c r="C598" t="s">
        <v>85</v>
      </c>
      <c r="D598" t="s">
        <v>92</v>
      </c>
      <c r="E598" t="s">
        <v>93</v>
      </c>
      <c r="F598" t="s">
        <v>96</v>
      </c>
      <c r="G598" t="s">
        <v>52</v>
      </c>
      <c r="H598" t="s">
        <v>36</v>
      </c>
      <c r="I598">
        <v>160</v>
      </c>
    </row>
    <row r="599" spans="1:9" ht="14.5" x14ac:dyDescent="0.35">
      <c r="A599">
        <v>4</v>
      </c>
      <c r="B599" t="s">
        <v>50</v>
      </c>
      <c r="C599" t="s">
        <v>85</v>
      </c>
      <c r="D599" t="s">
        <v>92</v>
      </c>
      <c r="E599" t="s">
        <v>93</v>
      </c>
      <c r="F599" t="s">
        <v>97</v>
      </c>
      <c r="G599" t="s">
        <v>35</v>
      </c>
      <c r="H599" t="s">
        <v>36</v>
      </c>
      <c r="I599">
        <v>160</v>
      </c>
    </row>
    <row r="600" spans="1:9" ht="14.5" x14ac:dyDescent="0.35">
      <c r="A600">
        <v>4</v>
      </c>
      <c r="B600" t="s">
        <v>50</v>
      </c>
      <c r="C600" t="s">
        <v>59</v>
      </c>
      <c r="D600" t="s">
        <v>60</v>
      </c>
      <c r="E600" t="s">
        <v>61</v>
      </c>
      <c r="F600" t="s">
        <v>62</v>
      </c>
      <c r="G600" t="s">
        <v>35</v>
      </c>
      <c r="H600" t="s">
        <v>36</v>
      </c>
      <c r="I600">
        <v>160</v>
      </c>
    </row>
    <row r="601" spans="1:9" ht="14.5" x14ac:dyDescent="0.35">
      <c r="A601">
        <v>4</v>
      </c>
      <c r="B601" t="s">
        <v>50</v>
      </c>
      <c r="C601" t="s">
        <v>59</v>
      </c>
      <c r="D601" t="s">
        <v>66</v>
      </c>
      <c r="E601" t="s">
        <v>67</v>
      </c>
      <c r="F601" t="s">
        <v>70</v>
      </c>
      <c r="G601" t="s">
        <v>52</v>
      </c>
      <c r="H601" t="s">
        <v>36</v>
      </c>
      <c r="I601">
        <v>160</v>
      </c>
    </row>
    <row r="602" spans="1:9" ht="14.5" x14ac:dyDescent="0.35">
      <c r="A602">
        <v>4</v>
      </c>
      <c r="B602" t="s">
        <v>50</v>
      </c>
      <c r="C602" t="s">
        <v>59</v>
      </c>
      <c r="D602" t="s">
        <v>66</v>
      </c>
      <c r="E602" t="s">
        <v>67</v>
      </c>
      <c r="F602" t="s">
        <v>71</v>
      </c>
      <c r="G602" t="s">
        <v>35</v>
      </c>
      <c r="H602" t="s">
        <v>36</v>
      </c>
      <c r="I602">
        <v>160</v>
      </c>
    </row>
    <row r="603" spans="1:9" ht="14.5" x14ac:dyDescent="0.35">
      <c r="A603">
        <v>4</v>
      </c>
      <c r="B603" t="s">
        <v>51</v>
      </c>
      <c r="C603" t="s">
        <v>85</v>
      </c>
      <c r="D603" t="s">
        <v>86</v>
      </c>
      <c r="E603" t="s">
        <v>87</v>
      </c>
      <c r="F603" t="s">
        <v>91</v>
      </c>
      <c r="G603" t="s">
        <v>35</v>
      </c>
      <c r="H603" t="s">
        <v>36</v>
      </c>
      <c r="I603">
        <v>160</v>
      </c>
    </row>
    <row r="604" spans="1:9" ht="14.5" x14ac:dyDescent="0.35">
      <c r="A604">
        <v>4</v>
      </c>
      <c r="B604" t="s">
        <v>51</v>
      </c>
      <c r="C604" t="s">
        <v>85</v>
      </c>
      <c r="D604" t="s">
        <v>92</v>
      </c>
      <c r="E604" t="s">
        <v>93</v>
      </c>
      <c r="F604" t="s">
        <v>95</v>
      </c>
      <c r="G604" t="s">
        <v>35</v>
      </c>
      <c r="H604" t="s">
        <v>36</v>
      </c>
      <c r="I604">
        <v>160</v>
      </c>
    </row>
    <row r="605" spans="1:9" ht="14.5" x14ac:dyDescent="0.35">
      <c r="A605">
        <v>4</v>
      </c>
      <c r="B605" t="s">
        <v>51</v>
      </c>
      <c r="C605" t="s">
        <v>72</v>
      </c>
      <c r="D605" t="s">
        <v>79</v>
      </c>
      <c r="E605" t="s">
        <v>80</v>
      </c>
      <c r="F605" t="s">
        <v>84</v>
      </c>
      <c r="G605" t="s">
        <v>52</v>
      </c>
      <c r="H605" t="s">
        <v>36</v>
      </c>
      <c r="I605">
        <v>160</v>
      </c>
    </row>
    <row r="606" spans="1:9" ht="14.5" x14ac:dyDescent="0.35">
      <c r="A606">
        <v>1</v>
      </c>
      <c r="B606" t="s">
        <v>30</v>
      </c>
      <c r="C606" t="s">
        <v>31</v>
      </c>
      <c r="D606" t="s">
        <v>53</v>
      </c>
      <c r="E606" t="s">
        <v>54</v>
      </c>
      <c r="F606" t="s">
        <v>58</v>
      </c>
      <c r="G606" t="s">
        <v>52</v>
      </c>
      <c r="H606" t="s">
        <v>36</v>
      </c>
      <c r="I606">
        <v>170</v>
      </c>
    </row>
    <row r="607" spans="1:9" ht="14.5" x14ac:dyDescent="0.35">
      <c r="A607">
        <v>1</v>
      </c>
      <c r="B607" t="s">
        <v>30</v>
      </c>
      <c r="C607" t="s">
        <v>85</v>
      </c>
      <c r="D607" t="s">
        <v>92</v>
      </c>
      <c r="E607" t="s">
        <v>93</v>
      </c>
      <c r="F607" t="s">
        <v>94</v>
      </c>
      <c r="G607" t="s">
        <v>52</v>
      </c>
      <c r="H607" t="s">
        <v>36</v>
      </c>
      <c r="I607">
        <v>170</v>
      </c>
    </row>
    <row r="608" spans="1:9" ht="14.5" x14ac:dyDescent="0.35">
      <c r="A608">
        <v>1</v>
      </c>
      <c r="B608" t="s">
        <v>30</v>
      </c>
      <c r="C608" t="s">
        <v>59</v>
      </c>
      <c r="D608" t="s">
        <v>60</v>
      </c>
      <c r="E608" t="s">
        <v>61</v>
      </c>
      <c r="F608" t="s">
        <v>62</v>
      </c>
      <c r="G608" t="s">
        <v>52</v>
      </c>
      <c r="H608" t="s">
        <v>36</v>
      </c>
      <c r="I608">
        <v>170</v>
      </c>
    </row>
    <row r="609" spans="1:9" ht="14.5" x14ac:dyDescent="0.35">
      <c r="A609">
        <v>1</v>
      </c>
      <c r="B609" t="s">
        <v>30</v>
      </c>
      <c r="C609" t="s">
        <v>72</v>
      </c>
      <c r="D609" t="s">
        <v>79</v>
      </c>
      <c r="E609" t="s">
        <v>80</v>
      </c>
      <c r="F609" t="s">
        <v>81</v>
      </c>
      <c r="G609" t="s">
        <v>52</v>
      </c>
      <c r="H609" t="s">
        <v>36</v>
      </c>
      <c r="I609">
        <v>170</v>
      </c>
    </row>
    <row r="610" spans="1:9" ht="14.5" x14ac:dyDescent="0.35">
      <c r="A610">
        <v>1</v>
      </c>
      <c r="B610" t="s">
        <v>41</v>
      </c>
      <c r="C610" t="s">
        <v>31</v>
      </c>
      <c r="D610" t="s">
        <v>53</v>
      </c>
      <c r="E610" t="s">
        <v>54</v>
      </c>
      <c r="F610" t="s">
        <v>58</v>
      </c>
      <c r="G610" t="s">
        <v>52</v>
      </c>
      <c r="H610" t="s">
        <v>36</v>
      </c>
      <c r="I610">
        <v>170</v>
      </c>
    </row>
    <row r="611" spans="1:9" ht="14.5" x14ac:dyDescent="0.35">
      <c r="A611">
        <v>1</v>
      </c>
      <c r="B611" t="s">
        <v>41</v>
      </c>
      <c r="C611" t="s">
        <v>85</v>
      </c>
      <c r="D611" t="s">
        <v>86</v>
      </c>
      <c r="E611" t="s">
        <v>87</v>
      </c>
      <c r="F611" t="s">
        <v>88</v>
      </c>
      <c r="G611" t="s">
        <v>35</v>
      </c>
      <c r="H611" t="s">
        <v>36</v>
      </c>
      <c r="I611">
        <v>170</v>
      </c>
    </row>
    <row r="612" spans="1:9" ht="14.5" x14ac:dyDescent="0.35">
      <c r="A612">
        <v>1</v>
      </c>
      <c r="B612" t="s">
        <v>41</v>
      </c>
      <c r="C612" t="s">
        <v>59</v>
      </c>
      <c r="D612" t="s">
        <v>60</v>
      </c>
      <c r="E612" t="s">
        <v>61</v>
      </c>
      <c r="F612" t="s">
        <v>65</v>
      </c>
      <c r="G612" t="s">
        <v>35</v>
      </c>
      <c r="H612" t="s">
        <v>36</v>
      </c>
      <c r="I612">
        <v>170</v>
      </c>
    </row>
    <row r="613" spans="1:9" ht="14.5" x14ac:dyDescent="0.35">
      <c r="A613">
        <v>1</v>
      </c>
      <c r="B613" t="s">
        <v>41</v>
      </c>
      <c r="C613" t="s">
        <v>72</v>
      </c>
      <c r="D613" t="s">
        <v>79</v>
      </c>
      <c r="E613" t="s">
        <v>80</v>
      </c>
      <c r="F613" t="s">
        <v>83</v>
      </c>
      <c r="G613" t="s">
        <v>52</v>
      </c>
      <c r="H613" t="s">
        <v>36</v>
      </c>
      <c r="I613">
        <v>170</v>
      </c>
    </row>
    <row r="614" spans="1:9" ht="14.5" x14ac:dyDescent="0.35">
      <c r="A614">
        <v>1</v>
      </c>
      <c r="B614" t="s">
        <v>42</v>
      </c>
      <c r="C614" t="s">
        <v>31</v>
      </c>
      <c r="D614" t="s">
        <v>53</v>
      </c>
      <c r="E614" t="s">
        <v>54</v>
      </c>
      <c r="F614" t="s">
        <v>58</v>
      </c>
      <c r="G614" t="s">
        <v>35</v>
      </c>
      <c r="H614" t="s">
        <v>36</v>
      </c>
      <c r="I614">
        <v>170</v>
      </c>
    </row>
    <row r="615" spans="1:9" ht="14.5" x14ac:dyDescent="0.35">
      <c r="A615">
        <v>1</v>
      </c>
      <c r="B615" t="s">
        <v>42</v>
      </c>
      <c r="C615" t="s">
        <v>85</v>
      </c>
      <c r="D615" t="s">
        <v>86</v>
      </c>
      <c r="E615" t="s">
        <v>87</v>
      </c>
      <c r="F615" t="s">
        <v>88</v>
      </c>
      <c r="G615" t="s">
        <v>35</v>
      </c>
      <c r="H615" t="s">
        <v>36</v>
      </c>
      <c r="I615">
        <v>170</v>
      </c>
    </row>
    <row r="616" spans="1:9" ht="14.5" x14ac:dyDescent="0.35">
      <c r="A616">
        <v>1</v>
      </c>
      <c r="B616" t="s">
        <v>42</v>
      </c>
      <c r="C616" t="s">
        <v>59</v>
      </c>
      <c r="D616" t="s">
        <v>60</v>
      </c>
      <c r="E616" t="s">
        <v>61</v>
      </c>
      <c r="F616" t="s">
        <v>65</v>
      </c>
      <c r="G616" t="s">
        <v>52</v>
      </c>
      <c r="H616" t="s">
        <v>36</v>
      </c>
      <c r="I616">
        <v>170</v>
      </c>
    </row>
    <row r="617" spans="1:9" ht="14.5" x14ac:dyDescent="0.35">
      <c r="A617">
        <v>1</v>
      </c>
      <c r="B617" t="s">
        <v>42</v>
      </c>
      <c r="C617" t="s">
        <v>72</v>
      </c>
      <c r="D617" t="s">
        <v>73</v>
      </c>
      <c r="E617" t="s">
        <v>74</v>
      </c>
      <c r="F617" t="s">
        <v>76</v>
      </c>
      <c r="G617" t="s">
        <v>35</v>
      </c>
      <c r="H617" t="s">
        <v>36</v>
      </c>
      <c r="I617">
        <v>170</v>
      </c>
    </row>
    <row r="618" spans="1:9" ht="14.5" x14ac:dyDescent="0.35">
      <c r="A618">
        <v>1</v>
      </c>
      <c r="B618" t="s">
        <v>42</v>
      </c>
      <c r="C618" t="s">
        <v>72</v>
      </c>
      <c r="D618" t="s">
        <v>73</v>
      </c>
      <c r="E618" t="s">
        <v>74</v>
      </c>
      <c r="F618" t="s">
        <v>78</v>
      </c>
      <c r="G618" t="s">
        <v>35</v>
      </c>
      <c r="H618" t="s">
        <v>36</v>
      </c>
      <c r="I618">
        <v>170</v>
      </c>
    </row>
    <row r="619" spans="1:9" ht="14.5" x14ac:dyDescent="0.35">
      <c r="A619">
        <v>2</v>
      </c>
      <c r="B619" t="s">
        <v>43</v>
      </c>
      <c r="C619" t="s">
        <v>31</v>
      </c>
      <c r="D619" t="s">
        <v>32</v>
      </c>
      <c r="E619" t="s">
        <v>33</v>
      </c>
      <c r="F619" t="s">
        <v>34</v>
      </c>
      <c r="G619" t="s">
        <v>52</v>
      </c>
      <c r="H619" t="s">
        <v>36</v>
      </c>
      <c r="I619">
        <v>170</v>
      </c>
    </row>
    <row r="620" spans="1:9" ht="14.5" x14ac:dyDescent="0.35">
      <c r="A620">
        <v>2</v>
      </c>
      <c r="B620" t="s">
        <v>43</v>
      </c>
      <c r="C620" t="s">
        <v>31</v>
      </c>
      <c r="D620" t="s">
        <v>53</v>
      </c>
      <c r="E620" t="s">
        <v>54</v>
      </c>
      <c r="F620" t="s">
        <v>56</v>
      </c>
      <c r="G620" t="s">
        <v>35</v>
      </c>
      <c r="H620" t="s">
        <v>36</v>
      </c>
      <c r="I620">
        <v>170</v>
      </c>
    </row>
    <row r="621" spans="1:9" ht="14.5" x14ac:dyDescent="0.35">
      <c r="A621">
        <v>2</v>
      </c>
      <c r="B621" t="s">
        <v>43</v>
      </c>
      <c r="C621" t="s">
        <v>31</v>
      </c>
      <c r="D621" t="s">
        <v>53</v>
      </c>
      <c r="E621" t="s">
        <v>54</v>
      </c>
      <c r="F621" t="s">
        <v>58</v>
      </c>
      <c r="G621" t="s">
        <v>35</v>
      </c>
      <c r="H621" t="s">
        <v>36</v>
      </c>
      <c r="I621">
        <v>170</v>
      </c>
    </row>
    <row r="622" spans="1:9" ht="14.5" x14ac:dyDescent="0.35">
      <c r="A622">
        <v>2</v>
      </c>
      <c r="B622" t="s">
        <v>43</v>
      </c>
      <c r="C622" t="s">
        <v>85</v>
      </c>
      <c r="D622" t="s">
        <v>92</v>
      </c>
      <c r="E622" t="s">
        <v>93</v>
      </c>
      <c r="F622" t="s">
        <v>94</v>
      </c>
      <c r="G622" t="s">
        <v>35</v>
      </c>
      <c r="H622" t="s">
        <v>36</v>
      </c>
      <c r="I622">
        <v>170</v>
      </c>
    </row>
    <row r="623" spans="1:9" ht="14.5" x14ac:dyDescent="0.35">
      <c r="A623">
        <v>2</v>
      </c>
      <c r="B623" t="s">
        <v>43</v>
      </c>
      <c r="C623" t="s">
        <v>59</v>
      </c>
      <c r="D623" t="s">
        <v>60</v>
      </c>
      <c r="E623" t="s">
        <v>61</v>
      </c>
      <c r="F623" t="s">
        <v>64</v>
      </c>
      <c r="G623" t="s">
        <v>35</v>
      </c>
      <c r="H623" t="s">
        <v>36</v>
      </c>
      <c r="I623">
        <v>170</v>
      </c>
    </row>
    <row r="624" spans="1:9" ht="14.5" x14ac:dyDescent="0.35">
      <c r="A624">
        <v>2</v>
      </c>
      <c r="B624" t="s">
        <v>44</v>
      </c>
      <c r="C624" t="s">
        <v>85</v>
      </c>
      <c r="D624" t="s">
        <v>86</v>
      </c>
      <c r="E624" t="s">
        <v>87</v>
      </c>
      <c r="F624" t="s">
        <v>89</v>
      </c>
      <c r="G624" t="s">
        <v>35</v>
      </c>
      <c r="H624" t="s">
        <v>36</v>
      </c>
      <c r="I624">
        <v>170</v>
      </c>
    </row>
    <row r="625" spans="1:9" ht="14.5" x14ac:dyDescent="0.35">
      <c r="A625">
        <v>2</v>
      </c>
      <c r="B625" t="s">
        <v>44</v>
      </c>
      <c r="C625" t="s">
        <v>72</v>
      </c>
      <c r="D625" t="s">
        <v>79</v>
      </c>
      <c r="E625" t="s">
        <v>80</v>
      </c>
      <c r="F625" t="s">
        <v>81</v>
      </c>
      <c r="G625" t="s">
        <v>52</v>
      </c>
      <c r="H625" t="s">
        <v>36</v>
      </c>
      <c r="I625">
        <v>170</v>
      </c>
    </row>
    <row r="626" spans="1:9" ht="14.5" x14ac:dyDescent="0.35">
      <c r="A626">
        <v>2</v>
      </c>
      <c r="B626" t="s">
        <v>45</v>
      </c>
      <c r="C626" t="s">
        <v>85</v>
      </c>
      <c r="D626" t="s">
        <v>86</v>
      </c>
      <c r="E626" t="s">
        <v>87</v>
      </c>
      <c r="F626" t="s">
        <v>88</v>
      </c>
      <c r="G626" t="s">
        <v>52</v>
      </c>
      <c r="H626" t="s">
        <v>36</v>
      </c>
      <c r="I626">
        <v>170</v>
      </c>
    </row>
    <row r="627" spans="1:9" ht="14.5" x14ac:dyDescent="0.35">
      <c r="A627">
        <v>2</v>
      </c>
      <c r="B627" t="s">
        <v>45</v>
      </c>
      <c r="C627" t="s">
        <v>59</v>
      </c>
      <c r="D627" t="s">
        <v>66</v>
      </c>
      <c r="E627" t="s">
        <v>67</v>
      </c>
      <c r="F627" t="s">
        <v>71</v>
      </c>
      <c r="G627" t="s">
        <v>35</v>
      </c>
      <c r="H627" t="s">
        <v>36</v>
      </c>
      <c r="I627">
        <v>170</v>
      </c>
    </row>
    <row r="628" spans="1:9" ht="14.5" x14ac:dyDescent="0.35">
      <c r="A628">
        <v>2</v>
      </c>
      <c r="B628" t="s">
        <v>45</v>
      </c>
      <c r="C628" t="s">
        <v>72</v>
      </c>
      <c r="D628" t="s">
        <v>79</v>
      </c>
      <c r="E628" t="s">
        <v>80</v>
      </c>
      <c r="F628" t="s">
        <v>81</v>
      </c>
      <c r="G628" t="s">
        <v>35</v>
      </c>
      <c r="H628" t="s">
        <v>36</v>
      </c>
      <c r="I628">
        <v>170</v>
      </c>
    </row>
    <row r="629" spans="1:9" ht="14.5" x14ac:dyDescent="0.35">
      <c r="A629">
        <v>2</v>
      </c>
      <c r="B629" t="s">
        <v>45</v>
      </c>
      <c r="C629" t="s">
        <v>72</v>
      </c>
      <c r="D629" t="s">
        <v>79</v>
      </c>
      <c r="E629" t="s">
        <v>80</v>
      </c>
      <c r="F629" t="s">
        <v>82</v>
      </c>
      <c r="G629" t="s">
        <v>52</v>
      </c>
      <c r="H629" t="s">
        <v>36</v>
      </c>
      <c r="I629">
        <v>170</v>
      </c>
    </row>
    <row r="630" spans="1:9" ht="14.5" x14ac:dyDescent="0.35">
      <c r="A630">
        <v>3</v>
      </c>
      <c r="B630" t="s">
        <v>46</v>
      </c>
      <c r="C630" t="s">
        <v>31</v>
      </c>
      <c r="D630" t="s">
        <v>32</v>
      </c>
      <c r="E630" t="s">
        <v>33</v>
      </c>
      <c r="F630" t="s">
        <v>37</v>
      </c>
      <c r="G630" t="s">
        <v>35</v>
      </c>
      <c r="H630" t="s">
        <v>36</v>
      </c>
      <c r="I630">
        <v>170</v>
      </c>
    </row>
    <row r="631" spans="1:9" ht="14.5" x14ac:dyDescent="0.35">
      <c r="A631">
        <v>3</v>
      </c>
      <c r="B631" t="s">
        <v>46</v>
      </c>
      <c r="C631" t="s">
        <v>31</v>
      </c>
      <c r="D631" t="s">
        <v>32</v>
      </c>
      <c r="E631" t="s">
        <v>33</v>
      </c>
      <c r="F631" t="s">
        <v>37</v>
      </c>
      <c r="G631" t="s">
        <v>52</v>
      </c>
      <c r="H631" t="s">
        <v>36</v>
      </c>
      <c r="I631">
        <v>170</v>
      </c>
    </row>
    <row r="632" spans="1:9" ht="14.5" x14ac:dyDescent="0.35">
      <c r="A632">
        <v>3</v>
      </c>
      <c r="B632" t="s">
        <v>46</v>
      </c>
      <c r="C632" t="s">
        <v>31</v>
      </c>
      <c r="D632" t="s">
        <v>32</v>
      </c>
      <c r="E632" t="s">
        <v>33</v>
      </c>
      <c r="F632" t="s">
        <v>39</v>
      </c>
      <c r="G632" t="s">
        <v>35</v>
      </c>
      <c r="H632" t="s">
        <v>36</v>
      </c>
      <c r="I632">
        <v>170</v>
      </c>
    </row>
    <row r="633" spans="1:9" ht="14.5" x14ac:dyDescent="0.35">
      <c r="A633">
        <v>3</v>
      </c>
      <c r="B633" t="s">
        <v>46</v>
      </c>
      <c r="C633" t="s">
        <v>31</v>
      </c>
      <c r="D633" t="s">
        <v>53</v>
      </c>
      <c r="E633" t="s">
        <v>54</v>
      </c>
      <c r="F633" t="s">
        <v>55</v>
      </c>
      <c r="G633" t="s">
        <v>52</v>
      </c>
      <c r="H633" t="s">
        <v>36</v>
      </c>
      <c r="I633">
        <v>170</v>
      </c>
    </row>
    <row r="634" spans="1:9" ht="14.5" x14ac:dyDescent="0.35">
      <c r="A634">
        <v>3</v>
      </c>
      <c r="B634" t="s">
        <v>46</v>
      </c>
      <c r="C634" t="s">
        <v>31</v>
      </c>
      <c r="D634" t="s">
        <v>53</v>
      </c>
      <c r="E634" t="s">
        <v>54</v>
      </c>
      <c r="F634" t="s">
        <v>58</v>
      </c>
      <c r="G634" t="s">
        <v>52</v>
      </c>
      <c r="H634" t="s">
        <v>36</v>
      </c>
      <c r="I634">
        <v>170</v>
      </c>
    </row>
    <row r="635" spans="1:9" ht="14.5" x14ac:dyDescent="0.35">
      <c r="A635">
        <v>3</v>
      </c>
      <c r="B635" t="s">
        <v>46</v>
      </c>
      <c r="C635" t="s">
        <v>85</v>
      </c>
      <c r="D635" t="s">
        <v>92</v>
      </c>
      <c r="E635" t="s">
        <v>93</v>
      </c>
      <c r="F635" t="s">
        <v>95</v>
      </c>
      <c r="G635" t="s">
        <v>35</v>
      </c>
      <c r="H635" t="s">
        <v>36</v>
      </c>
      <c r="I635">
        <v>170</v>
      </c>
    </row>
    <row r="636" spans="1:9" ht="14.5" x14ac:dyDescent="0.35">
      <c r="A636">
        <v>3</v>
      </c>
      <c r="B636" t="s">
        <v>46</v>
      </c>
      <c r="C636" t="s">
        <v>72</v>
      </c>
      <c r="D636" t="s">
        <v>73</v>
      </c>
      <c r="E636" t="s">
        <v>74</v>
      </c>
      <c r="F636" t="s">
        <v>78</v>
      </c>
      <c r="G636" t="s">
        <v>52</v>
      </c>
      <c r="H636" t="s">
        <v>36</v>
      </c>
      <c r="I636">
        <v>170</v>
      </c>
    </row>
    <row r="637" spans="1:9" ht="14.5" x14ac:dyDescent="0.35">
      <c r="A637">
        <v>3</v>
      </c>
      <c r="B637" t="s">
        <v>46</v>
      </c>
      <c r="C637" t="s">
        <v>72</v>
      </c>
      <c r="D637" t="s">
        <v>79</v>
      </c>
      <c r="E637" t="s">
        <v>80</v>
      </c>
      <c r="F637" t="s">
        <v>81</v>
      </c>
      <c r="G637" t="s">
        <v>35</v>
      </c>
      <c r="H637" t="s">
        <v>36</v>
      </c>
      <c r="I637">
        <v>170</v>
      </c>
    </row>
    <row r="638" spans="1:9" ht="14.5" x14ac:dyDescent="0.35">
      <c r="A638">
        <v>3</v>
      </c>
      <c r="B638" t="s">
        <v>47</v>
      </c>
      <c r="C638" t="s">
        <v>59</v>
      </c>
      <c r="D638" t="s">
        <v>66</v>
      </c>
      <c r="E638" t="s">
        <v>67</v>
      </c>
      <c r="F638" t="s">
        <v>68</v>
      </c>
      <c r="G638" t="s">
        <v>35</v>
      </c>
      <c r="H638" t="s">
        <v>36</v>
      </c>
      <c r="I638">
        <v>170</v>
      </c>
    </row>
    <row r="639" spans="1:9" ht="14.5" x14ac:dyDescent="0.35">
      <c r="A639">
        <v>3</v>
      </c>
      <c r="B639" t="s">
        <v>47</v>
      </c>
      <c r="C639" t="s">
        <v>59</v>
      </c>
      <c r="D639" t="s">
        <v>66</v>
      </c>
      <c r="E639" t="s">
        <v>67</v>
      </c>
      <c r="F639" t="s">
        <v>69</v>
      </c>
      <c r="G639" t="s">
        <v>35</v>
      </c>
      <c r="H639" t="s">
        <v>36</v>
      </c>
      <c r="I639">
        <v>170</v>
      </c>
    </row>
    <row r="640" spans="1:9" ht="14.5" x14ac:dyDescent="0.35">
      <c r="A640">
        <v>3</v>
      </c>
      <c r="B640" t="s">
        <v>47</v>
      </c>
      <c r="C640" t="s">
        <v>59</v>
      </c>
      <c r="D640" t="s">
        <v>66</v>
      </c>
      <c r="E640" t="s">
        <v>67</v>
      </c>
      <c r="F640" t="s">
        <v>71</v>
      </c>
      <c r="G640" t="s">
        <v>35</v>
      </c>
      <c r="H640" t="s">
        <v>36</v>
      </c>
      <c r="I640">
        <v>170</v>
      </c>
    </row>
    <row r="641" spans="1:9" ht="14.5" x14ac:dyDescent="0.35">
      <c r="A641">
        <v>3</v>
      </c>
      <c r="B641" t="s">
        <v>48</v>
      </c>
      <c r="C641" t="s">
        <v>31</v>
      </c>
      <c r="D641" t="s">
        <v>53</v>
      </c>
      <c r="E641" t="s">
        <v>54</v>
      </c>
      <c r="F641" t="s">
        <v>57</v>
      </c>
      <c r="G641" t="s">
        <v>52</v>
      </c>
      <c r="H641" t="s">
        <v>36</v>
      </c>
      <c r="I641">
        <v>170</v>
      </c>
    </row>
    <row r="642" spans="1:9" ht="14.5" x14ac:dyDescent="0.35">
      <c r="A642">
        <v>3</v>
      </c>
      <c r="B642" t="s">
        <v>48</v>
      </c>
      <c r="C642" t="s">
        <v>31</v>
      </c>
      <c r="D642" t="s">
        <v>53</v>
      </c>
      <c r="E642" t="s">
        <v>54</v>
      </c>
      <c r="F642" t="s">
        <v>58</v>
      </c>
      <c r="G642" t="s">
        <v>52</v>
      </c>
      <c r="H642" t="s">
        <v>36</v>
      </c>
      <c r="I642">
        <v>170</v>
      </c>
    </row>
    <row r="643" spans="1:9" ht="14.5" x14ac:dyDescent="0.35">
      <c r="A643">
        <v>3</v>
      </c>
      <c r="B643" t="s">
        <v>48</v>
      </c>
      <c r="C643" t="s">
        <v>85</v>
      </c>
      <c r="D643" t="s">
        <v>86</v>
      </c>
      <c r="E643" t="s">
        <v>87</v>
      </c>
      <c r="F643" t="s">
        <v>89</v>
      </c>
      <c r="G643" t="s">
        <v>35</v>
      </c>
      <c r="H643" t="s">
        <v>36</v>
      </c>
      <c r="I643">
        <v>170</v>
      </c>
    </row>
    <row r="644" spans="1:9" ht="14.5" x14ac:dyDescent="0.35">
      <c r="A644">
        <v>3</v>
      </c>
      <c r="B644" t="s">
        <v>48</v>
      </c>
      <c r="C644" t="s">
        <v>85</v>
      </c>
      <c r="D644" t="s">
        <v>92</v>
      </c>
      <c r="E644" t="s">
        <v>93</v>
      </c>
      <c r="F644" t="s">
        <v>94</v>
      </c>
      <c r="G644" t="s">
        <v>35</v>
      </c>
      <c r="H644" t="s">
        <v>36</v>
      </c>
      <c r="I644">
        <v>170</v>
      </c>
    </row>
    <row r="645" spans="1:9" ht="14.5" x14ac:dyDescent="0.35">
      <c r="A645">
        <v>3</v>
      </c>
      <c r="B645" t="s">
        <v>48</v>
      </c>
      <c r="C645" t="s">
        <v>85</v>
      </c>
      <c r="D645" t="s">
        <v>92</v>
      </c>
      <c r="E645" t="s">
        <v>93</v>
      </c>
      <c r="F645" t="s">
        <v>97</v>
      </c>
      <c r="G645" t="s">
        <v>52</v>
      </c>
      <c r="H645" t="s">
        <v>36</v>
      </c>
      <c r="I645">
        <v>170</v>
      </c>
    </row>
    <row r="646" spans="1:9" ht="14.5" x14ac:dyDescent="0.35">
      <c r="A646">
        <v>3</v>
      </c>
      <c r="B646" t="s">
        <v>48</v>
      </c>
      <c r="C646" t="s">
        <v>72</v>
      </c>
      <c r="D646" t="s">
        <v>73</v>
      </c>
      <c r="E646" t="s">
        <v>74</v>
      </c>
      <c r="F646" t="s">
        <v>75</v>
      </c>
      <c r="G646" t="s">
        <v>52</v>
      </c>
      <c r="H646" t="s">
        <v>36</v>
      </c>
      <c r="I646">
        <v>170</v>
      </c>
    </row>
    <row r="647" spans="1:9" ht="14.5" x14ac:dyDescent="0.35">
      <c r="A647">
        <v>3</v>
      </c>
      <c r="B647" t="s">
        <v>48</v>
      </c>
      <c r="C647" t="s">
        <v>72</v>
      </c>
      <c r="D647" t="s">
        <v>73</v>
      </c>
      <c r="E647" t="s">
        <v>74</v>
      </c>
      <c r="F647" t="s">
        <v>77</v>
      </c>
      <c r="G647" t="s">
        <v>52</v>
      </c>
      <c r="H647" t="s">
        <v>36</v>
      </c>
      <c r="I647">
        <v>170</v>
      </c>
    </row>
    <row r="648" spans="1:9" ht="14.5" x14ac:dyDescent="0.35">
      <c r="A648">
        <v>4</v>
      </c>
      <c r="B648" t="s">
        <v>49</v>
      </c>
      <c r="C648" t="s">
        <v>31</v>
      </c>
      <c r="D648" t="s">
        <v>32</v>
      </c>
      <c r="E648" t="s">
        <v>33</v>
      </c>
      <c r="F648" t="s">
        <v>39</v>
      </c>
      <c r="G648" t="s">
        <v>35</v>
      </c>
      <c r="H648" t="s">
        <v>36</v>
      </c>
      <c r="I648">
        <v>170</v>
      </c>
    </row>
    <row r="649" spans="1:9" ht="14.5" x14ac:dyDescent="0.35">
      <c r="A649">
        <v>4</v>
      </c>
      <c r="B649" t="s">
        <v>49</v>
      </c>
      <c r="C649" t="s">
        <v>59</v>
      </c>
      <c r="D649" t="s">
        <v>66</v>
      </c>
      <c r="E649" t="s">
        <v>67</v>
      </c>
      <c r="F649" t="s">
        <v>70</v>
      </c>
      <c r="G649" t="s">
        <v>35</v>
      </c>
      <c r="H649" t="s">
        <v>36</v>
      </c>
      <c r="I649">
        <v>170</v>
      </c>
    </row>
    <row r="650" spans="1:9" ht="14.5" x14ac:dyDescent="0.35">
      <c r="A650">
        <v>4</v>
      </c>
      <c r="B650" t="s">
        <v>49</v>
      </c>
      <c r="C650" t="s">
        <v>72</v>
      </c>
      <c r="D650" t="s">
        <v>79</v>
      </c>
      <c r="E650" t="s">
        <v>80</v>
      </c>
      <c r="F650" t="s">
        <v>84</v>
      </c>
      <c r="G650" t="s">
        <v>52</v>
      </c>
      <c r="H650" t="s">
        <v>36</v>
      </c>
      <c r="I650">
        <v>170</v>
      </c>
    </row>
    <row r="651" spans="1:9" ht="14.5" x14ac:dyDescent="0.35">
      <c r="A651">
        <v>4</v>
      </c>
      <c r="B651" t="s">
        <v>50</v>
      </c>
      <c r="C651" t="s">
        <v>31</v>
      </c>
      <c r="D651" t="s">
        <v>53</v>
      </c>
      <c r="E651" t="s">
        <v>54</v>
      </c>
      <c r="F651" t="s">
        <v>57</v>
      </c>
      <c r="G651" t="s">
        <v>35</v>
      </c>
      <c r="H651" t="s">
        <v>36</v>
      </c>
      <c r="I651">
        <v>170</v>
      </c>
    </row>
    <row r="652" spans="1:9" ht="14.5" x14ac:dyDescent="0.35">
      <c r="A652">
        <v>4</v>
      </c>
      <c r="B652" t="s">
        <v>50</v>
      </c>
      <c r="C652" t="s">
        <v>85</v>
      </c>
      <c r="D652" t="s">
        <v>86</v>
      </c>
      <c r="E652" t="s">
        <v>87</v>
      </c>
      <c r="F652" t="s">
        <v>89</v>
      </c>
      <c r="G652" t="s">
        <v>35</v>
      </c>
      <c r="H652" t="s">
        <v>36</v>
      </c>
      <c r="I652">
        <v>170</v>
      </c>
    </row>
    <row r="653" spans="1:9" ht="14.5" x14ac:dyDescent="0.35">
      <c r="A653">
        <v>4</v>
      </c>
      <c r="B653" t="s">
        <v>50</v>
      </c>
      <c r="C653" t="s">
        <v>85</v>
      </c>
      <c r="D653" t="s">
        <v>92</v>
      </c>
      <c r="E653" t="s">
        <v>93</v>
      </c>
      <c r="F653" t="s">
        <v>95</v>
      </c>
      <c r="G653" t="s">
        <v>52</v>
      </c>
      <c r="H653" t="s">
        <v>36</v>
      </c>
      <c r="I653">
        <v>170</v>
      </c>
    </row>
    <row r="654" spans="1:9" ht="14.5" x14ac:dyDescent="0.35">
      <c r="A654">
        <v>4</v>
      </c>
      <c r="B654" t="s">
        <v>50</v>
      </c>
      <c r="C654" t="s">
        <v>59</v>
      </c>
      <c r="D654" t="s">
        <v>60</v>
      </c>
      <c r="E654" t="s">
        <v>61</v>
      </c>
      <c r="F654" t="s">
        <v>62</v>
      </c>
      <c r="G654" t="s">
        <v>52</v>
      </c>
      <c r="H654" t="s">
        <v>36</v>
      </c>
      <c r="I654">
        <v>170</v>
      </c>
    </row>
    <row r="655" spans="1:9" ht="14.5" x14ac:dyDescent="0.35">
      <c r="A655">
        <v>4</v>
      </c>
      <c r="B655" t="s">
        <v>50</v>
      </c>
      <c r="C655" t="s">
        <v>59</v>
      </c>
      <c r="D655" t="s">
        <v>66</v>
      </c>
      <c r="E655" t="s">
        <v>67</v>
      </c>
      <c r="F655" t="s">
        <v>71</v>
      </c>
      <c r="G655" t="s">
        <v>52</v>
      </c>
      <c r="H655" t="s">
        <v>36</v>
      </c>
      <c r="I655">
        <v>170</v>
      </c>
    </row>
    <row r="656" spans="1:9" ht="14.5" x14ac:dyDescent="0.35">
      <c r="A656">
        <v>4</v>
      </c>
      <c r="B656" t="s">
        <v>50</v>
      </c>
      <c r="C656" t="s">
        <v>72</v>
      </c>
      <c r="D656" t="s">
        <v>73</v>
      </c>
      <c r="E656" t="s">
        <v>74</v>
      </c>
      <c r="F656" t="s">
        <v>75</v>
      </c>
      <c r="G656" t="s">
        <v>35</v>
      </c>
      <c r="H656" t="s">
        <v>36</v>
      </c>
      <c r="I656">
        <v>170</v>
      </c>
    </row>
    <row r="657" spans="1:9" ht="14.5" x14ac:dyDescent="0.35">
      <c r="A657">
        <v>4</v>
      </c>
      <c r="B657" t="s">
        <v>51</v>
      </c>
      <c r="C657" t="s">
        <v>59</v>
      </c>
      <c r="D657" t="s">
        <v>60</v>
      </c>
      <c r="E657" t="s">
        <v>61</v>
      </c>
      <c r="F657" t="s">
        <v>65</v>
      </c>
      <c r="G657" t="s">
        <v>35</v>
      </c>
      <c r="H657" t="s">
        <v>36</v>
      </c>
      <c r="I657">
        <v>170</v>
      </c>
    </row>
    <row r="658" spans="1:9" ht="14.5" x14ac:dyDescent="0.35">
      <c r="A658">
        <v>4</v>
      </c>
      <c r="B658" t="s">
        <v>51</v>
      </c>
      <c r="C658" t="s">
        <v>72</v>
      </c>
      <c r="D658" t="s">
        <v>79</v>
      </c>
      <c r="E658" t="s">
        <v>80</v>
      </c>
      <c r="F658" t="s">
        <v>83</v>
      </c>
      <c r="G658" t="s">
        <v>52</v>
      </c>
      <c r="H658" t="s">
        <v>36</v>
      </c>
      <c r="I658">
        <v>170</v>
      </c>
    </row>
    <row r="659" spans="1:9" ht="14.5" x14ac:dyDescent="0.35">
      <c r="A659">
        <v>1</v>
      </c>
      <c r="B659" t="s">
        <v>30</v>
      </c>
      <c r="C659" t="s">
        <v>85</v>
      </c>
      <c r="D659" t="s">
        <v>86</v>
      </c>
      <c r="E659" t="s">
        <v>87</v>
      </c>
      <c r="F659" t="s">
        <v>90</v>
      </c>
      <c r="G659" t="s">
        <v>35</v>
      </c>
      <c r="H659" t="s">
        <v>36</v>
      </c>
      <c r="I659">
        <v>180</v>
      </c>
    </row>
    <row r="660" spans="1:9" ht="14.5" x14ac:dyDescent="0.35">
      <c r="A660">
        <v>1</v>
      </c>
      <c r="B660" t="s">
        <v>30</v>
      </c>
      <c r="C660" t="s">
        <v>59</v>
      </c>
      <c r="D660" t="s">
        <v>60</v>
      </c>
      <c r="E660" t="s">
        <v>61</v>
      </c>
      <c r="F660" t="s">
        <v>62</v>
      </c>
      <c r="G660" t="s">
        <v>35</v>
      </c>
      <c r="H660" t="s">
        <v>36</v>
      </c>
      <c r="I660">
        <v>180</v>
      </c>
    </row>
    <row r="661" spans="1:9" ht="14.5" x14ac:dyDescent="0.35">
      <c r="A661">
        <v>1</v>
      </c>
      <c r="B661" t="s">
        <v>30</v>
      </c>
      <c r="C661" t="s">
        <v>72</v>
      </c>
      <c r="D661" t="s">
        <v>73</v>
      </c>
      <c r="E661" t="s">
        <v>74</v>
      </c>
      <c r="F661" t="s">
        <v>75</v>
      </c>
      <c r="G661" t="s">
        <v>35</v>
      </c>
      <c r="H661" t="s">
        <v>36</v>
      </c>
      <c r="I661">
        <v>180</v>
      </c>
    </row>
    <row r="662" spans="1:9" ht="14.5" x14ac:dyDescent="0.35">
      <c r="A662">
        <v>1</v>
      </c>
      <c r="B662" t="s">
        <v>41</v>
      </c>
      <c r="C662" t="s">
        <v>72</v>
      </c>
      <c r="D662" t="s">
        <v>73</v>
      </c>
      <c r="E662" t="s">
        <v>74</v>
      </c>
      <c r="F662" t="s">
        <v>76</v>
      </c>
      <c r="G662" t="s">
        <v>35</v>
      </c>
      <c r="H662" t="s">
        <v>36</v>
      </c>
      <c r="I662">
        <v>180</v>
      </c>
    </row>
    <row r="663" spans="1:9" ht="14.5" x14ac:dyDescent="0.35">
      <c r="A663">
        <v>1</v>
      </c>
      <c r="B663" t="s">
        <v>41</v>
      </c>
      <c r="C663" t="s">
        <v>72</v>
      </c>
      <c r="D663" t="s">
        <v>79</v>
      </c>
      <c r="E663" t="s">
        <v>80</v>
      </c>
      <c r="F663" t="s">
        <v>84</v>
      </c>
      <c r="G663" t="s">
        <v>35</v>
      </c>
      <c r="H663" t="s">
        <v>36</v>
      </c>
      <c r="I663">
        <v>180</v>
      </c>
    </row>
    <row r="664" spans="1:9" ht="14.5" x14ac:dyDescent="0.35">
      <c r="A664">
        <v>1</v>
      </c>
      <c r="B664" t="s">
        <v>42</v>
      </c>
      <c r="C664" t="s">
        <v>31</v>
      </c>
      <c r="D664" t="s">
        <v>53</v>
      </c>
      <c r="E664" t="s">
        <v>54</v>
      </c>
      <c r="F664" t="s">
        <v>58</v>
      </c>
      <c r="G664" t="s">
        <v>52</v>
      </c>
      <c r="H664" t="s">
        <v>36</v>
      </c>
      <c r="I664">
        <v>180</v>
      </c>
    </row>
    <row r="665" spans="1:9" ht="14.5" x14ac:dyDescent="0.35">
      <c r="A665">
        <v>1</v>
      </c>
      <c r="B665" t="s">
        <v>42</v>
      </c>
      <c r="C665" t="s">
        <v>85</v>
      </c>
      <c r="D665" t="s">
        <v>92</v>
      </c>
      <c r="E665" t="s">
        <v>93</v>
      </c>
      <c r="F665" t="s">
        <v>97</v>
      </c>
      <c r="G665" t="s">
        <v>35</v>
      </c>
      <c r="H665" t="s">
        <v>36</v>
      </c>
      <c r="I665">
        <v>180</v>
      </c>
    </row>
    <row r="666" spans="1:9" ht="14.5" x14ac:dyDescent="0.35">
      <c r="A666">
        <v>1</v>
      </c>
      <c r="B666" t="s">
        <v>42</v>
      </c>
      <c r="C666" t="s">
        <v>59</v>
      </c>
      <c r="D666" t="s">
        <v>60</v>
      </c>
      <c r="E666" t="s">
        <v>61</v>
      </c>
      <c r="F666" t="s">
        <v>63</v>
      </c>
      <c r="G666" t="s">
        <v>52</v>
      </c>
      <c r="H666" t="s">
        <v>36</v>
      </c>
      <c r="I666">
        <v>180</v>
      </c>
    </row>
    <row r="667" spans="1:9" ht="14.5" x14ac:dyDescent="0.35">
      <c r="A667">
        <v>1</v>
      </c>
      <c r="B667" t="s">
        <v>42</v>
      </c>
      <c r="C667" t="s">
        <v>59</v>
      </c>
      <c r="D667" t="s">
        <v>66</v>
      </c>
      <c r="E667" t="s">
        <v>67</v>
      </c>
      <c r="F667" t="s">
        <v>69</v>
      </c>
      <c r="G667" t="s">
        <v>35</v>
      </c>
      <c r="H667" t="s">
        <v>36</v>
      </c>
      <c r="I667">
        <v>180</v>
      </c>
    </row>
    <row r="668" spans="1:9" ht="14.5" x14ac:dyDescent="0.35">
      <c r="A668">
        <v>1</v>
      </c>
      <c r="B668" t="s">
        <v>42</v>
      </c>
      <c r="C668" t="s">
        <v>59</v>
      </c>
      <c r="D668" t="s">
        <v>66</v>
      </c>
      <c r="E668" t="s">
        <v>67</v>
      </c>
      <c r="F668" t="s">
        <v>70</v>
      </c>
      <c r="G668" t="s">
        <v>52</v>
      </c>
      <c r="H668" t="s">
        <v>36</v>
      </c>
      <c r="I668">
        <v>180</v>
      </c>
    </row>
    <row r="669" spans="1:9" ht="14.5" x14ac:dyDescent="0.35">
      <c r="A669">
        <v>2</v>
      </c>
      <c r="B669" t="s">
        <v>43</v>
      </c>
      <c r="C669" t="s">
        <v>85</v>
      </c>
      <c r="D669" t="s">
        <v>92</v>
      </c>
      <c r="E669" t="s">
        <v>93</v>
      </c>
      <c r="F669" t="s">
        <v>95</v>
      </c>
      <c r="G669" t="s">
        <v>35</v>
      </c>
      <c r="H669" t="s">
        <v>36</v>
      </c>
      <c r="I669">
        <v>180</v>
      </c>
    </row>
    <row r="670" spans="1:9" ht="14.5" x14ac:dyDescent="0.35">
      <c r="A670">
        <v>2</v>
      </c>
      <c r="B670" t="s">
        <v>43</v>
      </c>
      <c r="C670" t="s">
        <v>59</v>
      </c>
      <c r="D670" t="s">
        <v>60</v>
      </c>
      <c r="E670" t="s">
        <v>61</v>
      </c>
      <c r="F670" t="s">
        <v>63</v>
      </c>
      <c r="G670" t="s">
        <v>35</v>
      </c>
      <c r="H670" t="s">
        <v>36</v>
      </c>
      <c r="I670">
        <v>180</v>
      </c>
    </row>
    <row r="671" spans="1:9" ht="14.5" x14ac:dyDescent="0.35">
      <c r="A671">
        <v>2</v>
      </c>
      <c r="B671" t="s">
        <v>43</v>
      </c>
      <c r="C671" t="s">
        <v>59</v>
      </c>
      <c r="D671" t="s">
        <v>66</v>
      </c>
      <c r="E671" t="s">
        <v>67</v>
      </c>
      <c r="F671" t="s">
        <v>71</v>
      </c>
      <c r="G671" t="s">
        <v>52</v>
      </c>
      <c r="H671" t="s">
        <v>36</v>
      </c>
      <c r="I671">
        <v>180</v>
      </c>
    </row>
    <row r="672" spans="1:9" ht="14.5" x14ac:dyDescent="0.35">
      <c r="A672">
        <v>2</v>
      </c>
      <c r="B672" t="s">
        <v>43</v>
      </c>
      <c r="C672" t="s">
        <v>72</v>
      </c>
      <c r="D672" t="s">
        <v>79</v>
      </c>
      <c r="E672" t="s">
        <v>80</v>
      </c>
      <c r="F672" t="s">
        <v>81</v>
      </c>
      <c r="G672" t="s">
        <v>35</v>
      </c>
      <c r="H672" t="s">
        <v>36</v>
      </c>
      <c r="I672">
        <v>180</v>
      </c>
    </row>
    <row r="673" spans="1:9" ht="14.5" x14ac:dyDescent="0.35">
      <c r="A673">
        <v>2</v>
      </c>
      <c r="B673" t="s">
        <v>43</v>
      </c>
      <c r="C673" t="s">
        <v>72</v>
      </c>
      <c r="D673" t="s">
        <v>79</v>
      </c>
      <c r="E673" t="s">
        <v>80</v>
      </c>
      <c r="F673" t="s">
        <v>84</v>
      </c>
      <c r="G673" t="s">
        <v>35</v>
      </c>
      <c r="H673" t="s">
        <v>36</v>
      </c>
      <c r="I673">
        <v>180</v>
      </c>
    </row>
    <row r="674" spans="1:9" ht="14.5" x14ac:dyDescent="0.35">
      <c r="A674">
        <v>2</v>
      </c>
      <c r="B674" t="s">
        <v>44</v>
      </c>
      <c r="C674" t="s">
        <v>31</v>
      </c>
      <c r="D674" t="s">
        <v>32</v>
      </c>
      <c r="E674" t="s">
        <v>33</v>
      </c>
      <c r="F674" t="s">
        <v>40</v>
      </c>
      <c r="G674" t="s">
        <v>52</v>
      </c>
      <c r="H674" t="s">
        <v>36</v>
      </c>
      <c r="I674">
        <v>180</v>
      </c>
    </row>
    <row r="675" spans="1:9" ht="14.5" x14ac:dyDescent="0.35">
      <c r="A675">
        <v>2</v>
      </c>
      <c r="B675" t="s">
        <v>44</v>
      </c>
      <c r="C675" t="s">
        <v>31</v>
      </c>
      <c r="D675" t="s">
        <v>32</v>
      </c>
      <c r="E675" t="s">
        <v>33</v>
      </c>
      <c r="F675" t="s">
        <v>39</v>
      </c>
      <c r="G675" t="s">
        <v>52</v>
      </c>
      <c r="H675" t="s">
        <v>36</v>
      </c>
      <c r="I675">
        <v>180</v>
      </c>
    </row>
    <row r="676" spans="1:9" ht="14.5" x14ac:dyDescent="0.35">
      <c r="A676">
        <v>2</v>
      </c>
      <c r="B676" t="s">
        <v>44</v>
      </c>
      <c r="C676" t="s">
        <v>59</v>
      </c>
      <c r="D676" t="s">
        <v>66</v>
      </c>
      <c r="E676" t="s">
        <v>67</v>
      </c>
      <c r="F676" t="s">
        <v>69</v>
      </c>
      <c r="G676" t="s">
        <v>35</v>
      </c>
      <c r="H676" t="s">
        <v>36</v>
      </c>
      <c r="I676">
        <v>180</v>
      </c>
    </row>
    <row r="677" spans="1:9" ht="14.5" x14ac:dyDescent="0.35">
      <c r="A677">
        <v>2</v>
      </c>
      <c r="B677" t="s">
        <v>45</v>
      </c>
      <c r="C677" t="s">
        <v>85</v>
      </c>
      <c r="D677" t="s">
        <v>92</v>
      </c>
      <c r="E677" t="s">
        <v>93</v>
      </c>
      <c r="F677" t="s">
        <v>95</v>
      </c>
      <c r="G677" t="s">
        <v>52</v>
      </c>
      <c r="H677" t="s">
        <v>36</v>
      </c>
      <c r="I677">
        <v>180</v>
      </c>
    </row>
    <row r="678" spans="1:9" ht="14.5" x14ac:dyDescent="0.35">
      <c r="A678">
        <v>2</v>
      </c>
      <c r="B678" t="s">
        <v>45</v>
      </c>
      <c r="C678" t="s">
        <v>59</v>
      </c>
      <c r="D678" t="s">
        <v>60</v>
      </c>
      <c r="E678" t="s">
        <v>61</v>
      </c>
      <c r="F678" t="s">
        <v>64</v>
      </c>
      <c r="G678" t="s">
        <v>52</v>
      </c>
      <c r="H678" t="s">
        <v>36</v>
      </c>
      <c r="I678">
        <v>180</v>
      </c>
    </row>
    <row r="679" spans="1:9" ht="14.5" x14ac:dyDescent="0.35">
      <c r="A679">
        <v>2</v>
      </c>
      <c r="B679" t="s">
        <v>45</v>
      </c>
      <c r="C679" t="s">
        <v>72</v>
      </c>
      <c r="D679" t="s">
        <v>73</v>
      </c>
      <c r="E679" t="s">
        <v>74</v>
      </c>
      <c r="F679" t="s">
        <v>75</v>
      </c>
      <c r="G679" t="s">
        <v>35</v>
      </c>
      <c r="H679" t="s">
        <v>36</v>
      </c>
      <c r="I679">
        <v>180</v>
      </c>
    </row>
    <row r="680" spans="1:9" ht="14.5" x14ac:dyDescent="0.35">
      <c r="A680">
        <v>3</v>
      </c>
      <c r="B680" t="s">
        <v>46</v>
      </c>
      <c r="C680" t="s">
        <v>31</v>
      </c>
      <c r="D680" t="s">
        <v>32</v>
      </c>
      <c r="E680" t="s">
        <v>33</v>
      </c>
      <c r="F680" t="s">
        <v>40</v>
      </c>
      <c r="G680" t="s">
        <v>35</v>
      </c>
      <c r="H680" t="s">
        <v>36</v>
      </c>
      <c r="I680">
        <v>180</v>
      </c>
    </row>
    <row r="681" spans="1:9" ht="14.5" x14ac:dyDescent="0.35">
      <c r="A681">
        <v>3</v>
      </c>
      <c r="B681" t="s">
        <v>46</v>
      </c>
      <c r="C681" t="s">
        <v>31</v>
      </c>
      <c r="D681" t="s">
        <v>53</v>
      </c>
      <c r="E681" t="s">
        <v>54</v>
      </c>
      <c r="F681" t="s">
        <v>57</v>
      </c>
      <c r="G681" t="s">
        <v>35</v>
      </c>
      <c r="H681" t="s">
        <v>36</v>
      </c>
      <c r="I681">
        <v>180</v>
      </c>
    </row>
    <row r="682" spans="1:9" ht="14.5" x14ac:dyDescent="0.35">
      <c r="A682">
        <v>3</v>
      </c>
      <c r="B682" t="s">
        <v>46</v>
      </c>
      <c r="C682" t="s">
        <v>31</v>
      </c>
      <c r="D682" t="s">
        <v>53</v>
      </c>
      <c r="E682" t="s">
        <v>54</v>
      </c>
      <c r="F682" t="s">
        <v>58</v>
      </c>
      <c r="G682" t="s">
        <v>35</v>
      </c>
      <c r="H682" t="s">
        <v>36</v>
      </c>
      <c r="I682">
        <v>180</v>
      </c>
    </row>
    <row r="683" spans="1:9" ht="14.5" x14ac:dyDescent="0.35">
      <c r="A683">
        <v>3</v>
      </c>
      <c r="B683" t="s">
        <v>46</v>
      </c>
      <c r="C683" t="s">
        <v>85</v>
      </c>
      <c r="D683" t="s">
        <v>86</v>
      </c>
      <c r="E683" t="s">
        <v>87</v>
      </c>
      <c r="F683" t="s">
        <v>88</v>
      </c>
      <c r="G683" t="s">
        <v>52</v>
      </c>
      <c r="H683" t="s">
        <v>36</v>
      </c>
      <c r="I683">
        <v>180</v>
      </c>
    </row>
    <row r="684" spans="1:9" ht="14.5" x14ac:dyDescent="0.35">
      <c r="A684">
        <v>3</v>
      </c>
      <c r="B684" t="s">
        <v>46</v>
      </c>
      <c r="C684" t="s">
        <v>85</v>
      </c>
      <c r="D684" t="s">
        <v>86</v>
      </c>
      <c r="E684" t="s">
        <v>87</v>
      </c>
      <c r="F684" t="s">
        <v>90</v>
      </c>
      <c r="G684" t="s">
        <v>35</v>
      </c>
      <c r="H684" t="s">
        <v>36</v>
      </c>
      <c r="I684">
        <v>180</v>
      </c>
    </row>
    <row r="685" spans="1:9" ht="14.5" x14ac:dyDescent="0.35">
      <c r="A685">
        <v>3</v>
      </c>
      <c r="B685" t="s">
        <v>46</v>
      </c>
      <c r="C685" t="s">
        <v>72</v>
      </c>
      <c r="D685" t="s">
        <v>79</v>
      </c>
      <c r="E685" t="s">
        <v>80</v>
      </c>
      <c r="F685" t="s">
        <v>84</v>
      </c>
      <c r="G685" t="s">
        <v>35</v>
      </c>
      <c r="H685" t="s">
        <v>36</v>
      </c>
      <c r="I685">
        <v>180</v>
      </c>
    </row>
    <row r="686" spans="1:9" ht="14.5" x14ac:dyDescent="0.35">
      <c r="A686">
        <v>3</v>
      </c>
      <c r="B686" t="s">
        <v>47</v>
      </c>
      <c r="C686" t="s">
        <v>85</v>
      </c>
      <c r="D686" t="s">
        <v>86</v>
      </c>
      <c r="E686" t="s">
        <v>87</v>
      </c>
      <c r="F686" t="s">
        <v>88</v>
      </c>
      <c r="G686" t="s">
        <v>35</v>
      </c>
      <c r="H686" t="s">
        <v>36</v>
      </c>
      <c r="I686">
        <v>180</v>
      </c>
    </row>
    <row r="687" spans="1:9" ht="14.5" x14ac:dyDescent="0.35">
      <c r="A687">
        <v>3</v>
      </c>
      <c r="B687" t="s">
        <v>47</v>
      </c>
      <c r="C687" t="s">
        <v>59</v>
      </c>
      <c r="D687" t="s">
        <v>66</v>
      </c>
      <c r="E687" t="s">
        <v>67</v>
      </c>
      <c r="F687" t="s">
        <v>68</v>
      </c>
      <c r="G687" t="s">
        <v>52</v>
      </c>
      <c r="H687" t="s">
        <v>36</v>
      </c>
      <c r="I687">
        <v>180</v>
      </c>
    </row>
    <row r="688" spans="1:9" ht="14.5" x14ac:dyDescent="0.35">
      <c r="A688">
        <v>3</v>
      </c>
      <c r="B688" t="s">
        <v>47</v>
      </c>
      <c r="C688" t="s">
        <v>72</v>
      </c>
      <c r="D688" t="s">
        <v>79</v>
      </c>
      <c r="E688" t="s">
        <v>80</v>
      </c>
      <c r="F688" t="s">
        <v>81</v>
      </c>
      <c r="G688" t="s">
        <v>52</v>
      </c>
      <c r="H688" t="s">
        <v>36</v>
      </c>
      <c r="I688">
        <v>180</v>
      </c>
    </row>
    <row r="689" spans="1:9" ht="14.5" x14ac:dyDescent="0.35">
      <c r="A689">
        <v>3</v>
      </c>
      <c r="B689" t="s">
        <v>47</v>
      </c>
      <c r="C689" t="s">
        <v>72</v>
      </c>
      <c r="D689" t="s">
        <v>79</v>
      </c>
      <c r="E689" t="s">
        <v>80</v>
      </c>
      <c r="F689" t="s">
        <v>82</v>
      </c>
      <c r="G689" t="s">
        <v>35</v>
      </c>
      <c r="H689" t="s">
        <v>36</v>
      </c>
      <c r="I689">
        <v>180</v>
      </c>
    </row>
    <row r="690" spans="1:9" ht="14.5" x14ac:dyDescent="0.35">
      <c r="A690">
        <v>3</v>
      </c>
      <c r="B690" t="s">
        <v>48</v>
      </c>
      <c r="C690" t="s">
        <v>31</v>
      </c>
      <c r="D690" t="s">
        <v>32</v>
      </c>
      <c r="E690" t="s">
        <v>33</v>
      </c>
      <c r="F690" t="s">
        <v>34</v>
      </c>
      <c r="G690" t="s">
        <v>52</v>
      </c>
      <c r="H690" t="s">
        <v>36</v>
      </c>
      <c r="I690">
        <v>180</v>
      </c>
    </row>
    <row r="691" spans="1:9" ht="14.5" x14ac:dyDescent="0.35">
      <c r="A691">
        <v>3</v>
      </c>
      <c r="B691" t="s">
        <v>48</v>
      </c>
      <c r="C691" t="s">
        <v>85</v>
      </c>
      <c r="D691" t="s">
        <v>86</v>
      </c>
      <c r="E691" t="s">
        <v>87</v>
      </c>
      <c r="F691" t="s">
        <v>88</v>
      </c>
      <c r="G691" t="s">
        <v>35</v>
      </c>
      <c r="H691" t="s">
        <v>36</v>
      </c>
      <c r="I691">
        <v>180</v>
      </c>
    </row>
    <row r="692" spans="1:9" ht="14.5" x14ac:dyDescent="0.35">
      <c r="A692">
        <v>3</v>
      </c>
      <c r="B692" t="s">
        <v>48</v>
      </c>
      <c r="C692" t="s">
        <v>85</v>
      </c>
      <c r="D692" t="s">
        <v>92</v>
      </c>
      <c r="E692" t="s">
        <v>93</v>
      </c>
      <c r="F692" t="s">
        <v>96</v>
      </c>
      <c r="G692" t="s">
        <v>52</v>
      </c>
      <c r="H692" t="s">
        <v>36</v>
      </c>
      <c r="I692">
        <v>180</v>
      </c>
    </row>
    <row r="693" spans="1:9" ht="14.5" x14ac:dyDescent="0.35">
      <c r="A693">
        <v>3</v>
      </c>
      <c r="B693" t="s">
        <v>48</v>
      </c>
      <c r="C693" t="s">
        <v>59</v>
      </c>
      <c r="D693" t="s">
        <v>60</v>
      </c>
      <c r="E693" t="s">
        <v>61</v>
      </c>
      <c r="F693" t="s">
        <v>62</v>
      </c>
      <c r="G693" t="s">
        <v>35</v>
      </c>
      <c r="H693" t="s">
        <v>36</v>
      </c>
      <c r="I693">
        <v>180</v>
      </c>
    </row>
    <row r="694" spans="1:9" ht="14.5" x14ac:dyDescent="0.35">
      <c r="A694">
        <v>4</v>
      </c>
      <c r="B694" t="s">
        <v>49</v>
      </c>
      <c r="C694" t="s">
        <v>31</v>
      </c>
      <c r="D694" t="s">
        <v>53</v>
      </c>
      <c r="E694" t="s">
        <v>54</v>
      </c>
      <c r="F694" t="s">
        <v>57</v>
      </c>
      <c r="G694" t="s">
        <v>52</v>
      </c>
      <c r="H694" t="s">
        <v>36</v>
      </c>
      <c r="I694">
        <v>180</v>
      </c>
    </row>
    <row r="695" spans="1:9" ht="14.5" x14ac:dyDescent="0.35">
      <c r="A695">
        <v>4</v>
      </c>
      <c r="B695" t="s">
        <v>49</v>
      </c>
      <c r="C695" t="s">
        <v>85</v>
      </c>
      <c r="D695" t="s">
        <v>86</v>
      </c>
      <c r="E695" t="s">
        <v>87</v>
      </c>
      <c r="F695" t="s">
        <v>91</v>
      </c>
      <c r="G695" t="s">
        <v>52</v>
      </c>
      <c r="H695" t="s">
        <v>36</v>
      </c>
      <c r="I695">
        <v>180</v>
      </c>
    </row>
    <row r="696" spans="1:9" ht="14.5" x14ac:dyDescent="0.35">
      <c r="A696">
        <v>4</v>
      </c>
      <c r="B696" t="s">
        <v>49</v>
      </c>
      <c r="C696" t="s">
        <v>59</v>
      </c>
      <c r="D696" t="s">
        <v>60</v>
      </c>
      <c r="E696" t="s">
        <v>61</v>
      </c>
      <c r="F696" t="s">
        <v>65</v>
      </c>
      <c r="G696" t="s">
        <v>52</v>
      </c>
      <c r="H696" t="s">
        <v>36</v>
      </c>
      <c r="I696">
        <v>180</v>
      </c>
    </row>
    <row r="697" spans="1:9" ht="14.5" x14ac:dyDescent="0.35">
      <c r="A697">
        <v>4</v>
      </c>
      <c r="B697" t="s">
        <v>49</v>
      </c>
      <c r="C697" t="s">
        <v>72</v>
      </c>
      <c r="D697" t="s">
        <v>73</v>
      </c>
      <c r="E697" t="s">
        <v>74</v>
      </c>
      <c r="F697" t="s">
        <v>75</v>
      </c>
      <c r="G697" t="s">
        <v>52</v>
      </c>
      <c r="H697" t="s">
        <v>36</v>
      </c>
      <c r="I697">
        <v>180</v>
      </c>
    </row>
    <row r="698" spans="1:9" ht="14.5" x14ac:dyDescent="0.35">
      <c r="A698">
        <v>4</v>
      </c>
      <c r="B698" t="s">
        <v>50</v>
      </c>
      <c r="C698" t="s">
        <v>31</v>
      </c>
      <c r="D698" t="s">
        <v>32</v>
      </c>
      <c r="E698" t="s">
        <v>33</v>
      </c>
      <c r="F698" t="s">
        <v>40</v>
      </c>
      <c r="G698" t="s">
        <v>52</v>
      </c>
      <c r="H698" t="s">
        <v>36</v>
      </c>
      <c r="I698">
        <v>180</v>
      </c>
    </row>
    <row r="699" spans="1:9" ht="14.5" x14ac:dyDescent="0.35">
      <c r="A699">
        <v>4</v>
      </c>
      <c r="B699" t="s">
        <v>50</v>
      </c>
      <c r="C699" t="s">
        <v>85</v>
      </c>
      <c r="D699" t="s">
        <v>86</v>
      </c>
      <c r="E699" t="s">
        <v>87</v>
      </c>
      <c r="F699" t="s">
        <v>90</v>
      </c>
      <c r="G699" t="s">
        <v>35</v>
      </c>
      <c r="H699" t="s">
        <v>36</v>
      </c>
      <c r="I699">
        <v>180</v>
      </c>
    </row>
    <row r="700" spans="1:9" ht="14.5" x14ac:dyDescent="0.35">
      <c r="A700">
        <v>4</v>
      </c>
      <c r="B700" t="s">
        <v>50</v>
      </c>
      <c r="C700" t="s">
        <v>59</v>
      </c>
      <c r="D700" t="s">
        <v>60</v>
      </c>
      <c r="E700" t="s">
        <v>61</v>
      </c>
      <c r="F700" t="s">
        <v>65</v>
      </c>
      <c r="G700" t="s">
        <v>35</v>
      </c>
      <c r="H700" t="s">
        <v>36</v>
      </c>
      <c r="I700">
        <v>180</v>
      </c>
    </row>
    <row r="701" spans="1:9" ht="14.5" x14ac:dyDescent="0.35">
      <c r="A701">
        <v>4</v>
      </c>
      <c r="B701" t="s">
        <v>51</v>
      </c>
      <c r="C701" t="s">
        <v>31</v>
      </c>
      <c r="D701" t="s">
        <v>32</v>
      </c>
      <c r="E701" t="s">
        <v>33</v>
      </c>
      <c r="F701" t="s">
        <v>40</v>
      </c>
      <c r="G701" t="s">
        <v>52</v>
      </c>
      <c r="H701" t="s">
        <v>36</v>
      </c>
      <c r="I701">
        <v>180</v>
      </c>
    </row>
    <row r="702" spans="1:9" ht="14.5" x14ac:dyDescent="0.35">
      <c r="A702">
        <v>1</v>
      </c>
      <c r="B702" t="s">
        <v>30</v>
      </c>
      <c r="C702" t="s">
        <v>85</v>
      </c>
      <c r="D702" t="s">
        <v>92</v>
      </c>
      <c r="E702" t="s">
        <v>93</v>
      </c>
      <c r="F702" t="s">
        <v>96</v>
      </c>
      <c r="G702" t="s">
        <v>35</v>
      </c>
      <c r="H702" t="s">
        <v>36</v>
      </c>
      <c r="I702">
        <v>190</v>
      </c>
    </row>
    <row r="703" spans="1:9" ht="14.5" x14ac:dyDescent="0.35">
      <c r="A703">
        <v>1</v>
      </c>
      <c r="B703" t="s">
        <v>30</v>
      </c>
      <c r="C703" t="s">
        <v>72</v>
      </c>
      <c r="D703" t="s">
        <v>73</v>
      </c>
      <c r="E703" t="s">
        <v>74</v>
      </c>
      <c r="F703" t="s">
        <v>76</v>
      </c>
      <c r="G703" t="s">
        <v>35</v>
      </c>
      <c r="H703" t="s">
        <v>36</v>
      </c>
      <c r="I703">
        <v>190</v>
      </c>
    </row>
    <row r="704" spans="1:9" ht="14.5" x14ac:dyDescent="0.35">
      <c r="A704">
        <v>1</v>
      </c>
      <c r="B704" t="s">
        <v>30</v>
      </c>
      <c r="C704" t="s">
        <v>72</v>
      </c>
      <c r="D704" t="s">
        <v>79</v>
      </c>
      <c r="E704" t="s">
        <v>80</v>
      </c>
      <c r="F704" t="s">
        <v>84</v>
      </c>
      <c r="G704" t="s">
        <v>35</v>
      </c>
      <c r="H704" t="s">
        <v>36</v>
      </c>
      <c r="I704">
        <v>190</v>
      </c>
    </row>
    <row r="705" spans="1:9" ht="14.5" x14ac:dyDescent="0.35">
      <c r="A705">
        <v>1</v>
      </c>
      <c r="B705" t="s">
        <v>41</v>
      </c>
      <c r="C705" t="s">
        <v>31</v>
      </c>
      <c r="D705" t="s">
        <v>53</v>
      </c>
      <c r="E705" t="s">
        <v>54</v>
      </c>
      <c r="F705" t="s">
        <v>57</v>
      </c>
      <c r="G705" t="s">
        <v>35</v>
      </c>
      <c r="H705" t="s">
        <v>36</v>
      </c>
      <c r="I705">
        <v>190</v>
      </c>
    </row>
    <row r="706" spans="1:9" ht="14.5" x14ac:dyDescent="0.35">
      <c r="A706">
        <v>1</v>
      </c>
      <c r="B706" t="s">
        <v>41</v>
      </c>
      <c r="C706" t="s">
        <v>85</v>
      </c>
      <c r="D706" t="s">
        <v>86</v>
      </c>
      <c r="E706" t="s">
        <v>87</v>
      </c>
      <c r="F706" t="s">
        <v>91</v>
      </c>
      <c r="G706" t="s">
        <v>52</v>
      </c>
      <c r="H706" t="s">
        <v>36</v>
      </c>
      <c r="I706">
        <v>190</v>
      </c>
    </row>
    <row r="707" spans="1:9" ht="14.5" x14ac:dyDescent="0.35">
      <c r="A707">
        <v>1</v>
      </c>
      <c r="B707" t="s">
        <v>41</v>
      </c>
      <c r="C707" t="s">
        <v>85</v>
      </c>
      <c r="D707" t="s">
        <v>92</v>
      </c>
      <c r="E707" t="s">
        <v>93</v>
      </c>
      <c r="F707" t="s">
        <v>95</v>
      </c>
      <c r="G707" t="s">
        <v>52</v>
      </c>
      <c r="H707" t="s">
        <v>36</v>
      </c>
      <c r="I707">
        <v>190</v>
      </c>
    </row>
    <row r="708" spans="1:9" ht="14.5" x14ac:dyDescent="0.35">
      <c r="A708">
        <v>1</v>
      </c>
      <c r="B708" t="s">
        <v>41</v>
      </c>
      <c r="C708" t="s">
        <v>85</v>
      </c>
      <c r="D708" t="s">
        <v>92</v>
      </c>
      <c r="E708" t="s">
        <v>93</v>
      </c>
      <c r="F708" t="s">
        <v>96</v>
      </c>
      <c r="G708" t="s">
        <v>52</v>
      </c>
      <c r="H708" t="s">
        <v>36</v>
      </c>
      <c r="I708">
        <v>190</v>
      </c>
    </row>
    <row r="709" spans="1:9" ht="14.5" x14ac:dyDescent="0.35">
      <c r="A709">
        <v>1</v>
      </c>
      <c r="B709" t="s">
        <v>41</v>
      </c>
      <c r="C709" t="s">
        <v>59</v>
      </c>
      <c r="D709" t="s">
        <v>60</v>
      </c>
      <c r="E709" t="s">
        <v>61</v>
      </c>
      <c r="F709" t="s">
        <v>62</v>
      </c>
      <c r="G709" t="s">
        <v>35</v>
      </c>
      <c r="H709" t="s">
        <v>36</v>
      </c>
      <c r="I709">
        <v>190</v>
      </c>
    </row>
    <row r="710" spans="1:9" ht="14.5" x14ac:dyDescent="0.35">
      <c r="A710">
        <v>1</v>
      </c>
      <c r="B710" t="s">
        <v>41</v>
      </c>
      <c r="C710" t="s">
        <v>59</v>
      </c>
      <c r="D710" t="s">
        <v>66</v>
      </c>
      <c r="E710" t="s">
        <v>67</v>
      </c>
      <c r="F710" t="s">
        <v>71</v>
      </c>
      <c r="G710" t="s">
        <v>35</v>
      </c>
      <c r="H710" t="s">
        <v>36</v>
      </c>
      <c r="I710">
        <v>190</v>
      </c>
    </row>
    <row r="711" spans="1:9" ht="14.5" x14ac:dyDescent="0.35">
      <c r="A711">
        <v>1</v>
      </c>
      <c r="B711" t="s">
        <v>42</v>
      </c>
      <c r="C711" t="s">
        <v>31</v>
      </c>
      <c r="D711" t="s">
        <v>32</v>
      </c>
      <c r="E711" t="s">
        <v>33</v>
      </c>
      <c r="F711" t="s">
        <v>37</v>
      </c>
      <c r="G711" t="s">
        <v>52</v>
      </c>
      <c r="H711" t="s">
        <v>36</v>
      </c>
      <c r="I711">
        <v>190</v>
      </c>
    </row>
    <row r="712" spans="1:9" ht="14.5" x14ac:dyDescent="0.35">
      <c r="A712">
        <v>1</v>
      </c>
      <c r="B712" t="s">
        <v>42</v>
      </c>
      <c r="C712" t="s">
        <v>31</v>
      </c>
      <c r="D712" t="s">
        <v>32</v>
      </c>
      <c r="E712" t="s">
        <v>33</v>
      </c>
      <c r="F712" t="s">
        <v>39</v>
      </c>
      <c r="G712" t="s">
        <v>35</v>
      </c>
      <c r="H712" t="s">
        <v>36</v>
      </c>
      <c r="I712">
        <v>190</v>
      </c>
    </row>
    <row r="713" spans="1:9" ht="14.5" x14ac:dyDescent="0.35">
      <c r="A713">
        <v>1</v>
      </c>
      <c r="B713" t="s">
        <v>42</v>
      </c>
      <c r="C713" t="s">
        <v>31</v>
      </c>
      <c r="D713" t="s">
        <v>32</v>
      </c>
      <c r="E713" t="s">
        <v>33</v>
      </c>
      <c r="F713" t="s">
        <v>34</v>
      </c>
      <c r="G713" t="s">
        <v>35</v>
      </c>
      <c r="H713" t="s">
        <v>36</v>
      </c>
      <c r="I713">
        <v>190</v>
      </c>
    </row>
    <row r="714" spans="1:9" ht="14.5" x14ac:dyDescent="0.35">
      <c r="A714">
        <v>1</v>
      </c>
      <c r="B714" t="s">
        <v>42</v>
      </c>
      <c r="C714" t="s">
        <v>31</v>
      </c>
      <c r="D714" t="s">
        <v>53</v>
      </c>
      <c r="E714" t="s">
        <v>54</v>
      </c>
      <c r="F714" t="s">
        <v>57</v>
      </c>
      <c r="G714" t="s">
        <v>52</v>
      </c>
      <c r="H714" t="s">
        <v>36</v>
      </c>
      <c r="I714">
        <v>190</v>
      </c>
    </row>
    <row r="715" spans="1:9" ht="14.5" x14ac:dyDescent="0.35">
      <c r="A715">
        <v>1</v>
      </c>
      <c r="B715" t="s">
        <v>42</v>
      </c>
      <c r="C715" t="s">
        <v>59</v>
      </c>
      <c r="D715" t="s">
        <v>60</v>
      </c>
      <c r="E715" t="s">
        <v>61</v>
      </c>
      <c r="F715" t="s">
        <v>62</v>
      </c>
      <c r="G715" t="s">
        <v>35</v>
      </c>
      <c r="H715" t="s">
        <v>36</v>
      </c>
      <c r="I715">
        <v>190</v>
      </c>
    </row>
    <row r="716" spans="1:9" ht="14.5" x14ac:dyDescent="0.35">
      <c r="A716">
        <v>1</v>
      </c>
      <c r="B716" t="s">
        <v>42</v>
      </c>
      <c r="C716" t="s">
        <v>59</v>
      </c>
      <c r="D716" t="s">
        <v>66</v>
      </c>
      <c r="E716" t="s">
        <v>67</v>
      </c>
      <c r="F716" t="s">
        <v>68</v>
      </c>
      <c r="G716" t="s">
        <v>35</v>
      </c>
      <c r="H716" t="s">
        <v>36</v>
      </c>
      <c r="I716">
        <v>190</v>
      </c>
    </row>
    <row r="717" spans="1:9" ht="14.5" x14ac:dyDescent="0.35">
      <c r="A717">
        <v>1</v>
      </c>
      <c r="B717" t="s">
        <v>42</v>
      </c>
      <c r="C717" t="s">
        <v>72</v>
      </c>
      <c r="D717" t="s">
        <v>73</v>
      </c>
      <c r="E717" t="s">
        <v>74</v>
      </c>
      <c r="F717" t="s">
        <v>77</v>
      </c>
      <c r="G717" t="s">
        <v>35</v>
      </c>
      <c r="H717" t="s">
        <v>36</v>
      </c>
      <c r="I717">
        <v>190</v>
      </c>
    </row>
    <row r="718" spans="1:9" ht="14.5" x14ac:dyDescent="0.35">
      <c r="A718">
        <v>1</v>
      </c>
      <c r="B718" t="s">
        <v>42</v>
      </c>
      <c r="C718" t="s">
        <v>72</v>
      </c>
      <c r="D718" t="s">
        <v>79</v>
      </c>
      <c r="E718" t="s">
        <v>80</v>
      </c>
      <c r="F718" t="s">
        <v>84</v>
      </c>
      <c r="G718" t="s">
        <v>35</v>
      </c>
      <c r="H718" t="s">
        <v>36</v>
      </c>
      <c r="I718">
        <v>190</v>
      </c>
    </row>
    <row r="719" spans="1:9" ht="14.5" x14ac:dyDescent="0.35">
      <c r="A719">
        <v>2</v>
      </c>
      <c r="B719" t="s">
        <v>43</v>
      </c>
      <c r="C719" t="s">
        <v>59</v>
      </c>
      <c r="D719" t="s">
        <v>66</v>
      </c>
      <c r="E719" t="s">
        <v>67</v>
      </c>
      <c r="F719" t="s">
        <v>68</v>
      </c>
      <c r="G719" t="s">
        <v>35</v>
      </c>
      <c r="H719" t="s">
        <v>36</v>
      </c>
      <c r="I719">
        <v>190</v>
      </c>
    </row>
    <row r="720" spans="1:9" ht="14.5" x14ac:dyDescent="0.35">
      <c r="A720">
        <v>2</v>
      </c>
      <c r="B720" t="s">
        <v>44</v>
      </c>
      <c r="C720" t="s">
        <v>85</v>
      </c>
      <c r="D720" t="s">
        <v>86</v>
      </c>
      <c r="E720" t="s">
        <v>87</v>
      </c>
      <c r="F720" t="s">
        <v>91</v>
      </c>
      <c r="G720" t="s">
        <v>52</v>
      </c>
      <c r="H720" t="s">
        <v>36</v>
      </c>
      <c r="I720">
        <v>190</v>
      </c>
    </row>
    <row r="721" spans="1:9" ht="14.5" x14ac:dyDescent="0.35">
      <c r="A721">
        <v>2</v>
      </c>
      <c r="B721" t="s">
        <v>44</v>
      </c>
      <c r="C721" t="s">
        <v>85</v>
      </c>
      <c r="D721" t="s">
        <v>92</v>
      </c>
      <c r="E721" t="s">
        <v>93</v>
      </c>
      <c r="F721" t="s">
        <v>94</v>
      </c>
      <c r="G721" t="s">
        <v>52</v>
      </c>
      <c r="H721" t="s">
        <v>36</v>
      </c>
      <c r="I721">
        <v>190</v>
      </c>
    </row>
    <row r="722" spans="1:9" ht="14.5" x14ac:dyDescent="0.35">
      <c r="A722">
        <v>2</v>
      </c>
      <c r="B722" t="s">
        <v>44</v>
      </c>
      <c r="C722" t="s">
        <v>85</v>
      </c>
      <c r="D722" t="s">
        <v>92</v>
      </c>
      <c r="E722" t="s">
        <v>93</v>
      </c>
      <c r="F722" t="s">
        <v>95</v>
      </c>
      <c r="G722" t="s">
        <v>35</v>
      </c>
      <c r="H722" t="s">
        <v>36</v>
      </c>
      <c r="I722">
        <v>190</v>
      </c>
    </row>
    <row r="723" spans="1:9" ht="14.5" x14ac:dyDescent="0.35">
      <c r="A723">
        <v>2</v>
      </c>
      <c r="B723" t="s">
        <v>44</v>
      </c>
      <c r="C723" t="s">
        <v>59</v>
      </c>
      <c r="D723" t="s">
        <v>60</v>
      </c>
      <c r="E723" t="s">
        <v>61</v>
      </c>
      <c r="F723" t="s">
        <v>62</v>
      </c>
      <c r="G723" t="s">
        <v>52</v>
      </c>
      <c r="H723" t="s">
        <v>36</v>
      </c>
      <c r="I723">
        <v>190</v>
      </c>
    </row>
    <row r="724" spans="1:9" ht="14.5" x14ac:dyDescent="0.35">
      <c r="A724">
        <v>2</v>
      </c>
      <c r="B724" t="s">
        <v>44</v>
      </c>
      <c r="C724" t="s">
        <v>72</v>
      </c>
      <c r="D724" t="s">
        <v>73</v>
      </c>
      <c r="E724" t="s">
        <v>74</v>
      </c>
      <c r="F724" t="s">
        <v>78</v>
      </c>
      <c r="G724" t="s">
        <v>35</v>
      </c>
      <c r="H724" t="s">
        <v>36</v>
      </c>
      <c r="I724">
        <v>190</v>
      </c>
    </row>
    <row r="725" spans="1:9" ht="14.5" x14ac:dyDescent="0.35">
      <c r="A725">
        <v>2</v>
      </c>
      <c r="B725" t="s">
        <v>44</v>
      </c>
      <c r="C725" t="s">
        <v>72</v>
      </c>
      <c r="D725" t="s">
        <v>79</v>
      </c>
      <c r="E725" t="s">
        <v>80</v>
      </c>
      <c r="F725" t="s">
        <v>83</v>
      </c>
      <c r="G725" t="s">
        <v>35</v>
      </c>
      <c r="H725" t="s">
        <v>36</v>
      </c>
      <c r="I725">
        <v>190</v>
      </c>
    </row>
    <row r="726" spans="1:9" ht="14.5" x14ac:dyDescent="0.35">
      <c r="A726">
        <v>2</v>
      </c>
      <c r="B726" t="s">
        <v>45</v>
      </c>
      <c r="C726" t="s">
        <v>31</v>
      </c>
      <c r="D726" t="s">
        <v>32</v>
      </c>
      <c r="E726" t="s">
        <v>33</v>
      </c>
      <c r="F726" t="s">
        <v>40</v>
      </c>
      <c r="G726" t="s">
        <v>52</v>
      </c>
      <c r="H726" t="s">
        <v>36</v>
      </c>
      <c r="I726">
        <v>190</v>
      </c>
    </row>
    <row r="727" spans="1:9" ht="14.5" x14ac:dyDescent="0.35">
      <c r="A727">
        <v>2</v>
      </c>
      <c r="B727" t="s">
        <v>45</v>
      </c>
      <c r="C727" t="s">
        <v>85</v>
      </c>
      <c r="D727" t="s">
        <v>86</v>
      </c>
      <c r="E727" t="s">
        <v>87</v>
      </c>
      <c r="F727" t="s">
        <v>89</v>
      </c>
      <c r="G727" t="s">
        <v>52</v>
      </c>
      <c r="H727" t="s">
        <v>36</v>
      </c>
      <c r="I727">
        <v>190</v>
      </c>
    </row>
    <row r="728" spans="1:9" ht="14.5" x14ac:dyDescent="0.35">
      <c r="A728">
        <v>2</v>
      </c>
      <c r="B728" t="s">
        <v>45</v>
      </c>
      <c r="C728" t="s">
        <v>59</v>
      </c>
      <c r="D728" t="s">
        <v>60</v>
      </c>
      <c r="E728" t="s">
        <v>61</v>
      </c>
      <c r="F728" t="s">
        <v>62</v>
      </c>
      <c r="G728" t="s">
        <v>35</v>
      </c>
      <c r="H728" t="s">
        <v>36</v>
      </c>
      <c r="I728">
        <v>190</v>
      </c>
    </row>
    <row r="729" spans="1:9" ht="14.5" x14ac:dyDescent="0.35">
      <c r="A729">
        <v>2</v>
      </c>
      <c r="B729" t="s">
        <v>45</v>
      </c>
      <c r="C729" t="s">
        <v>59</v>
      </c>
      <c r="D729" t="s">
        <v>60</v>
      </c>
      <c r="E729" t="s">
        <v>61</v>
      </c>
      <c r="F729" t="s">
        <v>62</v>
      </c>
      <c r="G729" t="s">
        <v>52</v>
      </c>
      <c r="H729" t="s">
        <v>36</v>
      </c>
      <c r="I729">
        <v>190</v>
      </c>
    </row>
    <row r="730" spans="1:9" ht="14.5" x14ac:dyDescent="0.35">
      <c r="A730">
        <v>3</v>
      </c>
      <c r="B730" t="s">
        <v>46</v>
      </c>
      <c r="C730" t="s">
        <v>31</v>
      </c>
      <c r="D730" t="s">
        <v>32</v>
      </c>
      <c r="E730" t="s">
        <v>33</v>
      </c>
      <c r="F730" t="s">
        <v>34</v>
      </c>
      <c r="G730" t="s">
        <v>52</v>
      </c>
      <c r="H730" t="s">
        <v>36</v>
      </c>
      <c r="I730">
        <v>190</v>
      </c>
    </row>
    <row r="731" spans="1:9" ht="14.5" x14ac:dyDescent="0.35">
      <c r="A731">
        <v>3</v>
      </c>
      <c r="B731" t="s">
        <v>46</v>
      </c>
      <c r="C731" t="s">
        <v>85</v>
      </c>
      <c r="D731" t="s">
        <v>86</v>
      </c>
      <c r="E731" t="s">
        <v>87</v>
      </c>
      <c r="F731" t="s">
        <v>89</v>
      </c>
      <c r="G731" t="s">
        <v>35</v>
      </c>
      <c r="H731" t="s">
        <v>36</v>
      </c>
      <c r="I731">
        <v>190</v>
      </c>
    </row>
    <row r="732" spans="1:9" ht="14.5" x14ac:dyDescent="0.35">
      <c r="A732">
        <v>3</v>
      </c>
      <c r="B732" t="s">
        <v>46</v>
      </c>
      <c r="C732" t="s">
        <v>85</v>
      </c>
      <c r="D732" t="s">
        <v>86</v>
      </c>
      <c r="E732" t="s">
        <v>87</v>
      </c>
      <c r="F732" t="s">
        <v>89</v>
      </c>
      <c r="G732" t="s">
        <v>52</v>
      </c>
      <c r="H732" t="s">
        <v>36</v>
      </c>
      <c r="I732">
        <v>190</v>
      </c>
    </row>
    <row r="733" spans="1:9" ht="14.5" x14ac:dyDescent="0.35">
      <c r="A733">
        <v>3</v>
      </c>
      <c r="B733" t="s">
        <v>46</v>
      </c>
      <c r="C733" t="s">
        <v>59</v>
      </c>
      <c r="D733" t="s">
        <v>60</v>
      </c>
      <c r="E733" t="s">
        <v>61</v>
      </c>
      <c r="F733" t="s">
        <v>63</v>
      </c>
      <c r="G733" t="s">
        <v>52</v>
      </c>
      <c r="H733" t="s">
        <v>36</v>
      </c>
      <c r="I733">
        <v>190</v>
      </c>
    </row>
    <row r="734" spans="1:9" ht="14.5" x14ac:dyDescent="0.35">
      <c r="A734">
        <v>3</v>
      </c>
      <c r="B734" t="s">
        <v>46</v>
      </c>
      <c r="C734" t="s">
        <v>59</v>
      </c>
      <c r="D734" t="s">
        <v>66</v>
      </c>
      <c r="E734" t="s">
        <v>67</v>
      </c>
      <c r="F734" t="s">
        <v>68</v>
      </c>
      <c r="G734" t="s">
        <v>52</v>
      </c>
      <c r="H734" t="s">
        <v>36</v>
      </c>
      <c r="I734">
        <v>190</v>
      </c>
    </row>
    <row r="735" spans="1:9" ht="14.5" x14ac:dyDescent="0.35">
      <c r="A735">
        <v>3</v>
      </c>
      <c r="B735" t="s">
        <v>46</v>
      </c>
      <c r="C735" t="s">
        <v>72</v>
      </c>
      <c r="D735" t="s">
        <v>79</v>
      </c>
      <c r="E735" t="s">
        <v>80</v>
      </c>
      <c r="F735" t="s">
        <v>82</v>
      </c>
      <c r="G735" t="s">
        <v>35</v>
      </c>
      <c r="H735" t="s">
        <v>36</v>
      </c>
      <c r="I735">
        <v>190</v>
      </c>
    </row>
    <row r="736" spans="1:9" ht="14.5" x14ac:dyDescent="0.35">
      <c r="A736">
        <v>3</v>
      </c>
      <c r="B736" t="s">
        <v>47</v>
      </c>
      <c r="C736" t="s">
        <v>85</v>
      </c>
      <c r="D736" t="s">
        <v>86</v>
      </c>
      <c r="E736" t="s">
        <v>87</v>
      </c>
      <c r="F736" t="s">
        <v>89</v>
      </c>
      <c r="G736" t="s">
        <v>35</v>
      </c>
      <c r="H736" t="s">
        <v>36</v>
      </c>
      <c r="I736">
        <v>190</v>
      </c>
    </row>
    <row r="737" spans="1:9" ht="14.5" x14ac:dyDescent="0.35">
      <c r="A737">
        <v>3</v>
      </c>
      <c r="B737" t="s">
        <v>47</v>
      </c>
      <c r="C737" t="s">
        <v>85</v>
      </c>
      <c r="D737" t="s">
        <v>86</v>
      </c>
      <c r="E737" t="s">
        <v>87</v>
      </c>
      <c r="F737" t="s">
        <v>90</v>
      </c>
      <c r="G737" t="s">
        <v>35</v>
      </c>
      <c r="H737" t="s">
        <v>36</v>
      </c>
      <c r="I737">
        <v>190</v>
      </c>
    </row>
    <row r="738" spans="1:9" ht="14.5" x14ac:dyDescent="0.35">
      <c r="A738">
        <v>3</v>
      </c>
      <c r="B738" t="s">
        <v>47</v>
      </c>
      <c r="C738" t="s">
        <v>59</v>
      </c>
      <c r="D738" t="s">
        <v>60</v>
      </c>
      <c r="E738" t="s">
        <v>61</v>
      </c>
      <c r="F738" t="s">
        <v>64</v>
      </c>
      <c r="G738" t="s">
        <v>35</v>
      </c>
      <c r="H738" t="s">
        <v>36</v>
      </c>
      <c r="I738">
        <v>190</v>
      </c>
    </row>
    <row r="739" spans="1:9" ht="14.5" x14ac:dyDescent="0.35">
      <c r="A739">
        <v>3</v>
      </c>
      <c r="B739" t="s">
        <v>47</v>
      </c>
      <c r="C739" t="s">
        <v>72</v>
      </c>
      <c r="D739" t="s">
        <v>73</v>
      </c>
      <c r="E739" t="s">
        <v>74</v>
      </c>
      <c r="F739" t="s">
        <v>76</v>
      </c>
      <c r="G739" t="s">
        <v>52</v>
      </c>
      <c r="H739" t="s">
        <v>36</v>
      </c>
      <c r="I739">
        <v>190</v>
      </c>
    </row>
    <row r="740" spans="1:9" ht="14.5" x14ac:dyDescent="0.35">
      <c r="A740">
        <v>3</v>
      </c>
      <c r="B740" t="s">
        <v>47</v>
      </c>
      <c r="C740" t="s">
        <v>72</v>
      </c>
      <c r="D740" t="s">
        <v>73</v>
      </c>
      <c r="E740" t="s">
        <v>74</v>
      </c>
      <c r="F740" t="s">
        <v>77</v>
      </c>
      <c r="G740" t="s">
        <v>35</v>
      </c>
      <c r="H740" t="s">
        <v>36</v>
      </c>
      <c r="I740">
        <v>190</v>
      </c>
    </row>
    <row r="741" spans="1:9" ht="14.5" x14ac:dyDescent="0.35">
      <c r="A741">
        <v>3</v>
      </c>
      <c r="B741" t="s">
        <v>47</v>
      </c>
      <c r="C741" t="s">
        <v>72</v>
      </c>
      <c r="D741" t="s">
        <v>79</v>
      </c>
      <c r="E741" t="s">
        <v>80</v>
      </c>
      <c r="F741" t="s">
        <v>84</v>
      </c>
      <c r="G741" t="s">
        <v>35</v>
      </c>
      <c r="H741" t="s">
        <v>36</v>
      </c>
      <c r="I741">
        <v>190</v>
      </c>
    </row>
    <row r="742" spans="1:9" ht="14.5" x14ac:dyDescent="0.35">
      <c r="A742">
        <v>3</v>
      </c>
      <c r="B742" t="s">
        <v>48</v>
      </c>
      <c r="C742" t="s">
        <v>85</v>
      </c>
      <c r="D742" t="s">
        <v>92</v>
      </c>
      <c r="E742" t="s">
        <v>93</v>
      </c>
      <c r="F742" t="s">
        <v>96</v>
      </c>
      <c r="G742" t="s">
        <v>35</v>
      </c>
      <c r="H742" t="s">
        <v>36</v>
      </c>
      <c r="I742">
        <v>190</v>
      </c>
    </row>
    <row r="743" spans="1:9" ht="14.5" x14ac:dyDescent="0.35">
      <c r="A743">
        <v>3</v>
      </c>
      <c r="B743" t="s">
        <v>48</v>
      </c>
      <c r="C743" t="s">
        <v>59</v>
      </c>
      <c r="D743" t="s">
        <v>66</v>
      </c>
      <c r="E743" t="s">
        <v>67</v>
      </c>
      <c r="F743" t="s">
        <v>70</v>
      </c>
      <c r="G743" t="s">
        <v>35</v>
      </c>
      <c r="H743" t="s">
        <v>36</v>
      </c>
      <c r="I743">
        <v>190</v>
      </c>
    </row>
    <row r="744" spans="1:9" ht="14.5" x14ac:dyDescent="0.35">
      <c r="A744">
        <v>3</v>
      </c>
      <c r="B744" t="s">
        <v>48</v>
      </c>
      <c r="C744" t="s">
        <v>72</v>
      </c>
      <c r="D744" t="s">
        <v>73</v>
      </c>
      <c r="E744" t="s">
        <v>74</v>
      </c>
      <c r="F744" t="s">
        <v>75</v>
      </c>
      <c r="G744" t="s">
        <v>35</v>
      </c>
      <c r="H744" t="s">
        <v>36</v>
      </c>
      <c r="I744">
        <v>190</v>
      </c>
    </row>
    <row r="745" spans="1:9" ht="14.5" x14ac:dyDescent="0.35">
      <c r="A745">
        <v>3</v>
      </c>
      <c r="B745" t="s">
        <v>48</v>
      </c>
      <c r="C745" t="s">
        <v>72</v>
      </c>
      <c r="D745" t="s">
        <v>73</v>
      </c>
      <c r="E745" t="s">
        <v>74</v>
      </c>
      <c r="F745" t="s">
        <v>76</v>
      </c>
      <c r="G745" t="s">
        <v>52</v>
      </c>
      <c r="H745" t="s">
        <v>36</v>
      </c>
      <c r="I745">
        <v>190</v>
      </c>
    </row>
    <row r="746" spans="1:9" ht="14.5" x14ac:dyDescent="0.35">
      <c r="A746">
        <v>3</v>
      </c>
      <c r="B746" t="s">
        <v>48</v>
      </c>
      <c r="C746" t="s">
        <v>72</v>
      </c>
      <c r="D746" t="s">
        <v>79</v>
      </c>
      <c r="E746" t="s">
        <v>80</v>
      </c>
      <c r="F746" t="s">
        <v>82</v>
      </c>
      <c r="G746" t="s">
        <v>52</v>
      </c>
      <c r="H746" t="s">
        <v>36</v>
      </c>
      <c r="I746">
        <v>190</v>
      </c>
    </row>
    <row r="747" spans="1:9" ht="14.5" x14ac:dyDescent="0.35">
      <c r="A747">
        <v>4</v>
      </c>
      <c r="B747" t="s">
        <v>49</v>
      </c>
      <c r="C747" t="s">
        <v>31</v>
      </c>
      <c r="D747" t="s">
        <v>32</v>
      </c>
      <c r="E747" t="s">
        <v>33</v>
      </c>
      <c r="F747" t="s">
        <v>34</v>
      </c>
      <c r="G747" t="s">
        <v>52</v>
      </c>
      <c r="H747" t="s">
        <v>36</v>
      </c>
      <c r="I747">
        <v>190</v>
      </c>
    </row>
    <row r="748" spans="1:9" ht="14.5" x14ac:dyDescent="0.35">
      <c r="A748">
        <v>4</v>
      </c>
      <c r="B748" t="s">
        <v>49</v>
      </c>
      <c r="C748" t="s">
        <v>85</v>
      </c>
      <c r="D748" t="s">
        <v>86</v>
      </c>
      <c r="E748" t="s">
        <v>87</v>
      </c>
      <c r="F748" t="s">
        <v>90</v>
      </c>
      <c r="G748" t="s">
        <v>35</v>
      </c>
      <c r="H748" t="s">
        <v>36</v>
      </c>
      <c r="I748">
        <v>190</v>
      </c>
    </row>
    <row r="749" spans="1:9" ht="14.5" x14ac:dyDescent="0.35">
      <c r="A749">
        <v>4</v>
      </c>
      <c r="B749" t="s">
        <v>49</v>
      </c>
      <c r="C749" t="s">
        <v>59</v>
      </c>
      <c r="D749" t="s">
        <v>60</v>
      </c>
      <c r="E749" t="s">
        <v>61</v>
      </c>
      <c r="F749" t="s">
        <v>65</v>
      </c>
      <c r="G749" t="s">
        <v>35</v>
      </c>
      <c r="H749" t="s">
        <v>36</v>
      </c>
      <c r="I749">
        <v>190</v>
      </c>
    </row>
    <row r="750" spans="1:9" ht="14.5" x14ac:dyDescent="0.35">
      <c r="A750">
        <v>4</v>
      </c>
      <c r="B750" t="s">
        <v>49</v>
      </c>
      <c r="C750" t="s">
        <v>59</v>
      </c>
      <c r="D750" t="s">
        <v>66</v>
      </c>
      <c r="E750" t="s">
        <v>67</v>
      </c>
      <c r="F750" t="s">
        <v>68</v>
      </c>
      <c r="G750" t="s">
        <v>52</v>
      </c>
      <c r="H750" t="s">
        <v>36</v>
      </c>
      <c r="I750">
        <v>190</v>
      </c>
    </row>
    <row r="751" spans="1:9" ht="14.5" x14ac:dyDescent="0.35">
      <c r="A751">
        <v>4</v>
      </c>
      <c r="B751" t="s">
        <v>49</v>
      </c>
      <c r="C751" t="s">
        <v>72</v>
      </c>
      <c r="D751" t="s">
        <v>73</v>
      </c>
      <c r="E751" t="s">
        <v>74</v>
      </c>
      <c r="F751" t="s">
        <v>75</v>
      </c>
      <c r="G751" t="s">
        <v>35</v>
      </c>
      <c r="H751" t="s">
        <v>36</v>
      </c>
      <c r="I751">
        <v>190</v>
      </c>
    </row>
    <row r="752" spans="1:9" ht="14.5" x14ac:dyDescent="0.35">
      <c r="A752">
        <v>4</v>
      </c>
      <c r="B752" t="s">
        <v>49</v>
      </c>
      <c r="C752" t="s">
        <v>72</v>
      </c>
      <c r="D752" t="s">
        <v>73</v>
      </c>
      <c r="E752" t="s">
        <v>74</v>
      </c>
      <c r="F752" t="s">
        <v>77</v>
      </c>
      <c r="G752" t="s">
        <v>35</v>
      </c>
      <c r="H752" t="s">
        <v>36</v>
      </c>
      <c r="I752">
        <v>190</v>
      </c>
    </row>
    <row r="753" spans="1:9" ht="14.5" x14ac:dyDescent="0.35">
      <c r="A753">
        <v>4</v>
      </c>
      <c r="B753" t="s">
        <v>49</v>
      </c>
      <c r="C753" t="s">
        <v>72</v>
      </c>
      <c r="D753" t="s">
        <v>79</v>
      </c>
      <c r="E753" t="s">
        <v>80</v>
      </c>
      <c r="F753" t="s">
        <v>81</v>
      </c>
      <c r="G753" t="s">
        <v>52</v>
      </c>
      <c r="H753" t="s">
        <v>36</v>
      </c>
      <c r="I753">
        <v>190</v>
      </c>
    </row>
    <row r="754" spans="1:9" ht="14.5" x14ac:dyDescent="0.35">
      <c r="A754">
        <v>4</v>
      </c>
      <c r="B754" t="s">
        <v>49</v>
      </c>
      <c r="C754" t="s">
        <v>72</v>
      </c>
      <c r="D754" t="s">
        <v>79</v>
      </c>
      <c r="E754" t="s">
        <v>80</v>
      </c>
      <c r="F754" t="s">
        <v>82</v>
      </c>
      <c r="G754" t="s">
        <v>35</v>
      </c>
      <c r="H754" t="s">
        <v>36</v>
      </c>
      <c r="I754">
        <v>190</v>
      </c>
    </row>
    <row r="755" spans="1:9" ht="14.5" x14ac:dyDescent="0.35">
      <c r="A755">
        <v>4</v>
      </c>
      <c r="B755" t="s">
        <v>50</v>
      </c>
      <c r="C755" t="s">
        <v>31</v>
      </c>
      <c r="D755" t="s">
        <v>53</v>
      </c>
      <c r="E755" t="s">
        <v>54</v>
      </c>
      <c r="F755" t="s">
        <v>55</v>
      </c>
      <c r="G755" t="s">
        <v>35</v>
      </c>
      <c r="H755" t="s">
        <v>36</v>
      </c>
      <c r="I755">
        <v>190</v>
      </c>
    </row>
    <row r="756" spans="1:9" ht="14.5" x14ac:dyDescent="0.35">
      <c r="A756">
        <v>4</v>
      </c>
      <c r="B756" t="s">
        <v>50</v>
      </c>
      <c r="C756" t="s">
        <v>85</v>
      </c>
      <c r="D756" t="s">
        <v>92</v>
      </c>
      <c r="E756" t="s">
        <v>93</v>
      </c>
      <c r="F756" t="s">
        <v>94</v>
      </c>
      <c r="G756" t="s">
        <v>35</v>
      </c>
      <c r="H756" t="s">
        <v>36</v>
      </c>
      <c r="I756">
        <v>190</v>
      </c>
    </row>
    <row r="757" spans="1:9" ht="14.5" x14ac:dyDescent="0.35">
      <c r="A757">
        <v>4</v>
      </c>
      <c r="B757" t="s">
        <v>51</v>
      </c>
      <c r="C757" t="s">
        <v>31</v>
      </c>
      <c r="D757" t="s">
        <v>32</v>
      </c>
      <c r="E757" t="s">
        <v>33</v>
      </c>
      <c r="F757" t="s">
        <v>34</v>
      </c>
      <c r="G757" t="s">
        <v>35</v>
      </c>
      <c r="H757" t="s">
        <v>36</v>
      </c>
      <c r="I757">
        <v>190</v>
      </c>
    </row>
    <row r="758" spans="1:9" ht="14.5" x14ac:dyDescent="0.35">
      <c r="A758">
        <v>4</v>
      </c>
      <c r="B758" t="s">
        <v>51</v>
      </c>
      <c r="C758" t="s">
        <v>31</v>
      </c>
      <c r="D758" t="s">
        <v>53</v>
      </c>
      <c r="E758" t="s">
        <v>54</v>
      </c>
      <c r="F758" t="s">
        <v>57</v>
      </c>
      <c r="G758" t="s">
        <v>35</v>
      </c>
      <c r="H758" t="s">
        <v>36</v>
      </c>
      <c r="I758">
        <v>190</v>
      </c>
    </row>
    <row r="759" spans="1:9" ht="14.5" x14ac:dyDescent="0.35">
      <c r="A759">
        <v>4</v>
      </c>
      <c r="B759" t="s">
        <v>51</v>
      </c>
      <c r="C759" t="s">
        <v>31</v>
      </c>
      <c r="D759" t="s">
        <v>53</v>
      </c>
      <c r="E759" t="s">
        <v>54</v>
      </c>
      <c r="F759" t="s">
        <v>57</v>
      </c>
      <c r="G759" t="s">
        <v>52</v>
      </c>
      <c r="H759" t="s">
        <v>36</v>
      </c>
      <c r="I759">
        <v>190</v>
      </c>
    </row>
    <row r="760" spans="1:9" ht="14.5" x14ac:dyDescent="0.35">
      <c r="A760">
        <v>4</v>
      </c>
      <c r="B760" t="s">
        <v>51</v>
      </c>
      <c r="C760" t="s">
        <v>85</v>
      </c>
      <c r="D760" t="s">
        <v>86</v>
      </c>
      <c r="E760" t="s">
        <v>87</v>
      </c>
      <c r="F760" t="s">
        <v>88</v>
      </c>
      <c r="G760" t="s">
        <v>35</v>
      </c>
      <c r="H760" t="s">
        <v>36</v>
      </c>
      <c r="I760">
        <v>190</v>
      </c>
    </row>
    <row r="761" spans="1:9" ht="14.5" x14ac:dyDescent="0.35">
      <c r="A761">
        <v>4</v>
      </c>
      <c r="B761" t="s">
        <v>51</v>
      </c>
      <c r="C761" t="s">
        <v>85</v>
      </c>
      <c r="D761" t="s">
        <v>86</v>
      </c>
      <c r="E761" t="s">
        <v>87</v>
      </c>
      <c r="F761" t="s">
        <v>90</v>
      </c>
      <c r="G761" t="s">
        <v>35</v>
      </c>
      <c r="H761" t="s">
        <v>36</v>
      </c>
      <c r="I761">
        <v>190</v>
      </c>
    </row>
    <row r="762" spans="1:9" ht="14.5" x14ac:dyDescent="0.35">
      <c r="A762">
        <v>4</v>
      </c>
      <c r="B762" t="s">
        <v>51</v>
      </c>
      <c r="C762" t="s">
        <v>59</v>
      </c>
      <c r="D762" t="s">
        <v>60</v>
      </c>
      <c r="E762" t="s">
        <v>61</v>
      </c>
      <c r="F762" t="s">
        <v>64</v>
      </c>
      <c r="G762" t="s">
        <v>52</v>
      </c>
      <c r="H762" t="s">
        <v>36</v>
      </c>
      <c r="I762">
        <v>190</v>
      </c>
    </row>
    <row r="763" spans="1:9" ht="14.5" x14ac:dyDescent="0.35">
      <c r="A763">
        <v>4</v>
      </c>
      <c r="B763" t="s">
        <v>51</v>
      </c>
      <c r="C763" t="s">
        <v>59</v>
      </c>
      <c r="D763" t="s">
        <v>66</v>
      </c>
      <c r="E763" t="s">
        <v>67</v>
      </c>
      <c r="F763" t="s">
        <v>69</v>
      </c>
      <c r="G763" t="s">
        <v>52</v>
      </c>
      <c r="H763" t="s">
        <v>36</v>
      </c>
      <c r="I763">
        <v>190</v>
      </c>
    </row>
    <row r="764" spans="1:9" ht="14.5" x14ac:dyDescent="0.35">
      <c r="A764">
        <v>4</v>
      </c>
      <c r="B764" t="s">
        <v>51</v>
      </c>
      <c r="C764" t="s">
        <v>72</v>
      </c>
      <c r="D764" t="s">
        <v>73</v>
      </c>
      <c r="E764" t="s">
        <v>74</v>
      </c>
      <c r="F764" t="s">
        <v>75</v>
      </c>
      <c r="G764" t="s">
        <v>35</v>
      </c>
      <c r="H764" t="s">
        <v>36</v>
      </c>
      <c r="I764">
        <v>190</v>
      </c>
    </row>
    <row r="765" spans="1:9" ht="14.5" x14ac:dyDescent="0.35">
      <c r="A765">
        <v>4</v>
      </c>
      <c r="B765" t="s">
        <v>51</v>
      </c>
      <c r="C765" t="s">
        <v>72</v>
      </c>
      <c r="D765" t="s">
        <v>73</v>
      </c>
      <c r="E765" t="s">
        <v>74</v>
      </c>
      <c r="F765" t="s">
        <v>77</v>
      </c>
      <c r="G765" t="s">
        <v>35</v>
      </c>
      <c r="H765" t="s">
        <v>36</v>
      </c>
      <c r="I765">
        <v>190</v>
      </c>
    </row>
    <row r="766" spans="1:9" ht="14.5" x14ac:dyDescent="0.35">
      <c r="A766">
        <v>1</v>
      </c>
      <c r="B766" t="s">
        <v>41</v>
      </c>
      <c r="C766" t="s">
        <v>85</v>
      </c>
      <c r="D766" t="s">
        <v>92</v>
      </c>
      <c r="E766" t="s">
        <v>93</v>
      </c>
      <c r="F766" t="s">
        <v>97</v>
      </c>
      <c r="G766" t="s">
        <v>35</v>
      </c>
      <c r="H766" t="s">
        <v>36</v>
      </c>
      <c r="I766">
        <v>200</v>
      </c>
    </row>
    <row r="767" spans="1:9" ht="14.5" x14ac:dyDescent="0.35">
      <c r="A767">
        <v>1</v>
      </c>
      <c r="B767" t="s">
        <v>42</v>
      </c>
      <c r="C767" t="s">
        <v>85</v>
      </c>
      <c r="D767" t="s">
        <v>92</v>
      </c>
      <c r="E767" t="s">
        <v>93</v>
      </c>
      <c r="F767" t="s">
        <v>96</v>
      </c>
      <c r="G767" t="s">
        <v>35</v>
      </c>
      <c r="H767" t="s">
        <v>36</v>
      </c>
      <c r="I767">
        <v>200</v>
      </c>
    </row>
    <row r="768" spans="1:9" ht="14.5" x14ac:dyDescent="0.35">
      <c r="A768">
        <v>2</v>
      </c>
      <c r="B768" t="s">
        <v>43</v>
      </c>
      <c r="C768" t="s">
        <v>72</v>
      </c>
      <c r="D768" t="s">
        <v>73</v>
      </c>
      <c r="E768" t="s">
        <v>74</v>
      </c>
      <c r="F768" t="s">
        <v>75</v>
      </c>
      <c r="G768" t="s">
        <v>52</v>
      </c>
      <c r="H768" t="s">
        <v>36</v>
      </c>
      <c r="I768">
        <v>200</v>
      </c>
    </row>
    <row r="769" spans="1:9" ht="14.5" x14ac:dyDescent="0.35">
      <c r="A769">
        <v>2</v>
      </c>
      <c r="B769" t="s">
        <v>44</v>
      </c>
      <c r="C769" t="s">
        <v>85</v>
      </c>
      <c r="D769" t="s">
        <v>92</v>
      </c>
      <c r="E769" t="s">
        <v>93</v>
      </c>
      <c r="F769" t="s">
        <v>97</v>
      </c>
      <c r="G769" t="s">
        <v>52</v>
      </c>
      <c r="H769" t="s">
        <v>36</v>
      </c>
      <c r="I769">
        <v>200</v>
      </c>
    </row>
    <row r="770" spans="1:9" ht="14.5" x14ac:dyDescent="0.35">
      <c r="A770">
        <v>1</v>
      </c>
      <c r="B770" t="s">
        <v>30</v>
      </c>
      <c r="C770" t="s">
        <v>31</v>
      </c>
      <c r="D770" t="s">
        <v>32</v>
      </c>
      <c r="E770" t="s">
        <v>33</v>
      </c>
      <c r="F770" t="s">
        <v>34</v>
      </c>
      <c r="G770" t="s">
        <v>52</v>
      </c>
      <c r="H770" t="s">
        <v>38</v>
      </c>
      <c r="I770">
        <v>50</v>
      </c>
    </row>
    <row r="771" spans="1:9" ht="14.5" x14ac:dyDescent="0.35">
      <c r="A771">
        <v>1</v>
      </c>
      <c r="B771" t="s">
        <v>30</v>
      </c>
      <c r="C771" t="s">
        <v>31</v>
      </c>
      <c r="D771" t="s">
        <v>53</v>
      </c>
      <c r="E771" t="s">
        <v>54</v>
      </c>
      <c r="F771" t="s">
        <v>58</v>
      </c>
      <c r="G771" t="s">
        <v>35</v>
      </c>
      <c r="H771" t="s">
        <v>38</v>
      </c>
      <c r="I771">
        <v>50</v>
      </c>
    </row>
    <row r="772" spans="1:9" ht="14.5" x14ac:dyDescent="0.35">
      <c r="A772">
        <v>1</v>
      </c>
      <c r="B772" t="s">
        <v>30</v>
      </c>
      <c r="C772" t="s">
        <v>85</v>
      </c>
      <c r="D772" t="s">
        <v>86</v>
      </c>
      <c r="E772" t="s">
        <v>87</v>
      </c>
      <c r="F772" t="s">
        <v>90</v>
      </c>
      <c r="G772" t="s">
        <v>35</v>
      </c>
      <c r="H772" t="s">
        <v>38</v>
      </c>
      <c r="I772">
        <v>50</v>
      </c>
    </row>
    <row r="773" spans="1:9" ht="14.5" x14ac:dyDescent="0.35">
      <c r="A773">
        <v>1</v>
      </c>
      <c r="B773" t="s">
        <v>30</v>
      </c>
      <c r="C773" t="s">
        <v>85</v>
      </c>
      <c r="D773" t="s">
        <v>86</v>
      </c>
      <c r="E773" t="s">
        <v>87</v>
      </c>
      <c r="F773" t="s">
        <v>91</v>
      </c>
      <c r="G773" t="s">
        <v>52</v>
      </c>
      <c r="H773" t="s">
        <v>38</v>
      </c>
      <c r="I773">
        <v>50</v>
      </c>
    </row>
    <row r="774" spans="1:9" ht="14.5" x14ac:dyDescent="0.35">
      <c r="A774">
        <v>1</v>
      </c>
      <c r="B774" t="s">
        <v>41</v>
      </c>
      <c r="C774" t="s">
        <v>85</v>
      </c>
      <c r="D774" t="s">
        <v>92</v>
      </c>
      <c r="E774" t="s">
        <v>93</v>
      </c>
      <c r="F774" t="s">
        <v>97</v>
      </c>
      <c r="G774" t="s">
        <v>35</v>
      </c>
      <c r="H774" t="s">
        <v>38</v>
      </c>
      <c r="I774">
        <v>50</v>
      </c>
    </row>
    <row r="775" spans="1:9" ht="14.5" x14ac:dyDescent="0.35">
      <c r="A775">
        <v>1</v>
      </c>
      <c r="B775" t="s">
        <v>41</v>
      </c>
      <c r="C775" t="s">
        <v>59</v>
      </c>
      <c r="D775" t="s">
        <v>60</v>
      </c>
      <c r="E775" t="s">
        <v>61</v>
      </c>
      <c r="F775" t="s">
        <v>65</v>
      </c>
      <c r="G775" t="s">
        <v>35</v>
      </c>
      <c r="H775" t="s">
        <v>38</v>
      </c>
      <c r="I775">
        <v>50</v>
      </c>
    </row>
    <row r="776" spans="1:9" ht="14.5" x14ac:dyDescent="0.35">
      <c r="A776">
        <v>1</v>
      </c>
      <c r="B776" t="s">
        <v>41</v>
      </c>
      <c r="C776" t="s">
        <v>72</v>
      </c>
      <c r="D776" t="s">
        <v>73</v>
      </c>
      <c r="E776" t="s">
        <v>74</v>
      </c>
      <c r="F776" t="s">
        <v>78</v>
      </c>
      <c r="G776" t="s">
        <v>52</v>
      </c>
      <c r="H776" t="s">
        <v>38</v>
      </c>
      <c r="I776">
        <v>50</v>
      </c>
    </row>
    <row r="777" spans="1:9" ht="14.5" x14ac:dyDescent="0.35">
      <c r="A777">
        <v>1</v>
      </c>
      <c r="B777" t="s">
        <v>42</v>
      </c>
      <c r="C777" t="s">
        <v>31</v>
      </c>
      <c r="D777" t="s">
        <v>32</v>
      </c>
      <c r="E777" t="s">
        <v>33</v>
      </c>
      <c r="F777" t="s">
        <v>39</v>
      </c>
      <c r="G777" t="s">
        <v>52</v>
      </c>
      <c r="H777" t="s">
        <v>38</v>
      </c>
      <c r="I777">
        <v>50</v>
      </c>
    </row>
    <row r="778" spans="1:9" ht="14.5" x14ac:dyDescent="0.35">
      <c r="A778">
        <v>1</v>
      </c>
      <c r="B778" t="s">
        <v>42</v>
      </c>
      <c r="C778" t="s">
        <v>85</v>
      </c>
      <c r="D778" t="s">
        <v>92</v>
      </c>
      <c r="E778" t="s">
        <v>93</v>
      </c>
      <c r="F778" t="s">
        <v>94</v>
      </c>
      <c r="G778" t="s">
        <v>52</v>
      </c>
      <c r="H778" t="s">
        <v>38</v>
      </c>
      <c r="I778">
        <v>50</v>
      </c>
    </row>
    <row r="779" spans="1:9" ht="14.5" x14ac:dyDescent="0.35">
      <c r="A779">
        <v>1</v>
      </c>
      <c r="B779" t="s">
        <v>42</v>
      </c>
      <c r="C779" t="s">
        <v>72</v>
      </c>
      <c r="D779" t="s">
        <v>79</v>
      </c>
      <c r="E779" t="s">
        <v>80</v>
      </c>
      <c r="F779" t="s">
        <v>82</v>
      </c>
      <c r="G779" t="s">
        <v>52</v>
      </c>
      <c r="H779" t="s">
        <v>38</v>
      </c>
      <c r="I779">
        <v>50</v>
      </c>
    </row>
    <row r="780" spans="1:9" ht="14.5" x14ac:dyDescent="0.35">
      <c r="A780">
        <v>2</v>
      </c>
      <c r="B780" t="s">
        <v>43</v>
      </c>
      <c r="C780" t="s">
        <v>31</v>
      </c>
      <c r="D780" t="s">
        <v>32</v>
      </c>
      <c r="E780" t="s">
        <v>33</v>
      </c>
      <c r="F780" t="s">
        <v>37</v>
      </c>
      <c r="G780" t="s">
        <v>52</v>
      </c>
      <c r="H780" t="s">
        <v>38</v>
      </c>
      <c r="I780">
        <v>50</v>
      </c>
    </row>
    <row r="781" spans="1:9" ht="14.5" x14ac:dyDescent="0.35">
      <c r="A781">
        <v>2</v>
      </c>
      <c r="B781" t="s">
        <v>43</v>
      </c>
      <c r="C781" t="s">
        <v>31</v>
      </c>
      <c r="D781" t="s">
        <v>32</v>
      </c>
      <c r="E781" t="s">
        <v>33</v>
      </c>
      <c r="F781" t="s">
        <v>34</v>
      </c>
      <c r="G781" t="s">
        <v>35</v>
      </c>
      <c r="H781" t="s">
        <v>38</v>
      </c>
      <c r="I781">
        <v>50</v>
      </c>
    </row>
    <row r="782" spans="1:9" ht="14.5" x14ac:dyDescent="0.35">
      <c r="A782">
        <v>2</v>
      </c>
      <c r="B782" t="s">
        <v>43</v>
      </c>
      <c r="C782" t="s">
        <v>31</v>
      </c>
      <c r="D782" t="s">
        <v>53</v>
      </c>
      <c r="E782" t="s">
        <v>54</v>
      </c>
      <c r="F782" t="s">
        <v>56</v>
      </c>
      <c r="G782" t="s">
        <v>52</v>
      </c>
      <c r="H782" t="s">
        <v>38</v>
      </c>
      <c r="I782">
        <v>50</v>
      </c>
    </row>
    <row r="783" spans="1:9" ht="14.5" x14ac:dyDescent="0.35">
      <c r="A783">
        <v>2</v>
      </c>
      <c r="B783" t="s">
        <v>43</v>
      </c>
      <c r="C783" t="s">
        <v>31</v>
      </c>
      <c r="D783" t="s">
        <v>53</v>
      </c>
      <c r="E783" t="s">
        <v>54</v>
      </c>
      <c r="F783" t="s">
        <v>57</v>
      </c>
      <c r="G783" t="s">
        <v>35</v>
      </c>
      <c r="H783" t="s">
        <v>38</v>
      </c>
      <c r="I783">
        <v>50</v>
      </c>
    </row>
    <row r="784" spans="1:9" ht="14.5" x14ac:dyDescent="0.35">
      <c r="A784">
        <v>2</v>
      </c>
      <c r="B784" t="s">
        <v>43</v>
      </c>
      <c r="C784" t="s">
        <v>59</v>
      </c>
      <c r="D784" t="s">
        <v>66</v>
      </c>
      <c r="E784" t="s">
        <v>67</v>
      </c>
      <c r="F784" t="s">
        <v>70</v>
      </c>
      <c r="G784" t="s">
        <v>52</v>
      </c>
      <c r="H784" t="s">
        <v>38</v>
      </c>
      <c r="I784">
        <v>50</v>
      </c>
    </row>
    <row r="785" spans="1:9" ht="14.5" x14ac:dyDescent="0.35">
      <c r="A785">
        <v>2</v>
      </c>
      <c r="B785" t="s">
        <v>44</v>
      </c>
      <c r="C785" t="s">
        <v>31</v>
      </c>
      <c r="D785" t="s">
        <v>32</v>
      </c>
      <c r="E785" t="s">
        <v>33</v>
      </c>
      <c r="F785" t="s">
        <v>37</v>
      </c>
      <c r="G785" t="s">
        <v>35</v>
      </c>
      <c r="H785" t="s">
        <v>38</v>
      </c>
      <c r="I785">
        <v>50</v>
      </c>
    </row>
    <row r="786" spans="1:9" ht="14.5" x14ac:dyDescent="0.35">
      <c r="A786">
        <v>2</v>
      </c>
      <c r="B786" t="s">
        <v>44</v>
      </c>
      <c r="C786" t="s">
        <v>31</v>
      </c>
      <c r="D786" t="s">
        <v>32</v>
      </c>
      <c r="E786" t="s">
        <v>33</v>
      </c>
      <c r="F786" t="s">
        <v>40</v>
      </c>
      <c r="G786" t="s">
        <v>35</v>
      </c>
      <c r="H786" t="s">
        <v>38</v>
      </c>
      <c r="I786">
        <v>50</v>
      </c>
    </row>
    <row r="787" spans="1:9" ht="14.5" x14ac:dyDescent="0.35">
      <c r="A787">
        <v>2</v>
      </c>
      <c r="B787" t="s">
        <v>44</v>
      </c>
      <c r="C787" t="s">
        <v>31</v>
      </c>
      <c r="D787" t="s">
        <v>53</v>
      </c>
      <c r="E787" t="s">
        <v>54</v>
      </c>
      <c r="F787" t="s">
        <v>57</v>
      </c>
      <c r="G787" t="s">
        <v>52</v>
      </c>
      <c r="H787" t="s">
        <v>38</v>
      </c>
      <c r="I787">
        <v>50</v>
      </c>
    </row>
    <row r="788" spans="1:9" ht="14.5" x14ac:dyDescent="0.35">
      <c r="A788">
        <v>2</v>
      </c>
      <c r="B788" t="s">
        <v>44</v>
      </c>
      <c r="C788" t="s">
        <v>85</v>
      </c>
      <c r="D788" t="s">
        <v>86</v>
      </c>
      <c r="E788" t="s">
        <v>87</v>
      </c>
      <c r="F788" t="s">
        <v>90</v>
      </c>
      <c r="G788" t="s">
        <v>35</v>
      </c>
      <c r="H788" t="s">
        <v>38</v>
      </c>
      <c r="I788">
        <v>50</v>
      </c>
    </row>
    <row r="789" spans="1:9" ht="14.5" x14ac:dyDescent="0.35">
      <c r="A789">
        <v>2</v>
      </c>
      <c r="B789" t="s">
        <v>44</v>
      </c>
      <c r="C789" t="s">
        <v>72</v>
      </c>
      <c r="D789" t="s">
        <v>79</v>
      </c>
      <c r="E789" t="s">
        <v>80</v>
      </c>
      <c r="F789" t="s">
        <v>81</v>
      </c>
      <c r="G789" t="s">
        <v>52</v>
      </c>
      <c r="H789" t="s">
        <v>38</v>
      </c>
      <c r="I789">
        <v>50</v>
      </c>
    </row>
    <row r="790" spans="1:9" ht="14.5" x14ac:dyDescent="0.35">
      <c r="A790">
        <v>2</v>
      </c>
      <c r="B790" t="s">
        <v>45</v>
      </c>
      <c r="C790" t="s">
        <v>31</v>
      </c>
      <c r="D790" t="s">
        <v>32</v>
      </c>
      <c r="E790" t="s">
        <v>33</v>
      </c>
      <c r="F790" t="s">
        <v>39</v>
      </c>
      <c r="G790" t="s">
        <v>35</v>
      </c>
      <c r="H790" t="s">
        <v>38</v>
      </c>
      <c r="I790">
        <v>50</v>
      </c>
    </row>
    <row r="791" spans="1:9" ht="14.5" x14ac:dyDescent="0.35">
      <c r="A791">
        <v>2</v>
      </c>
      <c r="B791" t="s">
        <v>45</v>
      </c>
      <c r="C791" t="s">
        <v>31</v>
      </c>
      <c r="D791" t="s">
        <v>32</v>
      </c>
      <c r="E791" t="s">
        <v>33</v>
      </c>
      <c r="F791" t="s">
        <v>39</v>
      </c>
      <c r="G791" t="s">
        <v>52</v>
      </c>
      <c r="H791" t="s">
        <v>38</v>
      </c>
      <c r="I791">
        <v>50</v>
      </c>
    </row>
    <row r="792" spans="1:9" ht="14.5" x14ac:dyDescent="0.35">
      <c r="A792">
        <v>2</v>
      </c>
      <c r="B792" t="s">
        <v>45</v>
      </c>
      <c r="C792" t="s">
        <v>31</v>
      </c>
      <c r="D792" t="s">
        <v>53</v>
      </c>
      <c r="E792" t="s">
        <v>54</v>
      </c>
      <c r="F792" t="s">
        <v>56</v>
      </c>
      <c r="G792" t="s">
        <v>35</v>
      </c>
      <c r="H792" t="s">
        <v>38</v>
      </c>
      <c r="I792">
        <v>50</v>
      </c>
    </row>
    <row r="793" spans="1:9" ht="14.5" x14ac:dyDescent="0.35">
      <c r="A793">
        <v>2</v>
      </c>
      <c r="B793" t="s">
        <v>45</v>
      </c>
      <c r="C793" t="s">
        <v>85</v>
      </c>
      <c r="D793" t="s">
        <v>86</v>
      </c>
      <c r="E793" t="s">
        <v>87</v>
      </c>
      <c r="F793" t="s">
        <v>88</v>
      </c>
      <c r="G793" t="s">
        <v>35</v>
      </c>
      <c r="H793" t="s">
        <v>38</v>
      </c>
      <c r="I793">
        <v>50</v>
      </c>
    </row>
    <row r="794" spans="1:9" ht="14.5" x14ac:dyDescent="0.35">
      <c r="A794">
        <v>2</v>
      </c>
      <c r="B794" t="s">
        <v>45</v>
      </c>
      <c r="C794" t="s">
        <v>72</v>
      </c>
      <c r="D794" t="s">
        <v>73</v>
      </c>
      <c r="E794" t="s">
        <v>74</v>
      </c>
      <c r="F794" t="s">
        <v>76</v>
      </c>
      <c r="G794" t="s">
        <v>52</v>
      </c>
      <c r="H794" t="s">
        <v>38</v>
      </c>
      <c r="I794">
        <v>50</v>
      </c>
    </row>
    <row r="795" spans="1:9" ht="14.5" x14ac:dyDescent="0.35">
      <c r="A795">
        <v>2</v>
      </c>
      <c r="B795" t="s">
        <v>45</v>
      </c>
      <c r="C795" t="s">
        <v>72</v>
      </c>
      <c r="D795" t="s">
        <v>79</v>
      </c>
      <c r="E795" t="s">
        <v>80</v>
      </c>
      <c r="F795" t="s">
        <v>83</v>
      </c>
      <c r="G795" t="s">
        <v>35</v>
      </c>
      <c r="H795" t="s">
        <v>38</v>
      </c>
      <c r="I795">
        <v>50</v>
      </c>
    </row>
    <row r="796" spans="1:9" ht="14.5" x14ac:dyDescent="0.35">
      <c r="A796">
        <v>3</v>
      </c>
      <c r="B796" t="s">
        <v>46</v>
      </c>
      <c r="C796" t="s">
        <v>31</v>
      </c>
      <c r="D796" t="s">
        <v>32</v>
      </c>
      <c r="E796" t="s">
        <v>33</v>
      </c>
      <c r="F796" t="s">
        <v>39</v>
      </c>
      <c r="G796" t="s">
        <v>35</v>
      </c>
      <c r="H796" t="s">
        <v>38</v>
      </c>
      <c r="I796">
        <v>50</v>
      </c>
    </row>
    <row r="797" spans="1:9" ht="14.5" x14ac:dyDescent="0.35">
      <c r="A797">
        <v>3</v>
      </c>
      <c r="B797" t="s">
        <v>46</v>
      </c>
      <c r="C797" t="s">
        <v>31</v>
      </c>
      <c r="D797" t="s">
        <v>53</v>
      </c>
      <c r="E797" t="s">
        <v>54</v>
      </c>
      <c r="F797" t="s">
        <v>58</v>
      </c>
      <c r="G797" t="s">
        <v>35</v>
      </c>
      <c r="H797" t="s">
        <v>38</v>
      </c>
      <c r="I797">
        <v>50</v>
      </c>
    </row>
    <row r="798" spans="1:9" ht="14.5" x14ac:dyDescent="0.35">
      <c r="A798">
        <v>3</v>
      </c>
      <c r="B798" t="s">
        <v>47</v>
      </c>
      <c r="C798" t="s">
        <v>31</v>
      </c>
      <c r="D798" t="s">
        <v>32</v>
      </c>
      <c r="E798" t="s">
        <v>33</v>
      </c>
      <c r="F798" t="s">
        <v>40</v>
      </c>
      <c r="G798" t="s">
        <v>52</v>
      </c>
      <c r="H798" t="s">
        <v>38</v>
      </c>
      <c r="I798">
        <v>50</v>
      </c>
    </row>
    <row r="799" spans="1:9" ht="14.5" x14ac:dyDescent="0.35">
      <c r="A799">
        <v>3</v>
      </c>
      <c r="B799" t="s">
        <v>48</v>
      </c>
      <c r="C799" t="s">
        <v>85</v>
      </c>
      <c r="D799" t="s">
        <v>92</v>
      </c>
      <c r="E799" t="s">
        <v>93</v>
      </c>
      <c r="F799" t="s">
        <v>94</v>
      </c>
      <c r="G799" t="s">
        <v>52</v>
      </c>
      <c r="H799" t="s">
        <v>38</v>
      </c>
      <c r="I799">
        <v>50</v>
      </c>
    </row>
    <row r="800" spans="1:9" ht="14.5" x14ac:dyDescent="0.35">
      <c r="A800">
        <v>3</v>
      </c>
      <c r="B800" t="s">
        <v>48</v>
      </c>
      <c r="C800" t="s">
        <v>85</v>
      </c>
      <c r="D800" t="s">
        <v>92</v>
      </c>
      <c r="E800" t="s">
        <v>93</v>
      </c>
      <c r="F800" t="s">
        <v>96</v>
      </c>
      <c r="G800" t="s">
        <v>35</v>
      </c>
      <c r="H800" t="s">
        <v>38</v>
      </c>
      <c r="I800">
        <v>50</v>
      </c>
    </row>
    <row r="801" spans="1:9" ht="14.5" x14ac:dyDescent="0.35">
      <c r="A801">
        <v>3</v>
      </c>
      <c r="B801" t="s">
        <v>48</v>
      </c>
      <c r="C801" t="s">
        <v>59</v>
      </c>
      <c r="D801" t="s">
        <v>66</v>
      </c>
      <c r="E801" t="s">
        <v>67</v>
      </c>
      <c r="F801" t="s">
        <v>71</v>
      </c>
      <c r="G801" t="s">
        <v>35</v>
      </c>
      <c r="H801" t="s">
        <v>38</v>
      </c>
      <c r="I801">
        <v>50</v>
      </c>
    </row>
    <row r="802" spans="1:9" ht="14.5" x14ac:dyDescent="0.35">
      <c r="A802">
        <v>3</v>
      </c>
      <c r="B802" t="s">
        <v>48</v>
      </c>
      <c r="C802" t="s">
        <v>72</v>
      </c>
      <c r="D802" t="s">
        <v>73</v>
      </c>
      <c r="E802" t="s">
        <v>74</v>
      </c>
      <c r="F802" t="s">
        <v>76</v>
      </c>
      <c r="G802" t="s">
        <v>35</v>
      </c>
      <c r="H802" t="s">
        <v>38</v>
      </c>
      <c r="I802">
        <v>50</v>
      </c>
    </row>
    <row r="803" spans="1:9" ht="14.5" x14ac:dyDescent="0.35">
      <c r="A803">
        <v>3</v>
      </c>
      <c r="B803" t="s">
        <v>48</v>
      </c>
      <c r="C803" t="s">
        <v>72</v>
      </c>
      <c r="D803" t="s">
        <v>79</v>
      </c>
      <c r="E803" t="s">
        <v>80</v>
      </c>
      <c r="F803" t="s">
        <v>81</v>
      </c>
      <c r="G803" t="s">
        <v>52</v>
      </c>
      <c r="H803" t="s">
        <v>38</v>
      </c>
      <c r="I803">
        <v>50</v>
      </c>
    </row>
    <row r="804" spans="1:9" ht="14.5" x14ac:dyDescent="0.35">
      <c r="A804">
        <v>4</v>
      </c>
      <c r="B804" t="s">
        <v>49</v>
      </c>
      <c r="C804" t="s">
        <v>85</v>
      </c>
      <c r="D804" t="s">
        <v>86</v>
      </c>
      <c r="E804" t="s">
        <v>87</v>
      </c>
      <c r="F804" t="s">
        <v>89</v>
      </c>
      <c r="G804" t="s">
        <v>52</v>
      </c>
      <c r="H804" t="s">
        <v>38</v>
      </c>
      <c r="I804">
        <v>50</v>
      </c>
    </row>
    <row r="805" spans="1:9" ht="14.5" x14ac:dyDescent="0.35">
      <c r="A805">
        <v>4</v>
      </c>
      <c r="B805" t="s">
        <v>49</v>
      </c>
      <c r="C805" t="s">
        <v>85</v>
      </c>
      <c r="D805" t="s">
        <v>86</v>
      </c>
      <c r="E805" t="s">
        <v>87</v>
      </c>
      <c r="F805" t="s">
        <v>91</v>
      </c>
      <c r="G805" t="s">
        <v>52</v>
      </c>
      <c r="H805" t="s">
        <v>38</v>
      </c>
      <c r="I805">
        <v>50</v>
      </c>
    </row>
    <row r="806" spans="1:9" ht="14.5" x14ac:dyDescent="0.35">
      <c r="A806">
        <v>4</v>
      </c>
      <c r="B806" t="s">
        <v>49</v>
      </c>
      <c r="C806" t="s">
        <v>59</v>
      </c>
      <c r="D806" t="s">
        <v>60</v>
      </c>
      <c r="E806" t="s">
        <v>61</v>
      </c>
      <c r="F806" t="s">
        <v>63</v>
      </c>
      <c r="G806" t="s">
        <v>52</v>
      </c>
      <c r="H806" t="s">
        <v>38</v>
      </c>
      <c r="I806">
        <v>50</v>
      </c>
    </row>
    <row r="807" spans="1:9" ht="14.5" x14ac:dyDescent="0.35">
      <c r="A807">
        <v>4</v>
      </c>
      <c r="B807" t="s">
        <v>49</v>
      </c>
      <c r="C807" t="s">
        <v>59</v>
      </c>
      <c r="D807" t="s">
        <v>60</v>
      </c>
      <c r="E807" t="s">
        <v>61</v>
      </c>
      <c r="F807" t="s">
        <v>65</v>
      </c>
      <c r="G807" t="s">
        <v>52</v>
      </c>
      <c r="H807" t="s">
        <v>38</v>
      </c>
      <c r="I807">
        <v>50</v>
      </c>
    </row>
    <row r="808" spans="1:9" ht="14.5" x14ac:dyDescent="0.35">
      <c r="A808">
        <v>4</v>
      </c>
      <c r="B808" t="s">
        <v>49</v>
      </c>
      <c r="C808" t="s">
        <v>59</v>
      </c>
      <c r="D808" t="s">
        <v>66</v>
      </c>
      <c r="E808" t="s">
        <v>67</v>
      </c>
      <c r="F808" t="s">
        <v>69</v>
      </c>
      <c r="G808" t="s">
        <v>35</v>
      </c>
      <c r="H808" t="s">
        <v>38</v>
      </c>
      <c r="I808">
        <v>50</v>
      </c>
    </row>
    <row r="809" spans="1:9" ht="14.5" x14ac:dyDescent="0.35">
      <c r="A809">
        <v>4</v>
      </c>
      <c r="B809" t="s">
        <v>50</v>
      </c>
      <c r="C809" t="s">
        <v>31</v>
      </c>
      <c r="D809" t="s">
        <v>53</v>
      </c>
      <c r="E809" t="s">
        <v>54</v>
      </c>
      <c r="F809" t="s">
        <v>56</v>
      </c>
      <c r="G809" t="s">
        <v>52</v>
      </c>
      <c r="H809" t="s">
        <v>38</v>
      </c>
      <c r="I809">
        <v>50</v>
      </c>
    </row>
    <row r="810" spans="1:9" ht="14.5" x14ac:dyDescent="0.35">
      <c r="A810">
        <v>4</v>
      </c>
      <c r="B810" t="s">
        <v>50</v>
      </c>
      <c r="C810" t="s">
        <v>85</v>
      </c>
      <c r="D810" t="s">
        <v>92</v>
      </c>
      <c r="E810" t="s">
        <v>93</v>
      </c>
      <c r="F810" t="s">
        <v>97</v>
      </c>
      <c r="G810" t="s">
        <v>35</v>
      </c>
      <c r="H810" t="s">
        <v>38</v>
      </c>
      <c r="I810">
        <v>50</v>
      </c>
    </row>
    <row r="811" spans="1:9" ht="14.5" x14ac:dyDescent="0.35">
      <c r="A811">
        <v>4</v>
      </c>
      <c r="B811" t="s">
        <v>50</v>
      </c>
      <c r="C811" t="s">
        <v>72</v>
      </c>
      <c r="D811" t="s">
        <v>73</v>
      </c>
      <c r="E811" t="s">
        <v>74</v>
      </c>
      <c r="F811" t="s">
        <v>76</v>
      </c>
      <c r="G811" t="s">
        <v>52</v>
      </c>
      <c r="H811" t="s">
        <v>38</v>
      </c>
      <c r="I811">
        <v>50</v>
      </c>
    </row>
    <row r="812" spans="1:9" ht="14.5" x14ac:dyDescent="0.35">
      <c r="A812">
        <v>4</v>
      </c>
      <c r="B812" t="s">
        <v>51</v>
      </c>
      <c r="C812" t="s">
        <v>85</v>
      </c>
      <c r="D812" t="s">
        <v>92</v>
      </c>
      <c r="E812" t="s">
        <v>93</v>
      </c>
      <c r="F812" t="s">
        <v>94</v>
      </c>
      <c r="G812" t="s">
        <v>52</v>
      </c>
      <c r="H812" t="s">
        <v>38</v>
      </c>
      <c r="I812">
        <v>50</v>
      </c>
    </row>
    <row r="813" spans="1:9" ht="14.5" x14ac:dyDescent="0.35">
      <c r="A813">
        <v>4</v>
      </c>
      <c r="B813" t="s">
        <v>51</v>
      </c>
      <c r="C813" t="s">
        <v>85</v>
      </c>
      <c r="D813" t="s">
        <v>92</v>
      </c>
      <c r="E813" t="s">
        <v>93</v>
      </c>
      <c r="F813" t="s">
        <v>97</v>
      </c>
      <c r="G813" t="s">
        <v>35</v>
      </c>
      <c r="H813" t="s">
        <v>38</v>
      </c>
      <c r="I813">
        <v>50</v>
      </c>
    </row>
    <row r="814" spans="1:9" ht="14.5" x14ac:dyDescent="0.35">
      <c r="A814">
        <v>4</v>
      </c>
      <c r="B814" t="s">
        <v>51</v>
      </c>
      <c r="C814" t="s">
        <v>59</v>
      </c>
      <c r="D814" t="s">
        <v>66</v>
      </c>
      <c r="E814" t="s">
        <v>67</v>
      </c>
      <c r="F814" t="s">
        <v>68</v>
      </c>
      <c r="G814" t="s">
        <v>52</v>
      </c>
      <c r="H814" t="s">
        <v>38</v>
      </c>
      <c r="I814">
        <v>50</v>
      </c>
    </row>
    <row r="815" spans="1:9" ht="14.5" x14ac:dyDescent="0.35">
      <c r="A815">
        <v>4</v>
      </c>
      <c r="B815" t="s">
        <v>51</v>
      </c>
      <c r="C815" t="s">
        <v>59</v>
      </c>
      <c r="D815" t="s">
        <v>66</v>
      </c>
      <c r="E815" t="s">
        <v>67</v>
      </c>
      <c r="F815" t="s">
        <v>69</v>
      </c>
      <c r="G815" t="s">
        <v>35</v>
      </c>
      <c r="H815" t="s">
        <v>38</v>
      </c>
      <c r="I815">
        <v>50</v>
      </c>
    </row>
    <row r="816" spans="1:9" ht="14.5" x14ac:dyDescent="0.35">
      <c r="A816">
        <v>1</v>
      </c>
      <c r="B816" t="s">
        <v>30</v>
      </c>
      <c r="C816" t="s">
        <v>85</v>
      </c>
      <c r="D816" t="s">
        <v>92</v>
      </c>
      <c r="E816" t="s">
        <v>93</v>
      </c>
      <c r="F816" t="s">
        <v>95</v>
      </c>
      <c r="G816" t="s">
        <v>35</v>
      </c>
      <c r="H816" t="s">
        <v>38</v>
      </c>
      <c r="I816">
        <v>60</v>
      </c>
    </row>
    <row r="817" spans="1:9" ht="14.5" x14ac:dyDescent="0.35">
      <c r="A817">
        <v>1</v>
      </c>
      <c r="B817" t="s">
        <v>30</v>
      </c>
      <c r="C817" t="s">
        <v>59</v>
      </c>
      <c r="D817" t="s">
        <v>60</v>
      </c>
      <c r="E817" t="s">
        <v>61</v>
      </c>
      <c r="F817" t="s">
        <v>63</v>
      </c>
      <c r="G817" t="s">
        <v>35</v>
      </c>
      <c r="H817" t="s">
        <v>38</v>
      </c>
      <c r="I817">
        <v>60</v>
      </c>
    </row>
    <row r="818" spans="1:9" ht="14.5" x14ac:dyDescent="0.35">
      <c r="A818">
        <v>1</v>
      </c>
      <c r="B818" t="s">
        <v>30</v>
      </c>
      <c r="C818" t="s">
        <v>59</v>
      </c>
      <c r="D818" t="s">
        <v>60</v>
      </c>
      <c r="E818" t="s">
        <v>61</v>
      </c>
      <c r="F818" t="s">
        <v>64</v>
      </c>
      <c r="G818" t="s">
        <v>35</v>
      </c>
      <c r="H818" t="s">
        <v>38</v>
      </c>
      <c r="I818">
        <v>60</v>
      </c>
    </row>
    <row r="819" spans="1:9" ht="14.5" x14ac:dyDescent="0.35">
      <c r="A819">
        <v>1</v>
      </c>
      <c r="B819" t="s">
        <v>30</v>
      </c>
      <c r="C819" t="s">
        <v>59</v>
      </c>
      <c r="D819" t="s">
        <v>60</v>
      </c>
      <c r="E819" t="s">
        <v>61</v>
      </c>
      <c r="F819" t="s">
        <v>64</v>
      </c>
      <c r="G819" t="s">
        <v>52</v>
      </c>
      <c r="H819" t="s">
        <v>38</v>
      </c>
      <c r="I819">
        <v>60</v>
      </c>
    </row>
    <row r="820" spans="1:9" ht="14.5" x14ac:dyDescent="0.35">
      <c r="A820">
        <v>1</v>
      </c>
      <c r="B820" t="s">
        <v>30</v>
      </c>
      <c r="C820" t="s">
        <v>72</v>
      </c>
      <c r="D820" t="s">
        <v>73</v>
      </c>
      <c r="E820" t="s">
        <v>74</v>
      </c>
      <c r="F820" t="s">
        <v>75</v>
      </c>
      <c r="G820" t="s">
        <v>35</v>
      </c>
      <c r="H820" t="s">
        <v>38</v>
      </c>
      <c r="I820">
        <v>60</v>
      </c>
    </row>
    <row r="821" spans="1:9" ht="14.5" x14ac:dyDescent="0.35">
      <c r="A821">
        <v>1</v>
      </c>
      <c r="B821" t="s">
        <v>41</v>
      </c>
      <c r="C821" t="s">
        <v>85</v>
      </c>
      <c r="D821" t="s">
        <v>86</v>
      </c>
      <c r="E821" t="s">
        <v>87</v>
      </c>
      <c r="F821" t="s">
        <v>89</v>
      </c>
      <c r="G821" t="s">
        <v>52</v>
      </c>
      <c r="H821" t="s">
        <v>38</v>
      </c>
      <c r="I821">
        <v>60</v>
      </c>
    </row>
    <row r="822" spans="1:9" ht="14.5" x14ac:dyDescent="0.35">
      <c r="A822">
        <v>1</v>
      </c>
      <c r="B822" t="s">
        <v>42</v>
      </c>
      <c r="C822" t="s">
        <v>31</v>
      </c>
      <c r="D822" t="s">
        <v>53</v>
      </c>
      <c r="E822" t="s">
        <v>54</v>
      </c>
      <c r="F822" t="s">
        <v>56</v>
      </c>
      <c r="G822" t="s">
        <v>52</v>
      </c>
      <c r="H822" t="s">
        <v>38</v>
      </c>
      <c r="I822">
        <v>60</v>
      </c>
    </row>
    <row r="823" spans="1:9" ht="14.5" x14ac:dyDescent="0.35">
      <c r="A823">
        <v>1</v>
      </c>
      <c r="B823" t="s">
        <v>42</v>
      </c>
      <c r="C823" t="s">
        <v>59</v>
      </c>
      <c r="D823" t="s">
        <v>60</v>
      </c>
      <c r="E823" t="s">
        <v>61</v>
      </c>
      <c r="F823" t="s">
        <v>65</v>
      </c>
      <c r="G823" t="s">
        <v>52</v>
      </c>
      <c r="H823" t="s">
        <v>38</v>
      </c>
      <c r="I823">
        <v>60</v>
      </c>
    </row>
    <row r="824" spans="1:9" ht="14.5" x14ac:dyDescent="0.35">
      <c r="A824">
        <v>1</v>
      </c>
      <c r="B824" t="s">
        <v>42</v>
      </c>
      <c r="C824" t="s">
        <v>59</v>
      </c>
      <c r="D824" t="s">
        <v>66</v>
      </c>
      <c r="E824" t="s">
        <v>67</v>
      </c>
      <c r="F824" t="s">
        <v>70</v>
      </c>
      <c r="G824" t="s">
        <v>35</v>
      </c>
      <c r="H824" t="s">
        <v>38</v>
      </c>
      <c r="I824">
        <v>60</v>
      </c>
    </row>
    <row r="825" spans="1:9" ht="14.5" x14ac:dyDescent="0.35">
      <c r="A825">
        <v>2</v>
      </c>
      <c r="B825" t="s">
        <v>43</v>
      </c>
      <c r="C825" t="s">
        <v>31</v>
      </c>
      <c r="D825" t="s">
        <v>32</v>
      </c>
      <c r="E825" t="s">
        <v>33</v>
      </c>
      <c r="F825" t="s">
        <v>40</v>
      </c>
      <c r="G825" t="s">
        <v>52</v>
      </c>
      <c r="H825" t="s">
        <v>38</v>
      </c>
      <c r="I825">
        <v>60</v>
      </c>
    </row>
    <row r="826" spans="1:9" ht="14.5" x14ac:dyDescent="0.35">
      <c r="A826">
        <v>2</v>
      </c>
      <c r="B826" t="s">
        <v>43</v>
      </c>
      <c r="C826" t="s">
        <v>31</v>
      </c>
      <c r="D826" t="s">
        <v>53</v>
      </c>
      <c r="E826" t="s">
        <v>54</v>
      </c>
      <c r="F826" t="s">
        <v>55</v>
      </c>
      <c r="G826" t="s">
        <v>35</v>
      </c>
      <c r="H826" t="s">
        <v>38</v>
      </c>
      <c r="I826">
        <v>60</v>
      </c>
    </row>
    <row r="827" spans="1:9" ht="14.5" x14ac:dyDescent="0.35">
      <c r="A827">
        <v>2</v>
      </c>
      <c r="B827" t="s">
        <v>43</v>
      </c>
      <c r="C827" t="s">
        <v>72</v>
      </c>
      <c r="D827" t="s">
        <v>73</v>
      </c>
      <c r="E827" t="s">
        <v>74</v>
      </c>
      <c r="F827" t="s">
        <v>76</v>
      </c>
      <c r="G827" t="s">
        <v>35</v>
      </c>
      <c r="H827" t="s">
        <v>38</v>
      </c>
      <c r="I827">
        <v>60</v>
      </c>
    </row>
    <row r="828" spans="1:9" ht="14.5" x14ac:dyDescent="0.35">
      <c r="A828">
        <v>2</v>
      </c>
      <c r="B828" t="s">
        <v>43</v>
      </c>
      <c r="C828" t="s">
        <v>72</v>
      </c>
      <c r="D828" t="s">
        <v>73</v>
      </c>
      <c r="E828" t="s">
        <v>74</v>
      </c>
      <c r="F828" t="s">
        <v>76</v>
      </c>
      <c r="G828" t="s">
        <v>52</v>
      </c>
      <c r="H828" t="s">
        <v>38</v>
      </c>
      <c r="I828">
        <v>60</v>
      </c>
    </row>
    <row r="829" spans="1:9" ht="14.5" x14ac:dyDescent="0.35">
      <c r="A829">
        <v>2</v>
      </c>
      <c r="B829" t="s">
        <v>43</v>
      </c>
      <c r="C829" t="s">
        <v>72</v>
      </c>
      <c r="D829" t="s">
        <v>79</v>
      </c>
      <c r="E829" t="s">
        <v>80</v>
      </c>
      <c r="F829" t="s">
        <v>81</v>
      </c>
      <c r="G829" t="s">
        <v>52</v>
      </c>
      <c r="H829" t="s">
        <v>38</v>
      </c>
      <c r="I829">
        <v>60</v>
      </c>
    </row>
    <row r="830" spans="1:9" ht="14.5" x14ac:dyDescent="0.35">
      <c r="A830">
        <v>2</v>
      </c>
      <c r="B830" t="s">
        <v>43</v>
      </c>
      <c r="C830" t="s">
        <v>72</v>
      </c>
      <c r="D830" t="s">
        <v>79</v>
      </c>
      <c r="E830" t="s">
        <v>80</v>
      </c>
      <c r="F830" t="s">
        <v>82</v>
      </c>
      <c r="G830" t="s">
        <v>52</v>
      </c>
      <c r="H830" t="s">
        <v>38</v>
      </c>
      <c r="I830">
        <v>60</v>
      </c>
    </row>
    <row r="831" spans="1:9" ht="14.5" x14ac:dyDescent="0.35">
      <c r="A831">
        <v>2</v>
      </c>
      <c r="B831" t="s">
        <v>43</v>
      </c>
      <c r="C831" t="s">
        <v>72</v>
      </c>
      <c r="D831" t="s">
        <v>79</v>
      </c>
      <c r="E831" t="s">
        <v>80</v>
      </c>
      <c r="F831" t="s">
        <v>83</v>
      </c>
      <c r="G831" t="s">
        <v>35</v>
      </c>
      <c r="H831" t="s">
        <v>38</v>
      </c>
      <c r="I831">
        <v>60</v>
      </c>
    </row>
    <row r="832" spans="1:9" ht="14.5" x14ac:dyDescent="0.35">
      <c r="A832">
        <v>2</v>
      </c>
      <c r="B832" t="s">
        <v>44</v>
      </c>
      <c r="C832" t="s">
        <v>85</v>
      </c>
      <c r="D832" t="s">
        <v>86</v>
      </c>
      <c r="E832" t="s">
        <v>87</v>
      </c>
      <c r="F832" t="s">
        <v>88</v>
      </c>
      <c r="G832" t="s">
        <v>35</v>
      </c>
      <c r="H832" t="s">
        <v>38</v>
      </c>
      <c r="I832">
        <v>60</v>
      </c>
    </row>
    <row r="833" spans="1:9" ht="14.5" x14ac:dyDescent="0.35">
      <c r="A833">
        <v>2</v>
      </c>
      <c r="B833" t="s">
        <v>44</v>
      </c>
      <c r="C833" t="s">
        <v>85</v>
      </c>
      <c r="D833" t="s">
        <v>92</v>
      </c>
      <c r="E833" t="s">
        <v>93</v>
      </c>
      <c r="F833" t="s">
        <v>94</v>
      </c>
      <c r="G833" t="s">
        <v>52</v>
      </c>
      <c r="H833" t="s">
        <v>38</v>
      </c>
      <c r="I833">
        <v>60</v>
      </c>
    </row>
    <row r="834" spans="1:9" ht="14.5" x14ac:dyDescent="0.35">
      <c r="A834">
        <v>2</v>
      </c>
      <c r="B834" t="s">
        <v>44</v>
      </c>
      <c r="C834" t="s">
        <v>59</v>
      </c>
      <c r="D834" t="s">
        <v>66</v>
      </c>
      <c r="E834" t="s">
        <v>67</v>
      </c>
      <c r="F834" t="s">
        <v>71</v>
      </c>
      <c r="G834" t="s">
        <v>52</v>
      </c>
      <c r="H834" t="s">
        <v>38</v>
      </c>
      <c r="I834">
        <v>60</v>
      </c>
    </row>
    <row r="835" spans="1:9" ht="14.5" x14ac:dyDescent="0.35">
      <c r="A835">
        <v>2</v>
      </c>
      <c r="B835" t="s">
        <v>44</v>
      </c>
      <c r="C835" t="s">
        <v>72</v>
      </c>
      <c r="D835" t="s">
        <v>79</v>
      </c>
      <c r="E835" t="s">
        <v>80</v>
      </c>
      <c r="F835" t="s">
        <v>81</v>
      </c>
      <c r="G835" t="s">
        <v>35</v>
      </c>
      <c r="H835" t="s">
        <v>38</v>
      </c>
      <c r="I835">
        <v>60</v>
      </c>
    </row>
    <row r="836" spans="1:9" ht="14.5" x14ac:dyDescent="0.35">
      <c r="A836">
        <v>2</v>
      </c>
      <c r="B836" t="s">
        <v>45</v>
      </c>
      <c r="C836" t="s">
        <v>31</v>
      </c>
      <c r="D836" t="s">
        <v>32</v>
      </c>
      <c r="E836" t="s">
        <v>33</v>
      </c>
      <c r="F836" t="s">
        <v>40</v>
      </c>
      <c r="G836" t="s">
        <v>52</v>
      </c>
      <c r="H836" t="s">
        <v>38</v>
      </c>
      <c r="I836">
        <v>60</v>
      </c>
    </row>
    <row r="837" spans="1:9" ht="14.5" x14ac:dyDescent="0.35">
      <c r="A837">
        <v>2</v>
      </c>
      <c r="B837" t="s">
        <v>45</v>
      </c>
      <c r="C837" t="s">
        <v>31</v>
      </c>
      <c r="D837" t="s">
        <v>53</v>
      </c>
      <c r="E837" t="s">
        <v>54</v>
      </c>
      <c r="F837" t="s">
        <v>58</v>
      </c>
      <c r="G837" t="s">
        <v>35</v>
      </c>
      <c r="H837" t="s">
        <v>38</v>
      </c>
      <c r="I837">
        <v>60</v>
      </c>
    </row>
    <row r="838" spans="1:9" ht="14.5" x14ac:dyDescent="0.35">
      <c r="A838">
        <v>2</v>
      </c>
      <c r="B838" t="s">
        <v>45</v>
      </c>
      <c r="C838" t="s">
        <v>85</v>
      </c>
      <c r="D838" t="s">
        <v>92</v>
      </c>
      <c r="E838" t="s">
        <v>93</v>
      </c>
      <c r="F838" t="s">
        <v>96</v>
      </c>
      <c r="G838" t="s">
        <v>35</v>
      </c>
      <c r="H838" t="s">
        <v>38</v>
      </c>
      <c r="I838">
        <v>60</v>
      </c>
    </row>
    <row r="839" spans="1:9" ht="14.5" x14ac:dyDescent="0.35">
      <c r="A839">
        <v>2</v>
      </c>
      <c r="B839" t="s">
        <v>45</v>
      </c>
      <c r="C839" t="s">
        <v>59</v>
      </c>
      <c r="D839" t="s">
        <v>66</v>
      </c>
      <c r="E839" t="s">
        <v>67</v>
      </c>
      <c r="F839" t="s">
        <v>71</v>
      </c>
      <c r="G839" t="s">
        <v>35</v>
      </c>
      <c r="H839" t="s">
        <v>38</v>
      </c>
      <c r="I839">
        <v>60</v>
      </c>
    </row>
    <row r="840" spans="1:9" ht="14.5" x14ac:dyDescent="0.35">
      <c r="A840">
        <v>2</v>
      </c>
      <c r="B840" t="s">
        <v>45</v>
      </c>
      <c r="C840" t="s">
        <v>72</v>
      </c>
      <c r="D840" t="s">
        <v>73</v>
      </c>
      <c r="E840" t="s">
        <v>74</v>
      </c>
      <c r="F840" t="s">
        <v>77</v>
      </c>
      <c r="G840" t="s">
        <v>35</v>
      </c>
      <c r="H840" t="s">
        <v>38</v>
      </c>
      <c r="I840">
        <v>60</v>
      </c>
    </row>
    <row r="841" spans="1:9" ht="14.5" x14ac:dyDescent="0.35">
      <c r="A841">
        <v>2</v>
      </c>
      <c r="B841" t="s">
        <v>45</v>
      </c>
      <c r="C841" t="s">
        <v>72</v>
      </c>
      <c r="D841" t="s">
        <v>73</v>
      </c>
      <c r="E841" t="s">
        <v>74</v>
      </c>
      <c r="F841" t="s">
        <v>77</v>
      </c>
      <c r="G841" t="s">
        <v>52</v>
      </c>
      <c r="H841" t="s">
        <v>38</v>
      </c>
      <c r="I841">
        <v>60</v>
      </c>
    </row>
    <row r="842" spans="1:9" ht="14.5" x14ac:dyDescent="0.35">
      <c r="A842">
        <v>2</v>
      </c>
      <c r="B842" t="s">
        <v>45</v>
      </c>
      <c r="C842" t="s">
        <v>72</v>
      </c>
      <c r="D842" t="s">
        <v>79</v>
      </c>
      <c r="E842" t="s">
        <v>80</v>
      </c>
      <c r="F842" t="s">
        <v>81</v>
      </c>
      <c r="G842" t="s">
        <v>35</v>
      </c>
      <c r="H842" t="s">
        <v>38</v>
      </c>
      <c r="I842">
        <v>60</v>
      </c>
    </row>
    <row r="843" spans="1:9" ht="14.5" x14ac:dyDescent="0.35">
      <c r="A843">
        <v>3</v>
      </c>
      <c r="B843" t="s">
        <v>46</v>
      </c>
      <c r="C843" t="s">
        <v>31</v>
      </c>
      <c r="D843" t="s">
        <v>32</v>
      </c>
      <c r="E843" t="s">
        <v>33</v>
      </c>
      <c r="F843" t="s">
        <v>40</v>
      </c>
      <c r="G843" t="s">
        <v>52</v>
      </c>
      <c r="H843" t="s">
        <v>38</v>
      </c>
      <c r="I843">
        <v>60</v>
      </c>
    </row>
    <row r="844" spans="1:9" ht="14.5" x14ac:dyDescent="0.35">
      <c r="A844">
        <v>3</v>
      </c>
      <c r="B844" t="s">
        <v>46</v>
      </c>
      <c r="C844" t="s">
        <v>59</v>
      </c>
      <c r="D844" t="s">
        <v>66</v>
      </c>
      <c r="E844" t="s">
        <v>67</v>
      </c>
      <c r="F844" t="s">
        <v>70</v>
      </c>
      <c r="G844" t="s">
        <v>35</v>
      </c>
      <c r="H844" t="s">
        <v>38</v>
      </c>
      <c r="I844">
        <v>60</v>
      </c>
    </row>
    <row r="845" spans="1:9" ht="14.5" x14ac:dyDescent="0.35">
      <c r="A845">
        <v>3</v>
      </c>
      <c r="B845" t="s">
        <v>46</v>
      </c>
      <c r="C845" t="s">
        <v>59</v>
      </c>
      <c r="D845" t="s">
        <v>66</v>
      </c>
      <c r="E845" t="s">
        <v>67</v>
      </c>
      <c r="F845" t="s">
        <v>71</v>
      </c>
      <c r="G845" t="s">
        <v>35</v>
      </c>
      <c r="H845" t="s">
        <v>38</v>
      </c>
      <c r="I845">
        <v>60</v>
      </c>
    </row>
    <row r="846" spans="1:9" ht="14.5" x14ac:dyDescent="0.35">
      <c r="A846">
        <v>3</v>
      </c>
      <c r="B846" t="s">
        <v>46</v>
      </c>
      <c r="C846" t="s">
        <v>72</v>
      </c>
      <c r="D846" t="s">
        <v>79</v>
      </c>
      <c r="E846" t="s">
        <v>80</v>
      </c>
      <c r="F846" t="s">
        <v>83</v>
      </c>
      <c r="G846" t="s">
        <v>35</v>
      </c>
      <c r="H846" t="s">
        <v>38</v>
      </c>
      <c r="I846">
        <v>60</v>
      </c>
    </row>
    <row r="847" spans="1:9" ht="14.5" x14ac:dyDescent="0.35">
      <c r="A847">
        <v>3</v>
      </c>
      <c r="B847" t="s">
        <v>47</v>
      </c>
      <c r="C847" t="s">
        <v>31</v>
      </c>
      <c r="D847" t="s">
        <v>53</v>
      </c>
      <c r="E847" t="s">
        <v>54</v>
      </c>
      <c r="F847" t="s">
        <v>56</v>
      </c>
      <c r="G847" t="s">
        <v>52</v>
      </c>
      <c r="H847" t="s">
        <v>38</v>
      </c>
      <c r="I847">
        <v>60</v>
      </c>
    </row>
    <row r="848" spans="1:9" ht="14.5" x14ac:dyDescent="0.35">
      <c r="A848">
        <v>3</v>
      </c>
      <c r="B848" t="s">
        <v>47</v>
      </c>
      <c r="C848" t="s">
        <v>59</v>
      </c>
      <c r="D848" t="s">
        <v>60</v>
      </c>
      <c r="E848" t="s">
        <v>61</v>
      </c>
      <c r="F848" t="s">
        <v>65</v>
      </c>
      <c r="G848" t="s">
        <v>35</v>
      </c>
      <c r="H848" t="s">
        <v>38</v>
      </c>
      <c r="I848">
        <v>60</v>
      </c>
    </row>
    <row r="849" spans="1:9" ht="14.5" x14ac:dyDescent="0.35">
      <c r="A849">
        <v>3</v>
      </c>
      <c r="B849" t="s">
        <v>47</v>
      </c>
      <c r="C849" t="s">
        <v>72</v>
      </c>
      <c r="D849" t="s">
        <v>73</v>
      </c>
      <c r="E849" t="s">
        <v>74</v>
      </c>
      <c r="F849" t="s">
        <v>76</v>
      </c>
      <c r="G849" t="s">
        <v>35</v>
      </c>
      <c r="H849" t="s">
        <v>38</v>
      </c>
      <c r="I849">
        <v>60</v>
      </c>
    </row>
    <row r="850" spans="1:9" ht="14.5" x14ac:dyDescent="0.35">
      <c r="A850">
        <v>3</v>
      </c>
      <c r="B850" t="s">
        <v>48</v>
      </c>
      <c r="C850" t="s">
        <v>31</v>
      </c>
      <c r="D850" t="s">
        <v>32</v>
      </c>
      <c r="E850" t="s">
        <v>33</v>
      </c>
      <c r="F850" t="s">
        <v>39</v>
      </c>
      <c r="G850" t="s">
        <v>35</v>
      </c>
      <c r="H850" t="s">
        <v>38</v>
      </c>
      <c r="I850">
        <v>60</v>
      </c>
    </row>
    <row r="851" spans="1:9" ht="14.5" x14ac:dyDescent="0.35">
      <c r="A851">
        <v>3</v>
      </c>
      <c r="B851" t="s">
        <v>48</v>
      </c>
      <c r="C851" t="s">
        <v>31</v>
      </c>
      <c r="D851" t="s">
        <v>32</v>
      </c>
      <c r="E851" t="s">
        <v>33</v>
      </c>
      <c r="F851" t="s">
        <v>34</v>
      </c>
      <c r="G851" t="s">
        <v>35</v>
      </c>
      <c r="H851" t="s">
        <v>38</v>
      </c>
      <c r="I851">
        <v>60</v>
      </c>
    </row>
    <row r="852" spans="1:9" ht="14.5" x14ac:dyDescent="0.35">
      <c r="A852">
        <v>3</v>
      </c>
      <c r="B852" t="s">
        <v>48</v>
      </c>
      <c r="C852" t="s">
        <v>31</v>
      </c>
      <c r="D852" t="s">
        <v>53</v>
      </c>
      <c r="E852" t="s">
        <v>54</v>
      </c>
      <c r="F852" t="s">
        <v>57</v>
      </c>
      <c r="G852" t="s">
        <v>35</v>
      </c>
      <c r="H852" t="s">
        <v>38</v>
      </c>
      <c r="I852">
        <v>60</v>
      </c>
    </row>
    <row r="853" spans="1:9" ht="14.5" x14ac:dyDescent="0.35">
      <c r="A853">
        <v>3</v>
      </c>
      <c r="B853" t="s">
        <v>48</v>
      </c>
      <c r="C853" t="s">
        <v>59</v>
      </c>
      <c r="D853" t="s">
        <v>60</v>
      </c>
      <c r="E853" t="s">
        <v>61</v>
      </c>
      <c r="F853" t="s">
        <v>64</v>
      </c>
      <c r="G853" t="s">
        <v>35</v>
      </c>
      <c r="H853" t="s">
        <v>38</v>
      </c>
      <c r="I853">
        <v>60</v>
      </c>
    </row>
    <row r="854" spans="1:9" ht="14.5" x14ac:dyDescent="0.35">
      <c r="A854">
        <v>3</v>
      </c>
      <c r="B854" t="s">
        <v>48</v>
      </c>
      <c r="C854" t="s">
        <v>59</v>
      </c>
      <c r="D854" t="s">
        <v>66</v>
      </c>
      <c r="E854" t="s">
        <v>67</v>
      </c>
      <c r="F854" t="s">
        <v>70</v>
      </c>
      <c r="G854" t="s">
        <v>52</v>
      </c>
      <c r="H854" t="s">
        <v>38</v>
      </c>
      <c r="I854">
        <v>60</v>
      </c>
    </row>
    <row r="855" spans="1:9" ht="14.5" x14ac:dyDescent="0.35">
      <c r="A855">
        <v>3</v>
      </c>
      <c r="B855" t="s">
        <v>48</v>
      </c>
      <c r="C855" t="s">
        <v>59</v>
      </c>
      <c r="D855" t="s">
        <v>66</v>
      </c>
      <c r="E855" t="s">
        <v>67</v>
      </c>
      <c r="F855" t="s">
        <v>71</v>
      </c>
      <c r="G855" t="s">
        <v>52</v>
      </c>
      <c r="H855" t="s">
        <v>38</v>
      </c>
      <c r="I855">
        <v>60</v>
      </c>
    </row>
    <row r="856" spans="1:9" ht="14.5" x14ac:dyDescent="0.35">
      <c r="A856">
        <v>3</v>
      </c>
      <c r="B856" t="s">
        <v>48</v>
      </c>
      <c r="C856" t="s">
        <v>72</v>
      </c>
      <c r="D856" t="s">
        <v>73</v>
      </c>
      <c r="E856" t="s">
        <v>74</v>
      </c>
      <c r="F856" t="s">
        <v>75</v>
      </c>
      <c r="G856" t="s">
        <v>52</v>
      </c>
      <c r="H856" t="s">
        <v>38</v>
      </c>
      <c r="I856">
        <v>60</v>
      </c>
    </row>
    <row r="857" spans="1:9" ht="14.5" x14ac:dyDescent="0.35">
      <c r="A857">
        <v>4</v>
      </c>
      <c r="B857" t="s">
        <v>49</v>
      </c>
      <c r="C857" t="s">
        <v>72</v>
      </c>
      <c r="D857" t="s">
        <v>73</v>
      </c>
      <c r="E857" t="s">
        <v>74</v>
      </c>
      <c r="F857" t="s">
        <v>75</v>
      </c>
      <c r="G857" t="s">
        <v>35</v>
      </c>
      <c r="H857" t="s">
        <v>38</v>
      </c>
      <c r="I857">
        <v>60</v>
      </c>
    </row>
    <row r="858" spans="1:9" ht="14.5" x14ac:dyDescent="0.35">
      <c r="A858">
        <v>4</v>
      </c>
      <c r="B858" t="s">
        <v>49</v>
      </c>
      <c r="C858" t="s">
        <v>72</v>
      </c>
      <c r="D858" t="s">
        <v>73</v>
      </c>
      <c r="E858" t="s">
        <v>74</v>
      </c>
      <c r="F858" t="s">
        <v>75</v>
      </c>
      <c r="G858" t="s">
        <v>52</v>
      </c>
      <c r="H858" t="s">
        <v>38</v>
      </c>
      <c r="I858">
        <v>60</v>
      </c>
    </row>
    <row r="859" spans="1:9" ht="14.5" x14ac:dyDescent="0.35">
      <c r="A859">
        <v>4</v>
      </c>
      <c r="B859" t="s">
        <v>50</v>
      </c>
      <c r="C859" t="s">
        <v>31</v>
      </c>
      <c r="D859" t="s">
        <v>32</v>
      </c>
      <c r="E859" t="s">
        <v>33</v>
      </c>
      <c r="F859" t="s">
        <v>34</v>
      </c>
      <c r="G859" t="s">
        <v>52</v>
      </c>
      <c r="H859" t="s">
        <v>38</v>
      </c>
      <c r="I859">
        <v>60</v>
      </c>
    </row>
    <row r="860" spans="1:9" ht="14.5" x14ac:dyDescent="0.35">
      <c r="A860">
        <v>4</v>
      </c>
      <c r="B860" t="s">
        <v>50</v>
      </c>
      <c r="C860" t="s">
        <v>85</v>
      </c>
      <c r="D860" t="s">
        <v>86</v>
      </c>
      <c r="E860" t="s">
        <v>87</v>
      </c>
      <c r="F860" t="s">
        <v>91</v>
      </c>
      <c r="G860" t="s">
        <v>52</v>
      </c>
      <c r="H860" t="s">
        <v>38</v>
      </c>
      <c r="I860">
        <v>60</v>
      </c>
    </row>
    <row r="861" spans="1:9" ht="14.5" x14ac:dyDescent="0.35">
      <c r="A861">
        <v>4</v>
      </c>
      <c r="B861" t="s">
        <v>50</v>
      </c>
      <c r="C861" t="s">
        <v>59</v>
      </c>
      <c r="D861" t="s">
        <v>60</v>
      </c>
      <c r="E861" t="s">
        <v>61</v>
      </c>
      <c r="F861" t="s">
        <v>63</v>
      </c>
      <c r="G861" t="s">
        <v>35</v>
      </c>
      <c r="H861" t="s">
        <v>38</v>
      </c>
      <c r="I861">
        <v>60</v>
      </c>
    </row>
    <row r="862" spans="1:9" ht="14.5" x14ac:dyDescent="0.35">
      <c r="A862">
        <v>4</v>
      </c>
      <c r="B862" t="s">
        <v>50</v>
      </c>
      <c r="C862" t="s">
        <v>59</v>
      </c>
      <c r="D862" t="s">
        <v>60</v>
      </c>
      <c r="E862" t="s">
        <v>61</v>
      </c>
      <c r="F862" t="s">
        <v>64</v>
      </c>
      <c r="G862" t="s">
        <v>35</v>
      </c>
      <c r="H862" t="s">
        <v>38</v>
      </c>
      <c r="I862">
        <v>60</v>
      </c>
    </row>
    <row r="863" spans="1:9" ht="14.5" x14ac:dyDescent="0.35">
      <c r="A863">
        <v>4</v>
      </c>
      <c r="B863" t="s">
        <v>50</v>
      </c>
      <c r="C863" t="s">
        <v>72</v>
      </c>
      <c r="D863" t="s">
        <v>79</v>
      </c>
      <c r="E863" t="s">
        <v>80</v>
      </c>
      <c r="F863" t="s">
        <v>82</v>
      </c>
      <c r="G863" t="s">
        <v>52</v>
      </c>
      <c r="H863" t="s">
        <v>38</v>
      </c>
      <c r="I863">
        <v>60</v>
      </c>
    </row>
    <row r="864" spans="1:9" ht="14.5" x14ac:dyDescent="0.35">
      <c r="A864">
        <v>4</v>
      </c>
      <c r="B864" t="s">
        <v>51</v>
      </c>
      <c r="C864" t="s">
        <v>31</v>
      </c>
      <c r="D864" t="s">
        <v>53</v>
      </c>
      <c r="E864" t="s">
        <v>54</v>
      </c>
      <c r="F864" t="s">
        <v>57</v>
      </c>
      <c r="G864" t="s">
        <v>35</v>
      </c>
      <c r="H864" t="s">
        <v>38</v>
      </c>
      <c r="I864">
        <v>60</v>
      </c>
    </row>
    <row r="865" spans="1:9" ht="14.5" x14ac:dyDescent="0.35">
      <c r="A865">
        <v>4</v>
      </c>
      <c r="B865" t="s">
        <v>51</v>
      </c>
      <c r="C865" t="s">
        <v>85</v>
      </c>
      <c r="D865" t="s">
        <v>86</v>
      </c>
      <c r="E865" t="s">
        <v>87</v>
      </c>
      <c r="F865" t="s">
        <v>88</v>
      </c>
      <c r="G865" t="s">
        <v>52</v>
      </c>
      <c r="H865" t="s">
        <v>38</v>
      </c>
      <c r="I865">
        <v>60</v>
      </c>
    </row>
    <row r="866" spans="1:9" ht="14.5" x14ac:dyDescent="0.35">
      <c r="A866">
        <v>4</v>
      </c>
      <c r="B866" t="s">
        <v>51</v>
      </c>
      <c r="C866" t="s">
        <v>85</v>
      </c>
      <c r="D866" t="s">
        <v>86</v>
      </c>
      <c r="E866" t="s">
        <v>87</v>
      </c>
      <c r="F866" t="s">
        <v>91</v>
      </c>
      <c r="G866" t="s">
        <v>52</v>
      </c>
      <c r="H866" t="s">
        <v>38</v>
      </c>
      <c r="I866">
        <v>60</v>
      </c>
    </row>
    <row r="867" spans="1:9" ht="14.5" x14ac:dyDescent="0.35">
      <c r="A867">
        <v>4</v>
      </c>
      <c r="B867" t="s">
        <v>51</v>
      </c>
      <c r="C867" t="s">
        <v>59</v>
      </c>
      <c r="D867" t="s">
        <v>60</v>
      </c>
      <c r="E867" t="s">
        <v>61</v>
      </c>
      <c r="F867" t="s">
        <v>63</v>
      </c>
      <c r="G867" t="s">
        <v>52</v>
      </c>
      <c r="H867" t="s">
        <v>38</v>
      </c>
      <c r="I867">
        <v>60</v>
      </c>
    </row>
    <row r="868" spans="1:9" ht="14.5" x14ac:dyDescent="0.35">
      <c r="A868">
        <v>4</v>
      </c>
      <c r="B868" t="s">
        <v>51</v>
      </c>
      <c r="C868" t="s">
        <v>59</v>
      </c>
      <c r="D868" t="s">
        <v>60</v>
      </c>
      <c r="E868" t="s">
        <v>61</v>
      </c>
      <c r="F868" t="s">
        <v>62</v>
      </c>
      <c r="G868" t="s">
        <v>52</v>
      </c>
      <c r="H868" t="s">
        <v>38</v>
      </c>
      <c r="I868">
        <v>60</v>
      </c>
    </row>
    <row r="869" spans="1:9" ht="14.5" x14ac:dyDescent="0.35">
      <c r="A869">
        <v>4</v>
      </c>
      <c r="B869" t="s">
        <v>51</v>
      </c>
      <c r="C869" t="s">
        <v>72</v>
      </c>
      <c r="D869" t="s">
        <v>79</v>
      </c>
      <c r="E869" t="s">
        <v>80</v>
      </c>
      <c r="F869" t="s">
        <v>84</v>
      </c>
      <c r="G869" t="s">
        <v>35</v>
      </c>
      <c r="H869" t="s">
        <v>38</v>
      </c>
      <c r="I869">
        <v>60</v>
      </c>
    </row>
    <row r="870" spans="1:9" ht="14.5" x14ac:dyDescent="0.35">
      <c r="A870">
        <v>1</v>
      </c>
      <c r="B870" t="s">
        <v>30</v>
      </c>
      <c r="C870" t="s">
        <v>31</v>
      </c>
      <c r="D870" t="s">
        <v>32</v>
      </c>
      <c r="E870" t="s">
        <v>33</v>
      </c>
      <c r="F870" t="s">
        <v>37</v>
      </c>
      <c r="G870" t="s">
        <v>35</v>
      </c>
      <c r="H870" t="s">
        <v>38</v>
      </c>
      <c r="I870">
        <v>70</v>
      </c>
    </row>
    <row r="871" spans="1:9" ht="14.5" x14ac:dyDescent="0.35">
      <c r="A871">
        <v>1</v>
      </c>
      <c r="B871" t="s">
        <v>30</v>
      </c>
      <c r="C871" t="s">
        <v>85</v>
      </c>
      <c r="D871" t="s">
        <v>86</v>
      </c>
      <c r="E871" t="s">
        <v>87</v>
      </c>
      <c r="F871" t="s">
        <v>88</v>
      </c>
      <c r="G871" t="s">
        <v>52</v>
      </c>
      <c r="H871" t="s">
        <v>38</v>
      </c>
      <c r="I871">
        <v>70</v>
      </c>
    </row>
    <row r="872" spans="1:9" ht="14.5" x14ac:dyDescent="0.35">
      <c r="A872">
        <v>1</v>
      </c>
      <c r="B872" t="s">
        <v>30</v>
      </c>
      <c r="C872" t="s">
        <v>85</v>
      </c>
      <c r="D872" t="s">
        <v>86</v>
      </c>
      <c r="E872" t="s">
        <v>87</v>
      </c>
      <c r="F872" t="s">
        <v>89</v>
      </c>
      <c r="G872" t="s">
        <v>52</v>
      </c>
      <c r="H872" t="s">
        <v>38</v>
      </c>
      <c r="I872">
        <v>70</v>
      </c>
    </row>
    <row r="873" spans="1:9" ht="14.5" x14ac:dyDescent="0.35">
      <c r="A873">
        <v>1</v>
      </c>
      <c r="B873" t="s">
        <v>30</v>
      </c>
      <c r="C873" t="s">
        <v>85</v>
      </c>
      <c r="D873" t="s">
        <v>92</v>
      </c>
      <c r="E873" t="s">
        <v>93</v>
      </c>
      <c r="F873" t="s">
        <v>94</v>
      </c>
      <c r="G873" t="s">
        <v>35</v>
      </c>
      <c r="H873" t="s">
        <v>38</v>
      </c>
      <c r="I873">
        <v>70</v>
      </c>
    </row>
    <row r="874" spans="1:9" ht="14.5" x14ac:dyDescent="0.35">
      <c r="A874">
        <v>1</v>
      </c>
      <c r="B874" t="s">
        <v>30</v>
      </c>
      <c r="C874" t="s">
        <v>72</v>
      </c>
      <c r="D874" t="s">
        <v>73</v>
      </c>
      <c r="E874" t="s">
        <v>74</v>
      </c>
      <c r="F874" t="s">
        <v>78</v>
      </c>
      <c r="G874" t="s">
        <v>52</v>
      </c>
      <c r="H874" t="s">
        <v>38</v>
      </c>
      <c r="I874">
        <v>70</v>
      </c>
    </row>
    <row r="875" spans="1:9" ht="14.5" x14ac:dyDescent="0.35">
      <c r="A875">
        <v>1</v>
      </c>
      <c r="B875" t="s">
        <v>41</v>
      </c>
      <c r="C875" t="s">
        <v>85</v>
      </c>
      <c r="D875" t="s">
        <v>92</v>
      </c>
      <c r="E875" t="s">
        <v>93</v>
      </c>
      <c r="F875" t="s">
        <v>95</v>
      </c>
      <c r="G875" t="s">
        <v>35</v>
      </c>
      <c r="H875" t="s">
        <v>38</v>
      </c>
      <c r="I875">
        <v>70</v>
      </c>
    </row>
    <row r="876" spans="1:9" ht="14.5" x14ac:dyDescent="0.35">
      <c r="A876">
        <v>1</v>
      </c>
      <c r="B876" t="s">
        <v>41</v>
      </c>
      <c r="C876" t="s">
        <v>72</v>
      </c>
      <c r="D876" t="s">
        <v>73</v>
      </c>
      <c r="E876" t="s">
        <v>74</v>
      </c>
      <c r="F876" t="s">
        <v>75</v>
      </c>
      <c r="G876" t="s">
        <v>52</v>
      </c>
      <c r="H876" t="s">
        <v>38</v>
      </c>
      <c r="I876">
        <v>70</v>
      </c>
    </row>
    <row r="877" spans="1:9" ht="14.5" x14ac:dyDescent="0.35">
      <c r="A877">
        <v>1</v>
      </c>
      <c r="B877" t="s">
        <v>42</v>
      </c>
      <c r="C877" t="s">
        <v>31</v>
      </c>
      <c r="D877" t="s">
        <v>32</v>
      </c>
      <c r="E877" t="s">
        <v>33</v>
      </c>
      <c r="F877" t="s">
        <v>37</v>
      </c>
      <c r="G877" t="s">
        <v>52</v>
      </c>
      <c r="H877" t="s">
        <v>38</v>
      </c>
      <c r="I877">
        <v>70</v>
      </c>
    </row>
    <row r="878" spans="1:9" ht="14.5" x14ac:dyDescent="0.35">
      <c r="A878">
        <v>1</v>
      </c>
      <c r="B878" t="s">
        <v>42</v>
      </c>
      <c r="C878" t="s">
        <v>85</v>
      </c>
      <c r="D878" t="s">
        <v>92</v>
      </c>
      <c r="E878" t="s">
        <v>93</v>
      </c>
      <c r="F878" t="s">
        <v>94</v>
      </c>
      <c r="G878" t="s">
        <v>35</v>
      </c>
      <c r="H878" t="s">
        <v>38</v>
      </c>
      <c r="I878">
        <v>70</v>
      </c>
    </row>
    <row r="879" spans="1:9" ht="14.5" x14ac:dyDescent="0.35">
      <c r="A879">
        <v>1</v>
      </c>
      <c r="B879" t="s">
        <v>42</v>
      </c>
      <c r="C879" t="s">
        <v>72</v>
      </c>
      <c r="D879" t="s">
        <v>73</v>
      </c>
      <c r="E879" t="s">
        <v>74</v>
      </c>
      <c r="F879" t="s">
        <v>75</v>
      </c>
      <c r="G879" t="s">
        <v>52</v>
      </c>
      <c r="H879" t="s">
        <v>38</v>
      </c>
      <c r="I879">
        <v>70</v>
      </c>
    </row>
    <row r="880" spans="1:9" ht="14.5" x14ac:dyDescent="0.35">
      <c r="A880">
        <v>2</v>
      </c>
      <c r="B880" t="s">
        <v>43</v>
      </c>
      <c r="C880" t="s">
        <v>85</v>
      </c>
      <c r="D880" t="s">
        <v>86</v>
      </c>
      <c r="E880" t="s">
        <v>87</v>
      </c>
      <c r="F880" t="s">
        <v>91</v>
      </c>
      <c r="G880" t="s">
        <v>35</v>
      </c>
      <c r="H880" t="s">
        <v>38</v>
      </c>
      <c r="I880">
        <v>70</v>
      </c>
    </row>
    <row r="881" spans="1:9" ht="14.5" x14ac:dyDescent="0.35">
      <c r="A881">
        <v>2</v>
      </c>
      <c r="B881" t="s">
        <v>43</v>
      </c>
      <c r="C881" t="s">
        <v>59</v>
      </c>
      <c r="D881" t="s">
        <v>66</v>
      </c>
      <c r="E881" t="s">
        <v>67</v>
      </c>
      <c r="F881" t="s">
        <v>68</v>
      </c>
      <c r="G881" t="s">
        <v>52</v>
      </c>
      <c r="H881" t="s">
        <v>38</v>
      </c>
      <c r="I881">
        <v>70</v>
      </c>
    </row>
    <row r="882" spans="1:9" ht="14.5" x14ac:dyDescent="0.35">
      <c r="A882">
        <v>2</v>
      </c>
      <c r="B882" t="s">
        <v>43</v>
      </c>
      <c r="C882" t="s">
        <v>59</v>
      </c>
      <c r="D882" t="s">
        <v>66</v>
      </c>
      <c r="E882" t="s">
        <v>67</v>
      </c>
      <c r="F882" t="s">
        <v>70</v>
      </c>
      <c r="G882" t="s">
        <v>35</v>
      </c>
      <c r="H882" t="s">
        <v>38</v>
      </c>
      <c r="I882">
        <v>70</v>
      </c>
    </row>
    <row r="883" spans="1:9" ht="14.5" x14ac:dyDescent="0.35">
      <c r="A883">
        <v>2</v>
      </c>
      <c r="B883" t="s">
        <v>44</v>
      </c>
      <c r="C883" t="s">
        <v>31</v>
      </c>
      <c r="D883" t="s">
        <v>53</v>
      </c>
      <c r="E883" t="s">
        <v>54</v>
      </c>
      <c r="F883" t="s">
        <v>56</v>
      </c>
      <c r="G883" t="s">
        <v>52</v>
      </c>
      <c r="H883" t="s">
        <v>38</v>
      </c>
      <c r="I883">
        <v>70</v>
      </c>
    </row>
    <row r="884" spans="1:9" ht="14.5" x14ac:dyDescent="0.35">
      <c r="A884">
        <v>2</v>
      </c>
      <c r="B884" t="s">
        <v>44</v>
      </c>
      <c r="C884" t="s">
        <v>59</v>
      </c>
      <c r="D884" t="s">
        <v>60</v>
      </c>
      <c r="E884" t="s">
        <v>61</v>
      </c>
      <c r="F884" t="s">
        <v>64</v>
      </c>
      <c r="G884" t="s">
        <v>35</v>
      </c>
      <c r="H884" t="s">
        <v>38</v>
      </c>
      <c r="I884">
        <v>70</v>
      </c>
    </row>
    <row r="885" spans="1:9" ht="14.5" x14ac:dyDescent="0.35">
      <c r="A885">
        <v>2</v>
      </c>
      <c r="B885" t="s">
        <v>45</v>
      </c>
      <c r="C885" t="s">
        <v>72</v>
      </c>
      <c r="D885" t="s">
        <v>79</v>
      </c>
      <c r="E885" t="s">
        <v>80</v>
      </c>
      <c r="F885" t="s">
        <v>81</v>
      </c>
      <c r="G885" t="s">
        <v>52</v>
      </c>
      <c r="H885" t="s">
        <v>38</v>
      </c>
      <c r="I885">
        <v>70</v>
      </c>
    </row>
    <row r="886" spans="1:9" ht="14.5" x14ac:dyDescent="0.35">
      <c r="A886">
        <v>3</v>
      </c>
      <c r="B886" t="s">
        <v>46</v>
      </c>
      <c r="C886" t="s">
        <v>72</v>
      </c>
      <c r="D886" t="s">
        <v>73</v>
      </c>
      <c r="E886" t="s">
        <v>74</v>
      </c>
      <c r="F886" t="s">
        <v>76</v>
      </c>
      <c r="G886" t="s">
        <v>35</v>
      </c>
      <c r="H886" t="s">
        <v>38</v>
      </c>
      <c r="I886">
        <v>70</v>
      </c>
    </row>
    <row r="887" spans="1:9" ht="14.5" x14ac:dyDescent="0.35">
      <c r="A887">
        <v>3</v>
      </c>
      <c r="B887" t="s">
        <v>46</v>
      </c>
      <c r="C887" t="s">
        <v>72</v>
      </c>
      <c r="D887" t="s">
        <v>73</v>
      </c>
      <c r="E887" t="s">
        <v>74</v>
      </c>
      <c r="F887" t="s">
        <v>78</v>
      </c>
      <c r="G887" t="s">
        <v>52</v>
      </c>
      <c r="H887" t="s">
        <v>38</v>
      </c>
      <c r="I887">
        <v>70</v>
      </c>
    </row>
    <row r="888" spans="1:9" ht="14.5" x14ac:dyDescent="0.35">
      <c r="A888">
        <v>3</v>
      </c>
      <c r="B888" t="s">
        <v>47</v>
      </c>
      <c r="C888" t="s">
        <v>31</v>
      </c>
      <c r="D888" t="s">
        <v>32</v>
      </c>
      <c r="E888" t="s">
        <v>33</v>
      </c>
      <c r="F888" t="s">
        <v>37</v>
      </c>
      <c r="G888" t="s">
        <v>35</v>
      </c>
      <c r="H888" t="s">
        <v>38</v>
      </c>
      <c r="I888">
        <v>70</v>
      </c>
    </row>
    <row r="889" spans="1:9" ht="14.5" x14ac:dyDescent="0.35">
      <c r="A889">
        <v>3</v>
      </c>
      <c r="B889" t="s">
        <v>47</v>
      </c>
      <c r="C889" t="s">
        <v>31</v>
      </c>
      <c r="D889" t="s">
        <v>32</v>
      </c>
      <c r="E889" t="s">
        <v>33</v>
      </c>
      <c r="F889" t="s">
        <v>39</v>
      </c>
      <c r="G889" t="s">
        <v>52</v>
      </c>
      <c r="H889" t="s">
        <v>38</v>
      </c>
      <c r="I889">
        <v>70</v>
      </c>
    </row>
    <row r="890" spans="1:9" ht="14.5" x14ac:dyDescent="0.35">
      <c r="A890">
        <v>3</v>
      </c>
      <c r="B890" t="s">
        <v>47</v>
      </c>
      <c r="C890" t="s">
        <v>72</v>
      </c>
      <c r="D890" t="s">
        <v>73</v>
      </c>
      <c r="E890" t="s">
        <v>74</v>
      </c>
      <c r="F890" t="s">
        <v>75</v>
      </c>
      <c r="G890" t="s">
        <v>52</v>
      </c>
      <c r="H890" t="s">
        <v>38</v>
      </c>
      <c r="I890">
        <v>70</v>
      </c>
    </row>
    <row r="891" spans="1:9" ht="14.5" x14ac:dyDescent="0.35">
      <c r="A891">
        <v>3</v>
      </c>
      <c r="B891" t="s">
        <v>47</v>
      </c>
      <c r="C891" t="s">
        <v>72</v>
      </c>
      <c r="D891" t="s">
        <v>73</v>
      </c>
      <c r="E891" t="s">
        <v>74</v>
      </c>
      <c r="F891" t="s">
        <v>76</v>
      </c>
      <c r="G891" t="s">
        <v>52</v>
      </c>
      <c r="H891" t="s">
        <v>38</v>
      </c>
      <c r="I891">
        <v>70</v>
      </c>
    </row>
    <row r="892" spans="1:9" ht="14.5" x14ac:dyDescent="0.35">
      <c r="A892">
        <v>3</v>
      </c>
      <c r="B892" t="s">
        <v>47</v>
      </c>
      <c r="C892" t="s">
        <v>72</v>
      </c>
      <c r="D892" t="s">
        <v>79</v>
      </c>
      <c r="E892" t="s">
        <v>80</v>
      </c>
      <c r="F892" t="s">
        <v>84</v>
      </c>
      <c r="G892" t="s">
        <v>52</v>
      </c>
      <c r="H892" t="s">
        <v>38</v>
      </c>
      <c r="I892">
        <v>70</v>
      </c>
    </row>
    <row r="893" spans="1:9" ht="14.5" x14ac:dyDescent="0.35">
      <c r="A893">
        <v>3</v>
      </c>
      <c r="B893" t="s">
        <v>48</v>
      </c>
      <c r="C893" t="s">
        <v>31</v>
      </c>
      <c r="D893" t="s">
        <v>32</v>
      </c>
      <c r="E893" t="s">
        <v>33</v>
      </c>
      <c r="F893" t="s">
        <v>37</v>
      </c>
      <c r="G893" t="s">
        <v>52</v>
      </c>
      <c r="H893" t="s">
        <v>38</v>
      </c>
      <c r="I893">
        <v>70</v>
      </c>
    </row>
    <row r="894" spans="1:9" ht="14.5" x14ac:dyDescent="0.35">
      <c r="A894">
        <v>3</v>
      </c>
      <c r="B894" t="s">
        <v>48</v>
      </c>
      <c r="C894" t="s">
        <v>31</v>
      </c>
      <c r="D894" t="s">
        <v>32</v>
      </c>
      <c r="E894" t="s">
        <v>33</v>
      </c>
      <c r="F894" t="s">
        <v>40</v>
      </c>
      <c r="G894" t="s">
        <v>52</v>
      </c>
      <c r="H894" t="s">
        <v>38</v>
      </c>
      <c r="I894">
        <v>70</v>
      </c>
    </row>
    <row r="895" spans="1:9" ht="14.5" x14ac:dyDescent="0.35">
      <c r="A895">
        <v>3</v>
      </c>
      <c r="B895" t="s">
        <v>48</v>
      </c>
      <c r="C895" t="s">
        <v>31</v>
      </c>
      <c r="D895" t="s">
        <v>53</v>
      </c>
      <c r="E895" t="s">
        <v>54</v>
      </c>
      <c r="F895" t="s">
        <v>57</v>
      </c>
      <c r="G895" t="s">
        <v>52</v>
      </c>
      <c r="H895" t="s">
        <v>38</v>
      </c>
      <c r="I895">
        <v>70</v>
      </c>
    </row>
    <row r="896" spans="1:9" ht="14.5" x14ac:dyDescent="0.35">
      <c r="A896">
        <v>3</v>
      </c>
      <c r="B896" t="s">
        <v>48</v>
      </c>
      <c r="C896" t="s">
        <v>31</v>
      </c>
      <c r="D896" t="s">
        <v>53</v>
      </c>
      <c r="E896" t="s">
        <v>54</v>
      </c>
      <c r="F896" t="s">
        <v>58</v>
      </c>
      <c r="G896" t="s">
        <v>52</v>
      </c>
      <c r="H896" t="s">
        <v>38</v>
      </c>
      <c r="I896">
        <v>70</v>
      </c>
    </row>
    <row r="897" spans="1:9" ht="14.5" x14ac:dyDescent="0.35">
      <c r="A897">
        <v>3</v>
      </c>
      <c r="B897" t="s">
        <v>48</v>
      </c>
      <c r="C897" t="s">
        <v>72</v>
      </c>
      <c r="D897" t="s">
        <v>79</v>
      </c>
      <c r="E897" t="s">
        <v>80</v>
      </c>
      <c r="F897" t="s">
        <v>83</v>
      </c>
      <c r="G897" t="s">
        <v>35</v>
      </c>
      <c r="H897" t="s">
        <v>38</v>
      </c>
      <c r="I897">
        <v>70</v>
      </c>
    </row>
    <row r="898" spans="1:9" ht="14.5" x14ac:dyDescent="0.35">
      <c r="A898">
        <v>3</v>
      </c>
      <c r="B898" t="s">
        <v>48</v>
      </c>
      <c r="C898" t="s">
        <v>72</v>
      </c>
      <c r="D898" t="s">
        <v>79</v>
      </c>
      <c r="E898" t="s">
        <v>80</v>
      </c>
      <c r="F898" t="s">
        <v>84</v>
      </c>
      <c r="G898" t="s">
        <v>52</v>
      </c>
      <c r="H898" t="s">
        <v>38</v>
      </c>
      <c r="I898">
        <v>70</v>
      </c>
    </row>
    <row r="899" spans="1:9" ht="14.5" x14ac:dyDescent="0.35">
      <c r="A899">
        <v>4</v>
      </c>
      <c r="B899" t="s">
        <v>49</v>
      </c>
      <c r="C899" t="s">
        <v>31</v>
      </c>
      <c r="D899" t="s">
        <v>32</v>
      </c>
      <c r="E899" t="s">
        <v>33</v>
      </c>
      <c r="F899" t="s">
        <v>39</v>
      </c>
      <c r="G899" t="s">
        <v>35</v>
      </c>
      <c r="H899" t="s">
        <v>38</v>
      </c>
      <c r="I899">
        <v>70</v>
      </c>
    </row>
    <row r="900" spans="1:9" ht="14.5" x14ac:dyDescent="0.35">
      <c r="A900">
        <v>4</v>
      </c>
      <c r="B900" t="s">
        <v>49</v>
      </c>
      <c r="C900" t="s">
        <v>31</v>
      </c>
      <c r="D900" t="s">
        <v>53</v>
      </c>
      <c r="E900" t="s">
        <v>54</v>
      </c>
      <c r="F900" t="s">
        <v>55</v>
      </c>
      <c r="G900" t="s">
        <v>52</v>
      </c>
      <c r="H900" t="s">
        <v>38</v>
      </c>
      <c r="I900">
        <v>70</v>
      </c>
    </row>
    <row r="901" spans="1:9" ht="14.5" x14ac:dyDescent="0.35">
      <c r="A901">
        <v>4</v>
      </c>
      <c r="B901" t="s">
        <v>49</v>
      </c>
      <c r="C901" t="s">
        <v>85</v>
      </c>
      <c r="D901" t="s">
        <v>86</v>
      </c>
      <c r="E901" t="s">
        <v>87</v>
      </c>
      <c r="F901" t="s">
        <v>90</v>
      </c>
      <c r="G901" t="s">
        <v>35</v>
      </c>
      <c r="H901" t="s">
        <v>38</v>
      </c>
      <c r="I901">
        <v>70</v>
      </c>
    </row>
    <row r="902" spans="1:9" ht="14.5" x14ac:dyDescent="0.35">
      <c r="A902">
        <v>4</v>
      </c>
      <c r="B902" t="s">
        <v>49</v>
      </c>
      <c r="C902" t="s">
        <v>85</v>
      </c>
      <c r="D902" t="s">
        <v>92</v>
      </c>
      <c r="E902" t="s">
        <v>93</v>
      </c>
      <c r="F902" t="s">
        <v>97</v>
      </c>
      <c r="G902" t="s">
        <v>52</v>
      </c>
      <c r="H902" t="s">
        <v>38</v>
      </c>
      <c r="I902">
        <v>70</v>
      </c>
    </row>
    <row r="903" spans="1:9" ht="14.5" x14ac:dyDescent="0.35">
      <c r="A903">
        <v>4</v>
      </c>
      <c r="B903" t="s">
        <v>49</v>
      </c>
      <c r="C903" t="s">
        <v>59</v>
      </c>
      <c r="D903" t="s">
        <v>60</v>
      </c>
      <c r="E903" t="s">
        <v>61</v>
      </c>
      <c r="F903" t="s">
        <v>63</v>
      </c>
      <c r="G903" t="s">
        <v>35</v>
      </c>
      <c r="H903" t="s">
        <v>38</v>
      </c>
      <c r="I903">
        <v>70</v>
      </c>
    </row>
    <row r="904" spans="1:9" ht="14.5" x14ac:dyDescent="0.35">
      <c r="A904">
        <v>4</v>
      </c>
      <c r="B904" t="s">
        <v>49</v>
      </c>
      <c r="C904" t="s">
        <v>59</v>
      </c>
      <c r="D904" t="s">
        <v>60</v>
      </c>
      <c r="E904" t="s">
        <v>61</v>
      </c>
      <c r="F904" t="s">
        <v>64</v>
      </c>
      <c r="G904" t="s">
        <v>35</v>
      </c>
      <c r="H904" t="s">
        <v>38</v>
      </c>
      <c r="I904">
        <v>70</v>
      </c>
    </row>
    <row r="905" spans="1:9" ht="14.5" x14ac:dyDescent="0.35">
      <c r="A905">
        <v>4</v>
      </c>
      <c r="B905" t="s">
        <v>49</v>
      </c>
      <c r="C905" t="s">
        <v>72</v>
      </c>
      <c r="D905" t="s">
        <v>73</v>
      </c>
      <c r="E905" t="s">
        <v>74</v>
      </c>
      <c r="F905" t="s">
        <v>78</v>
      </c>
      <c r="G905" t="s">
        <v>35</v>
      </c>
      <c r="H905" t="s">
        <v>38</v>
      </c>
      <c r="I905">
        <v>70</v>
      </c>
    </row>
    <row r="906" spans="1:9" ht="14.5" x14ac:dyDescent="0.35">
      <c r="A906">
        <v>4</v>
      </c>
      <c r="B906" t="s">
        <v>49</v>
      </c>
      <c r="C906" t="s">
        <v>72</v>
      </c>
      <c r="D906" t="s">
        <v>79</v>
      </c>
      <c r="E906" t="s">
        <v>80</v>
      </c>
      <c r="F906" t="s">
        <v>82</v>
      </c>
      <c r="G906" t="s">
        <v>35</v>
      </c>
      <c r="H906" t="s">
        <v>38</v>
      </c>
      <c r="I906">
        <v>70</v>
      </c>
    </row>
    <row r="907" spans="1:9" ht="14.5" x14ac:dyDescent="0.35">
      <c r="A907">
        <v>4</v>
      </c>
      <c r="B907" t="s">
        <v>49</v>
      </c>
      <c r="C907" t="s">
        <v>72</v>
      </c>
      <c r="D907" t="s">
        <v>79</v>
      </c>
      <c r="E907" t="s">
        <v>80</v>
      </c>
      <c r="F907" t="s">
        <v>84</v>
      </c>
      <c r="G907" t="s">
        <v>35</v>
      </c>
      <c r="H907" t="s">
        <v>38</v>
      </c>
      <c r="I907">
        <v>70</v>
      </c>
    </row>
    <row r="908" spans="1:9" ht="14.5" x14ac:dyDescent="0.35">
      <c r="A908">
        <v>4</v>
      </c>
      <c r="B908" t="s">
        <v>50</v>
      </c>
      <c r="C908" t="s">
        <v>85</v>
      </c>
      <c r="D908" t="s">
        <v>86</v>
      </c>
      <c r="E908" t="s">
        <v>87</v>
      </c>
      <c r="F908" t="s">
        <v>89</v>
      </c>
      <c r="G908" t="s">
        <v>35</v>
      </c>
      <c r="H908" t="s">
        <v>38</v>
      </c>
      <c r="I908">
        <v>70</v>
      </c>
    </row>
    <row r="909" spans="1:9" ht="14.5" x14ac:dyDescent="0.35">
      <c r="A909">
        <v>4</v>
      </c>
      <c r="B909" t="s">
        <v>50</v>
      </c>
      <c r="C909" t="s">
        <v>59</v>
      </c>
      <c r="D909" t="s">
        <v>60</v>
      </c>
      <c r="E909" t="s">
        <v>61</v>
      </c>
      <c r="F909" t="s">
        <v>65</v>
      </c>
      <c r="G909" t="s">
        <v>52</v>
      </c>
      <c r="H909" t="s">
        <v>38</v>
      </c>
      <c r="I909">
        <v>70</v>
      </c>
    </row>
    <row r="910" spans="1:9" ht="14.5" x14ac:dyDescent="0.35">
      <c r="A910">
        <v>4</v>
      </c>
      <c r="B910" t="s">
        <v>50</v>
      </c>
      <c r="C910" t="s">
        <v>59</v>
      </c>
      <c r="D910" t="s">
        <v>66</v>
      </c>
      <c r="E910" t="s">
        <v>67</v>
      </c>
      <c r="F910" t="s">
        <v>69</v>
      </c>
      <c r="G910" t="s">
        <v>35</v>
      </c>
      <c r="H910" t="s">
        <v>38</v>
      </c>
      <c r="I910">
        <v>70</v>
      </c>
    </row>
    <row r="911" spans="1:9" ht="14.5" x14ac:dyDescent="0.35">
      <c r="A911">
        <v>4</v>
      </c>
      <c r="B911" t="s">
        <v>51</v>
      </c>
      <c r="C911" t="s">
        <v>31</v>
      </c>
      <c r="D911" t="s">
        <v>32</v>
      </c>
      <c r="E911" t="s">
        <v>33</v>
      </c>
      <c r="F911" t="s">
        <v>34</v>
      </c>
      <c r="G911" t="s">
        <v>52</v>
      </c>
      <c r="H911" t="s">
        <v>38</v>
      </c>
      <c r="I911">
        <v>70</v>
      </c>
    </row>
    <row r="912" spans="1:9" ht="14.5" x14ac:dyDescent="0.35">
      <c r="A912">
        <v>4</v>
      </c>
      <c r="B912" t="s">
        <v>51</v>
      </c>
      <c r="C912" t="s">
        <v>31</v>
      </c>
      <c r="D912" t="s">
        <v>53</v>
      </c>
      <c r="E912" t="s">
        <v>54</v>
      </c>
      <c r="F912" t="s">
        <v>58</v>
      </c>
      <c r="G912" t="s">
        <v>52</v>
      </c>
      <c r="H912" t="s">
        <v>38</v>
      </c>
      <c r="I912">
        <v>70</v>
      </c>
    </row>
    <row r="913" spans="1:9" ht="14.5" x14ac:dyDescent="0.35">
      <c r="A913">
        <v>4</v>
      </c>
      <c r="B913" t="s">
        <v>51</v>
      </c>
      <c r="C913" t="s">
        <v>85</v>
      </c>
      <c r="D913" t="s">
        <v>92</v>
      </c>
      <c r="E913" t="s">
        <v>93</v>
      </c>
      <c r="F913" t="s">
        <v>97</v>
      </c>
      <c r="G913" t="s">
        <v>52</v>
      </c>
      <c r="H913" t="s">
        <v>38</v>
      </c>
      <c r="I913">
        <v>70</v>
      </c>
    </row>
    <row r="914" spans="1:9" ht="14.5" x14ac:dyDescent="0.35">
      <c r="A914">
        <v>4</v>
      </c>
      <c r="B914" t="s">
        <v>51</v>
      </c>
      <c r="C914" t="s">
        <v>59</v>
      </c>
      <c r="D914" t="s">
        <v>60</v>
      </c>
      <c r="E914" t="s">
        <v>61</v>
      </c>
      <c r="F914" t="s">
        <v>63</v>
      </c>
      <c r="G914" t="s">
        <v>35</v>
      </c>
      <c r="H914" t="s">
        <v>38</v>
      </c>
      <c r="I914">
        <v>70</v>
      </c>
    </row>
    <row r="915" spans="1:9" ht="14.5" x14ac:dyDescent="0.35">
      <c r="A915">
        <v>4</v>
      </c>
      <c r="B915" t="s">
        <v>51</v>
      </c>
      <c r="C915" t="s">
        <v>59</v>
      </c>
      <c r="D915" t="s">
        <v>66</v>
      </c>
      <c r="E915" t="s">
        <v>67</v>
      </c>
      <c r="F915" t="s">
        <v>71</v>
      </c>
      <c r="G915" t="s">
        <v>52</v>
      </c>
      <c r="H915" t="s">
        <v>38</v>
      </c>
      <c r="I915">
        <v>70</v>
      </c>
    </row>
    <row r="916" spans="1:9" ht="14.5" x14ac:dyDescent="0.35">
      <c r="A916">
        <v>4</v>
      </c>
      <c r="B916" t="s">
        <v>51</v>
      </c>
      <c r="C916" t="s">
        <v>72</v>
      </c>
      <c r="D916" t="s">
        <v>79</v>
      </c>
      <c r="E916" t="s">
        <v>80</v>
      </c>
      <c r="F916" t="s">
        <v>83</v>
      </c>
      <c r="G916" t="s">
        <v>35</v>
      </c>
      <c r="H916" t="s">
        <v>38</v>
      </c>
      <c r="I916">
        <v>70</v>
      </c>
    </row>
    <row r="917" spans="1:9" ht="14.5" x14ac:dyDescent="0.35">
      <c r="A917">
        <v>1</v>
      </c>
      <c r="B917" t="s">
        <v>30</v>
      </c>
      <c r="C917" t="s">
        <v>31</v>
      </c>
      <c r="D917" t="s">
        <v>53</v>
      </c>
      <c r="E917" t="s">
        <v>54</v>
      </c>
      <c r="F917" t="s">
        <v>58</v>
      </c>
      <c r="G917" t="s">
        <v>52</v>
      </c>
      <c r="H917" t="s">
        <v>38</v>
      </c>
      <c r="I917">
        <v>80</v>
      </c>
    </row>
    <row r="918" spans="1:9" ht="14.5" x14ac:dyDescent="0.35">
      <c r="A918">
        <v>1</v>
      </c>
      <c r="B918" t="s">
        <v>30</v>
      </c>
      <c r="C918" t="s">
        <v>85</v>
      </c>
      <c r="D918" t="s">
        <v>86</v>
      </c>
      <c r="E918" t="s">
        <v>87</v>
      </c>
      <c r="F918" t="s">
        <v>89</v>
      </c>
      <c r="G918" t="s">
        <v>35</v>
      </c>
      <c r="H918" t="s">
        <v>38</v>
      </c>
      <c r="I918">
        <v>80</v>
      </c>
    </row>
    <row r="919" spans="1:9" ht="14.5" x14ac:dyDescent="0.35">
      <c r="A919">
        <v>1</v>
      </c>
      <c r="B919" t="s">
        <v>30</v>
      </c>
      <c r="C919" t="s">
        <v>85</v>
      </c>
      <c r="D919" t="s">
        <v>92</v>
      </c>
      <c r="E919" t="s">
        <v>93</v>
      </c>
      <c r="F919" t="s">
        <v>96</v>
      </c>
      <c r="G919" t="s">
        <v>52</v>
      </c>
      <c r="H919" t="s">
        <v>38</v>
      </c>
      <c r="I919">
        <v>80</v>
      </c>
    </row>
    <row r="920" spans="1:9" ht="14.5" x14ac:dyDescent="0.35">
      <c r="A920">
        <v>1</v>
      </c>
      <c r="B920" t="s">
        <v>30</v>
      </c>
      <c r="C920" t="s">
        <v>59</v>
      </c>
      <c r="D920" t="s">
        <v>60</v>
      </c>
      <c r="E920" t="s">
        <v>61</v>
      </c>
      <c r="F920" t="s">
        <v>65</v>
      </c>
      <c r="G920" t="s">
        <v>52</v>
      </c>
      <c r="H920" t="s">
        <v>38</v>
      </c>
      <c r="I920">
        <v>80</v>
      </c>
    </row>
    <row r="921" spans="1:9" ht="14.5" x14ac:dyDescent="0.35">
      <c r="A921">
        <v>1</v>
      </c>
      <c r="B921" t="s">
        <v>42</v>
      </c>
      <c r="C921" t="s">
        <v>31</v>
      </c>
      <c r="D921" t="s">
        <v>53</v>
      </c>
      <c r="E921" t="s">
        <v>54</v>
      </c>
      <c r="F921" t="s">
        <v>56</v>
      </c>
      <c r="G921" t="s">
        <v>35</v>
      </c>
      <c r="H921" t="s">
        <v>38</v>
      </c>
      <c r="I921">
        <v>80</v>
      </c>
    </row>
    <row r="922" spans="1:9" ht="14.5" x14ac:dyDescent="0.35">
      <c r="A922">
        <v>1</v>
      </c>
      <c r="B922" t="s">
        <v>42</v>
      </c>
      <c r="C922" t="s">
        <v>31</v>
      </c>
      <c r="D922" t="s">
        <v>53</v>
      </c>
      <c r="E922" t="s">
        <v>54</v>
      </c>
      <c r="F922" t="s">
        <v>58</v>
      </c>
      <c r="G922" t="s">
        <v>35</v>
      </c>
      <c r="H922" t="s">
        <v>38</v>
      </c>
      <c r="I922">
        <v>80</v>
      </c>
    </row>
    <row r="923" spans="1:9" ht="14.5" x14ac:dyDescent="0.35">
      <c r="A923">
        <v>1</v>
      </c>
      <c r="B923" t="s">
        <v>42</v>
      </c>
      <c r="C923" t="s">
        <v>59</v>
      </c>
      <c r="D923" t="s">
        <v>60</v>
      </c>
      <c r="E923" t="s">
        <v>61</v>
      </c>
      <c r="F923" t="s">
        <v>63</v>
      </c>
      <c r="G923" t="s">
        <v>52</v>
      </c>
      <c r="H923" t="s">
        <v>38</v>
      </c>
      <c r="I923">
        <v>80</v>
      </c>
    </row>
    <row r="924" spans="1:9" ht="14.5" x14ac:dyDescent="0.35">
      <c r="A924">
        <v>1</v>
      </c>
      <c r="B924" t="s">
        <v>42</v>
      </c>
      <c r="C924" t="s">
        <v>72</v>
      </c>
      <c r="D924" t="s">
        <v>79</v>
      </c>
      <c r="E924" t="s">
        <v>80</v>
      </c>
      <c r="F924" t="s">
        <v>81</v>
      </c>
      <c r="G924" t="s">
        <v>52</v>
      </c>
      <c r="H924" t="s">
        <v>38</v>
      </c>
      <c r="I924">
        <v>80</v>
      </c>
    </row>
    <row r="925" spans="1:9" ht="14.5" x14ac:dyDescent="0.35">
      <c r="A925">
        <v>2</v>
      </c>
      <c r="B925" t="s">
        <v>43</v>
      </c>
      <c r="C925" t="s">
        <v>31</v>
      </c>
      <c r="D925" t="s">
        <v>53</v>
      </c>
      <c r="E925" t="s">
        <v>54</v>
      </c>
      <c r="F925" t="s">
        <v>58</v>
      </c>
      <c r="G925" t="s">
        <v>35</v>
      </c>
      <c r="H925" t="s">
        <v>38</v>
      </c>
      <c r="I925">
        <v>80</v>
      </c>
    </row>
    <row r="926" spans="1:9" ht="14.5" x14ac:dyDescent="0.35">
      <c r="A926">
        <v>2</v>
      </c>
      <c r="B926" t="s">
        <v>43</v>
      </c>
      <c r="C926" t="s">
        <v>85</v>
      </c>
      <c r="D926" t="s">
        <v>92</v>
      </c>
      <c r="E926" t="s">
        <v>93</v>
      </c>
      <c r="F926" t="s">
        <v>97</v>
      </c>
      <c r="G926" t="s">
        <v>35</v>
      </c>
      <c r="H926" t="s">
        <v>38</v>
      </c>
      <c r="I926">
        <v>80</v>
      </c>
    </row>
    <row r="927" spans="1:9" ht="14.5" x14ac:dyDescent="0.35">
      <c r="A927">
        <v>2</v>
      </c>
      <c r="B927" t="s">
        <v>43</v>
      </c>
      <c r="C927" t="s">
        <v>59</v>
      </c>
      <c r="D927" t="s">
        <v>60</v>
      </c>
      <c r="E927" t="s">
        <v>61</v>
      </c>
      <c r="F927" t="s">
        <v>62</v>
      </c>
      <c r="G927" t="s">
        <v>52</v>
      </c>
      <c r="H927" t="s">
        <v>38</v>
      </c>
      <c r="I927">
        <v>80</v>
      </c>
    </row>
    <row r="928" spans="1:9" ht="14.5" x14ac:dyDescent="0.35">
      <c r="A928">
        <v>2</v>
      </c>
      <c r="B928" t="s">
        <v>43</v>
      </c>
      <c r="C928" t="s">
        <v>59</v>
      </c>
      <c r="D928" t="s">
        <v>66</v>
      </c>
      <c r="E928" t="s">
        <v>67</v>
      </c>
      <c r="F928" t="s">
        <v>69</v>
      </c>
      <c r="G928" t="s">
        <v>52</v>
      </c>
      <c r="H928" t="s">
        <v>38</v>
      </c>
      <c r="I928">
        <v>80</v>
      </c>
    </row>
    <row r="929" spans="1:9" ht="14.5" x14ac:dyDescent="0.35">
      <c r="A929">
        <v>2</v>
      </c>
      <c r="B929" t="s">
        <v>43</v>
      </c>
      <c r="C929" t="s">
        <v>72</v>
      </c>
      <c r="D929" t="s">
        <v>79</v>
      </c>
      <c r="E929" t="s">
        <v>80</v>
      </c>
      <c r="F929" t="s">
        <v>84</v>
      </c>
      <c r="G929" t="s">
        <v>35</v>
      </c>
      <c r="H929" t="s">
        <v>38</v>
      </c>
      <c r="I929">
        <v>80</v>
      </c>
    </row>
    <row r="930" spans="1:9" ht="14.5" x14ac:dyDescent="0.35">
      <c r="A930">
        <v>2</v>
      </c>
      <c r="B930" t="s">
        <v>44</v>
      </c>
      <c r="C930" t="s">
        <v>31</v>
      </c>
      <c r="D930" t="s">
        <v>32</v>
      </c>
      <c r="E930" t="s">
        <v>33</v>
      </c>
      <c r="F930" t="s">
        <v>39</v>
      </c>
      <c r="G930" t="s">
        <v>35</v>
      </c>
      <c r="H930" t="s">
        <v>38</v>
      </c>
      <c r="I930">
        <v>80</v>
      </c>
    </row>
    <row r="931" spans="1:9" ht="14.5" x14ac:dyDescent="0.35">
      <c r="A931">
        <v>2</v>
      </c>
      <c r="B931" t="s">
        <v>45</v>
      </c>
      <c r="C931" t="s">
        <v>31</v>
      </c>
      <c r="D931" t="s">
        <v>32</v>
      </c>
      <c r="E931" t="s">
        <v>33</v>
      </c>
      <c r="F931" t="s">
        <v>34</v>
      </c>
      <c r="G931" t="s">
        <v>35</v>
      </c>
      <c r="H931" t="s">
        <v>38</v>
      </c>
      <c r="I931">
        <v>80</v>
      </c>
    </row>
    <row r="932" spans="1:9" ht="14.5" x14ac:dyDescent="0.35">
      <c r="A932">
        <v>2</v>
      </c>
      <c r="B932" t="s">
        <v>45</v>
      </c>
      <c r="C932" t="s">
        <v>31</v>
      </c>
      <c r="D932" t="s">
        <v>53</v>
      </c>
      <c r="E932" t="s">
        <v>54</v>
      </c>
      <c r="F932" t="s">
        <v>55</v>
      </c>
      <c r="G932" t="s">
        <v>35</v>
      </c>
      <c r="H932" t="s">
        <v>38</v>
      </c>
      <c r="I932">
        <v>80</v>
      </c>
    </row>
    <row r="933" spans="1:9" ht="14.5" x14ac:dyDescent="0.35">
      <c r="A933">
        <v>2</v>
      </c>
      <c r="B933" t="s">
        <v>45</v>
      </c>
      <c r="C933" t="s">
        <v>31</v>
      </c>
      <c r="D933" t="s">
        <v>53</v>
      </c>
      <c r="E933" t="s">
        <v>54</v>
      </c>
      <c r="F933" t="s">
        <v>57</v>
      </c>
      <c r="G933" t="s">
        <v>52</v>
      </c>
      <c r="H933" t="s">
        <v>38</v>
      </c>
      <c r="I933">
        <v>80</v>
      </c>
    </row>
    <row r="934" spans="1:9" ht="14.5" x14ac:dyDescent="0.35">
      <c r="A934">
        <v>2</v>
      </c>
      <c r="B934" t="s">
        <v>45</v>
      </c>
      <c r="C934" t="s">
        <v>59</v>
      </c>
      <c r="D934" t="s">
        <v>66</v>
      </c>
      <c r="E934" t="s">
        <v>67</v>
      </c>
      <c r="F934" t="s">
        <v>68</v>
      </c>
      <c r="G934" t="s">
        <v>52</v>
      </c>
      <c r="H934" t="s">
        <v>38</v>
      </c>
      <c r="I934">
        <v>80</v>
      </c>
    </row>
    <row r="935" spans="1:9" ht="14.5" x14ac:dyDescent="0.35">
      <c r="A935">
        <v>2</v>
      </c>
      <c r="B935" t="s">
        <v>45</v>
      </c>
      <c r="C935" t="s">
        <v>59</v>
      </c>
      <c r="D935" t="s">
        <v>66</v>
      </c>
      <c r="E935" t="s">
        <v>67</v>
      </c>
      <c r="F935" t="s">
        <v>69</v>
      </c>
      <c r="G935" t="s">
        <v>52</v>
      </c>
      <c r="H935" t="s">
        <v>38</v>
      </c>
      <c r="I935">
        <v>80</v>
      </c>
    </row>
    <row r="936" spans="1:9" ht="14.5" x14ac:dyDescent="0.35">
      <c r="A936">
        <v>2</v>
      </c>
      <c r="B936" t="s">
        <v>45</v>
      </c>
      <c r="C936" t="s">
        <v>59</v>
      </c>
      <c r="D936" t="s">
        <v>66</v>
      </c>
      <c r="E936" t="s">
        <v>67</v>
      </c>
      <c r="F936" t="s">
        <v>71</v>
      </c>
      <c r="G936" t="s">
        <v>52</v>
      </c>
      <c r="H936" t="s">
        <v>38</v>
      </c>
      <c r="I936">
        <v>80</v>
      </c>
    </row>
    <row r="937" spans="1:9" ht="14.5" x14ac:dyDescent="0.35">
      <c r="A937">
        <v>3</v>
      </c>
      <c r="B937" t="s">
        <v>46</v>
      </c>
      <c r="C937" t="s">
        <v>31</v>
      </c>
      <c r="D937" t="s">
        <v>53</v>
      </c>
      <c r="E937" t="s">
        <v>54</v>
      </c>
      <c r="F937" t="s">
        <v>55</v>
      </c>
      <c r="G937" t="s">
        <v>35</v>
      </c>
      <c r="H937" t="s">
        <v>38</v>
      </c>
      <c r="I937">
        <v>80</v>
      </c>
    </row>
    <row r="938" spans="1:9" ht="14.5" x14ac:dyDescent="0.35">
      <c r="A938">
        <v>3</v>
      </c>
      <c r="B938" t="s">
        <v>46</v>
      </c>
      <c r="C938" t="s">
        <v>31</v>
      </c>
      <c r="D938" t="s">
        <v>53</v>
      </c>
      <c r="E938" t="s">
        <v>54</v>
      </c>
      <c r="F938" t="s">
        <v>57</v>
      </c>
      <c r="G938" t="s">
        <v>35</v>
      </c>
      <c r="H938" t="s">
        <v>38</v>
      </c>
      <c r="I938">
        <v>80</v>
      </c>
    </row>
    <row r="939" spans="1:9" ht="14.5" x14ac:dyDescent="0.35">
      <c r="A939">
        <v>3</v>
      </c>
      <c r="B939" t="s">
        <v>46</v>
      </c>
      <c r="C939" t="s">
        <v>31</v>
      </c>
      <c r="D939" t="s">
        <v>53</v>
      </c>
      <c r="E939" t="s">
        <v>54</v>
      </c>
      <c r="F939" t="s">
        <v>57</v>
      </c>
      <c r="G939" t="s">
        <v>52</v>
      </c>
      <c r="H939" t="s">
        <v>38</v>
      </c>
      <c r="I939">
        <v>80</v>
      </c>
    </row>
    <row r="940" spans="1:9" ht="14.5" x14ac:dyDescent="0.35">
      <c r="A940">
        <v>3</v>
      </c>
      <c r="B940" t="s">
        <v>46</v>
      </c>
      <c r="C940" t="s">
        <v>59</v>
      </c>
      <c r="D940" t="s">
        <v>60</v>
      </c>
      <c r="E940" t="s">
        <v>61</v>
      </c>
      <c r="F940" t="s">
        <v>64</v>
      </c>
      <c r="G940" t="s">
        <v>35</v>
      </c>
      <c r="H940" t="s">
        <v>38</v>
      </c>
      <c r="I940">
        <v>80</v>
      </c>
    </row>
    <row r="941" spans="1:9" ht="14.5" x14ac:dyDescent="0.35">
      <c r="A941">
        <v>3</v>
      </c>
      <c r="B941" t="s">
        <v>46</v>
      </c>
      <c r="C941" t="s">
        <v>72</v>
      </c>
      <c r="D941" t="s">
        <v>73</v>
      </c>
      <c r="E941" t="s">
        <v>74</v>
      </c>
      <c r="F941" t="s">
        <v>78</v>
      </c>
      <c r="G941" t="s">
        <v>35</v>
      </c>
      <c r="H941" t="s">
        <v>38</v>
      </c>
      <c r="I941">
        <v>80</v>
      </c>
    </row>
    <row r="942" spans="1:9" ht="14.5" x14ac:dyDescent="0.35">
      <c r="A942">
        <v>3</v>
      </c>
      <c r="B942" t="s">
        <v>46</v>
      </c>
      <c r="C942" t="s">
        <v>72</v>
      </c>
      <c r="D942" t="s">
        <v>79</v>
      </c>
      <c r="E942" t="s">
        <v>80</v>
      </c>
      <c r="F942" t="s">
        <v>82</v>
      </c>
      <c r="G942" t="s">
        <v>35</v>
      </c>
      <c r="H942" t="s">
        <v>38</v>
      </c>
      <c r="I942">
        <v>80</v>
      </c>
    </row>
    <row r="943" spans="1:9" ht="14.5" x14ac:dyDescent="0.35">
      <c r="A943">
        <v>3</v>
      </c>
      <c r="B943" t="s">
        <v>47</v>
      </c>
      <c r="C943" t="s">
        <v>31</v>
      </c>
      <c r="D943" t="s">
        <v>53</v>
      </c>
      <c r="E943" t="s">
        <v>54</v>
      </c>
      <c r="F943" t="s">
        <v>55</v>
      </c>
      <c r="G943" t="s">
        <v>52</v>
      </c>
      <c r="H943" t="s">
        <v>38</v>
      </c>
      <c r="I943">
        <v>80</v>
      </c>
    </row>
    <row r="944" spans="1:9" ht="14.5" x14ac:dyDescent="0.35">
      <c r="A944">
        <v>3</v>
      </c>
      <c r="B944" t="s">
        <v>47</v>
      </c>
      <c r="C944" t="s">
        <v>31</v>
      </c>
      <c r="D944" t="s">
        <v>53</v>
      </c>
      <c r="E944" t="s">
        <v>54</v>
      </c>
      <c r="F944" t="s">
        <v>57</v>
      </c>
      <c r="G944" t="s">
        <v>35</v>
      </c>
      <c r="H944" t="s">
        <v>38</v>
      </c>
      <c r="I944">
        <v>80</v>
      </c>
    </row>
    <row r="945" spans="1:9" ht="14.5" x14ac:dyDescent="0.35">
      <c r="A945">
        <v>3</v>
      </c>
      <c r="B945" t="s">
        <v>47</v>
      </c>
      <c r="C945" t="s">
        <v>31</v>
      </c>
      <c r="D945" t="s">
        <v>53</v>
      </c>
      <c r="E945" t="s">
        <v>54</v>
      </c>
      <c r="F945" t="s">
        <v>58</v>
      </c>
      <c r="G945" t="s">
        <v>52</v>
      </c>
      <c r="H945" t="s">
        <v>38</v>
      </c>
      <c r="I945">
        <v>80</v>
      </c>
    </row>
    <row r="946" spans="1:9" ht="14.5" x14ac:dyDescent="0.35">
      <c r="A946">
        <v>3</v>
      </c>
      <c r="B946" t="s">
        <v>47</v>
      </c>
      <c r="C946" t="s">
        <v>59</v>
      </c>
      <c r="D946" t="s">
        <v>60</v>
      </c>
      <c r="E946" t="s">
        <v>61</v>
      </c>
      <c r="F946" t="s">
        <v>64</v>
      </c>
      <c r="G946" t="s">
        <v>52</v>
      </c>
      <c r="H946" t="s">
        <v>38</v>
      </c>
      <c r="I946">
        <v>80</v>
      </c>
    </row>
    <row r="947" spans="1:9" ht="14.5" x14ac:dyDescent="0.35">
      <c r="A947">
        <v>3</v>
      </c>
      <c r="B947" t="s">
        <v>48</v>
      </c>
      <c r="C947" t="s">
        <v>31</v>
      </c>
      <c r="D947" t="s">
        <v>32</v>
      </c>
      <c r="E947" t="s">
        <v>33</v>
      </c>
      <c r="F947" t="s">
        <v>39</v>
      </c>
      <c r="G947" t="s">
        <v>52</v>
      </c>
      <c r="H947" t="s">
        <v>38</v>
      </c>
      <c r="I947">
        <v>80</v>
      </c>
    </row>
    <row r="948" spans="1:9" ht="14.5" x14ac:dyDescent="0.35">
      <c r="A948">
        <v>3</v>
      </c>
      <c r="B948" t="s">
        <v>48</v>
      </c>
      <c r="C948" t="s">
        <v>85</v>
      </c>
      <c r="D948" t="s">
        <v>92</v>
      </c>
      <c r="E948" t="s">
        <v>93</v>
      </c>
      <c r="F948" t="s">
        <v>97</v>
      </c>
      <c r="G948" t="s">
        <v>52</v>
      </c>
      <c r="H948" t="s">
        <v>38</v>
      </c>
      <c r="I948">
        <v>80</v>
      </c>
    </row>
    <row r="949" spans="1:9" ht="14.5" x14ac:dyDescent="0.35">
      <c r="A949">
        <v>3</v>
      </c>
      <c r="B949" t="s">
        <v>48</v>
      </c>
      <c r="C949" t="s">
        <v>72</v>
      </c>
      <c r="D949" t="s">
        <v>79</v>
      </c>
      <c r="E949" t="s">
        <v>80</v>
      </c>
      <c r="F949" t="s">
        <v>82</v>
      </c>
      <c r="G949" t="s">
        <v>35</v>
      </c>
      <c r="H949" t="s">
        <v>38</v>
      </c>
      <c r="I949">
        <v>80</v>
      </c>
    </row>
    <row r="950" spans="1:9" ht="14.5" x14ac:dyDescent="0.35">
      <c r="A950">
        <v>4</v>
      </c>
      <c r="B950" t="s">
        <v>49</v>
      </c>
      <c r="C950" t="s">
        <v>31</v>
      </c>
      <c r="D950" t="s">
        <v>53</v>
      </c>
      <c r="E950" t="s">
        <v>54</v>
      </c>
      <c r="F950" t="s">
        <v>57</v>
      </c>
      <c r="G950" t="s">
        <v>52</v>
      </c>
      <c r="H950" t="s">
        <v>38</v>
      </c>
      <c r="I950">
        <v>80</v>
      </c>
    </row>
    <row r="951" spans="1:9" ht="14.5" x14ac:dyDescent="0.35">
      <c r="A951">
        <v>4</v>
      </c>
      <c r="B951" t="s">
        <v>49</v>
      </c>
      <c r="C951" t="s">
        <v>59</v>
      </c>
      <c r="D951" t="s">
        <v>60</v>
      </c>
      <c r="E951" t="s">
        <v>61</v>
      </c>
      <c r="F951" t="s">
        <v>64</v>
      </c>
      <c r="G951" t="s">
        <v>52</v>
      </c>
      <c r="H951" t="s">
        <v>38</v>
      </c>
      <c r="I951">
        <v>80</v>
      </c>
    </row>
    <row r="952" spans="1:9" ht="14.5" x14ac:dyDescent="0.35">
      <c r="A952">
        <v>4</v>
      </c>
      <c r="B952" t="s">
        <v>49</v>
      </c>
      <c r="C952" t="s">
        <v>59</v>
      </c>
      <c r="D952" t="s">
        <v>66</v>
      </c>
      <c r="E952" t="s">
        <v>67</v>
      </c>
      <c r="F952" t="s">
        <v>68</v>
      </c>
      <c r="G952" t="s">
        <v>35</v>
      </c>
      <c r="H952" t="s">
        <v>38</v>
      </c>
      <c r="I952">
        <v>80</v>
      </c>
    </row>
    <row r="953" spans="1:9" ht="14.5" x14ac:dyDescent="0.35">
      <c r="A953">
        <v>4</v>
      </c>
      <c r="B953" t="s">
        <v>49</v>
      </c>
      <c r="C953" t="s">
        <v>59</v>
      </c>
      <c r="D953" t="s">
        <v>66</v>
      </c>
      <c r="E953" t="s">
        <v>67</v>
      </c>
      <c r="F953" t="s">
        <v>70</v>
      </c>
      <c r="G953" t="s">
        <v>35</v>
      </c>
      <c r="H953" t="s">
        <v>38</v>
      </c>
      <c r="I953">
        <v>80</v>
      </c>
    </row>
    <row r="954" spans="1:9" ht="14.5" x14ac:dyDescent="0.35">
      <c r="A954">
        <v>4</v>
      </c>
      <c r="B954" t="s">
        <v>49</v>
      </c>
      <c r="C954" t="s">
        <v>72</v>
      </c>
      <c r="D954" t="s">
        <v>73</v>
      </c>
      <c r="E954" t="s">
        <v>74</v>
      </c>
      <c r="F954" t="s">
        <v>78</v>
      </c>
      <c r="G954" t="s">
        <v>52</v>
      </c>
      <c r="H954" t="s">
        <v>38</v>
      </c>
      <c r="I954">
        <v>80</v>
      </c>
    </row>
    <row r="955" spans="1:9" ht="14.5" x14ac:dyDescent="0.35">
      <c r="A955">
        <v>4</v>
      </c>
      <c r="B955" t="s">
        <v>50</v>
      </c>
      <c r="C955" t="s">
        <v>31</v>
      </c>
      <c r="D955" t="s">
        <v>53</v>
      </c>
      <c r="E955" t="s">
        <v>54</v>
      </c>
      <c r="F955" t="s">
        <v>57</v>
      </c>
      <c r="G955" t="s">
        <v>52</v>
      </c>
      <c r="H955" t="s">
        <v>38</v>
      </c>
      <c r="I955">
        <v>80</v>
      </c>
    </row>
    <row r="956" spans="1:9" ht="14.5" x14ac:dyDescent="0.35">
      <c r="A956">
        <v>4</v>
      </c>
      <c r="B956" t="s">
        <v>50</v>
      </c>
      <c r="C956" t="s">
        <v>85</v>
      </c>
      <c r="D956" t="s">
        <v>86</v>
      </c>
      <c r="E956" t="s">
        <v>87</v>
      </c>
      <c r="F956" t="s">
        <v>91</v>
      </c>
      <c r="G956" t="s">
        <v>35</v>
      </c>
      <c r="H956" t="s">
        <v>38</v>
      </c>
      <c r="I956">
        <v>80</v>
      </c>
    </row>
    <row r="957" spans="1:9" ht="14.5" x14ac:dyDescent="0.35">
      <c r="A957">
        <v>4</v>
      </c>
      <c r="B957" t="s">
        <v>50</v>
      </c>
      <c r="C957" t="s">
        <v>85</v>
      </c>
      <c r="D957" t="s">
        <v>92</v>
      </c>
      <c r="E957" t="s">
        <v>93</v>
      </c>
      <c r="F957" t="s">
        <v>95</v>
      </c>
      <c r="G957" t="s">
        <v>35</v>
      </c>
      <c r="H957" t="s">
        <v>38</v>
      </c>
      <c r="I957">
        <v>80</v>
      </c>
    </row>
    <row r="958" spans="1:9" ht="14.5" x14ac:dyDescent="0.35">
      <c r="A958">
        <v>4</v>
      </c>
      <c r="B958" t="s">
        <v>50</v>
      </c>
      <c r="C958" t="s">
        <v>85</v>
      </c>
      <c r="D958" t="s">
        <v>92</v>
      </c>
      <c r="E958" t="s">
        <v>93</v>
      </c>
      <c r="F958" t="s">
        <v>96</v>
      </c>
      <c r="G958" t="s">
        <v>52</v>
      </c>
      <c r="H958" t="s">
        <v>38</v>
      </c>
      <c r="I958">
        <v>80</v>
      </c>
    </row>
    <row r="959" spans="1:9" ht="14.5" x14ac:dyDescent="0.35">
      <c r="A959">
        <v>4</v>
      </c>
      <c r="B959" t="s">
        <v>50</v>
      </c>
      <c r="C959" t="s">
        <v>72</v>
      </c>
      <c r="D959" t="s">
        <v>79</v>
      </c>
      <c r="E959" t="s">
        <v>80</v>
      </c>
      <c r="F959" t="s">
        <v>81</v>
      </c>
      <c r="G959" t="s">
        <v>52</v>
      </c>
      <c r="H959" t="s">
        <v>38</v>
      </c>
      <c r="I959">
        <v>80</v>
      </c>
    </row>
    <row r="960" spans="1:9" ht="14.5" x14ac:dyDescent="0.35">
      <c r="A960">
        <v>4</v>
      </c>
      <c r="B960" t="s">
        <v>50</v>
      </c>
      <c r="C960" t="s">
        <v>72</v>
      </c>
      <c r="D960" t="s">
        <v>79</v>
      </c>
      <c r="E960" t="s">
        <v>80</v>
      </c>
      <c r="F960" t="s">
        <v>84</v>
      </c>
      <c r="G960" t="s">
        <v>35</v>
      </c>
      <c r="H960" t="s">
        <v>38</v>
      </c>
      <c r="I960">
        <v>80</v>
      </c>
    </row>
    <row r="961" spans="1:9" ht="14.5" x14ac:dyDescent="0.35">
      <c r="A961">
        <v>4</v>
      </c>
      <c r="B961" t="s">
        <v>51</v>
      </c>
      <c r="C961" t="s">
        <v>31</v>
      </c>
      <c r="D961" t="s">
        <v>32</v>
      </c>
      <c r="E961" t="s">
        <v>33</v>
      </c>
      <c r="F961" t="s">
        <v>37</v>
      </c>
      <c r="G961" t="s">
        <v>52</v>
      </c>
      <c r="H961" t="s">
        <v>38</v>
      </c>
      <c r="I961">
        <v>80</v>
      </c>
    </row>
    <row r="962" spans="1:9" ht="14.5" x14ac:dyDescent="0.35">
      <c r="A962">
        <v>4</v>
      </c>
      <c r="B962" t="s">
        <v>51</v>
      </c>
      <c r="C962" t="s">
        <v>72</v>
      </c>
      <c r="D962" t="s">
        <v>73</v>
      </c>
      <c r="E962" t="s">
        <v>74</v>
      </c>
      <c r="F962" t="s">
        <v>75</v>
      </c>
      <c r="G962" t="s">
        <v>52</v>
      </c>
      <c r="H962" t="s">
        <v>38</v>
      </c>
      <c r="I962">
        <v>80</v>
      </c>
    </row>
    <row r="963" spans="1:9" ht="14.5" x14ac:dyDescent="0.35">
      <c r="A963">
        <v>4</v>
      </c>
      <c r="B963" t="s">
        <v>51</v>
      </c>
      <c r="C963" t="s">
        <v>72</v>
      </c>
      <c r="D963" t="s">
        <v>73</v>
      </c>
      <c r="E963" t="s">
        <v>74</v>
      </c>
      <c r="F963" t="s">
        <v>77</v>
      </c>
      <c r="G963" t="s">
        <v>35</v>
      </c>
      <c r="H963" t="s">
        <v>38</v>
      </c>
      <c r="I963">
        <v>80</v>
      </c>
    </row>
    <row r="964" spans="1:9" ht="14.5" x14ac:dyDescent="0.35">
      <c r="A964">
        <v>4</v>
      </c>
      <c r="B964" t="s">
        <v>51</v>
      </c>
      <c r="C964" t="s">
        <v>72</v>
      </c>
      <c r="D964" t="s">
        <v>79</v>
      </c>
      <c r="E964" t="s">
        <v>80</v>
      </c>
      <c r="F964" t="s">
        <v>81</v>
      </c>
      <c r="G964" t="s">
        <v>52</v>
      </c>
      <c r="H964" t="s">
        <v>38</v>
      </c>
      <c r="I964">
        <v>80</v>
      </c>
    </row>
    <row r="965" spans="1:9" ht="14.5" x14ac:dyDescent="0.35">
      <c r="A965">
        <v>1</v>
      </c>
      <c r="B965" t="s">
        <v>30</v>
      </c>
      <c r="C965" t="s">
        <v>31</v>
      </c>
      <c r="D965" t="s">
        <v>53</v>
      </c>
      <c r="E965" t="s">
        <v>54</v>
      </c>
      <c r="F965" t="s">
        <v>57</v>
      </c>
      <c r="G965" t="s">
        <v>52</v>
      </c>
      <c r="H965" t="s">
        <v>38</v>
      </c>
      <c r="I965">
        <v>90</v>
      </c>
    </row>
    <row r="966" spans="1:9" ht="14.5" x14ac:dyDescent="0.35">
      <c r="A966">
        <v>1</v>
      </c>
      <c r="B966" t="s">
        <v>30</v>
      </c>
      <c r="C966" t="s">
        <v>59</v>
      </c>
      <c r="D966" t="s">
        <v>66</v>
      </c>
      <c r="E966" t="s">
        <v>67</v>
      </c>
      <c r="F966" t="s">
        <v>68</v>
      </c>
      <c r="G966" t="s">
        <v>52</v>
      </c>
      <c r="H966" t="s">
        <v>38</v>
      </c>
      <c r="I966">
        <v>90</v>
      </c>
    </row>
    <row r="967" spans="1:9" ht="14.5" x14ac:dyDescent="0.35">
      <c r="A967">
        <v>1</v>
      </c>
      <c r="B967" t="s">
        <v>30</v>
      </c>
      <c r="C967" t="s">
        <v>59</v>
      </c>
      <c r="D967" t="s">
        <v>66</v>
      </c>
      <c r="E967" t="s">
        <v>67</v>
      </c>
      <c r="F967" t="s">
        <v>70</v>
      </c>
      <c r="G967" t="s">
        <v>35</v>
      </c>
      <c r="H967" t="s">
        <v>38</v>
      </c>
      <c r="I967">
        <v>90</v>
      </c>
    </row>
    <row r="968" spans="1:9" ht="14.5" x14ac:dyDescent="0.35">
      <c r="A968">
        <v>1</v>
      </c>
      <c r="B968" t="s">
        <v>30</v>
      </c>
      <c r="C968" t="s">
        <v>72</v>
      </c>
      <c r="D968" t="s">
        <v>79</v>
      </c>
      <c r="E968" t="s">
        <v>80</v>
      </c>
      <c r="F968" t="s">
        <v>81</v>
      </c>
      <c r="G968" t="s">
        <v>52</v>
      </c>
      <c r="H968" t="s">
        <v>38</v>
      </c>
      <c r="I968">
        <v>90</v>
      </c>
    </row>
    <row r="969" spans="1:9" ht="14.5" x14ac:dyDescent="0.35">
      <c r="A969">
        <v>1</v>
      </c>
      <c r="B969" t="s">
        <v>41</v>
      </c>
      <c r="C969" t="s">
        <v>31</v>
      </c>
      <c r="D969" t="s">
        <v>32</v>
      </c>
      <c r="E969" t="s">
        <v>33</v>
      </c>
      <c r="F969" t="s">
        <v>39</v>
      </c>
      <c r="G969" t="s">
        <v>52</v>
      </c>
      <c r="H969" t="s">
        <v>38</v>
      </c>
      <c r="I969">
        <v>90</v>
      </c>
    </row>
    <row r="970" spans="1:9" ht="14.5" x14ac:dyDescent="0.35">
      <c r="A970">
        <v>1</v>
      </c>
      <c r="B970" t="s">
        <v>41</v>
      </c>
      <c r="C970" t="s">
        <v>31</v>
      </c>
      <c r="D970" t="s">
        <v>32</v>
      </c>
      <c r="E970" t="s">
        <v>33</v>
      </c>
      <c r="F970" t="s">
        <v>34</v>
      </c>
      <c r="G970" t="s">
        <v>35</v>
      </c>
      <c r="H970" t="s">
        <v>38</v>
      </c>
      <c r="I970">
        <v>90</v>
      </c>
    </row>
    <row r="971" spans="1:9" ht="14.5" x14ac:dyDescent="0.35">
      <c r="A971">
        <v>1</v>
      </c>
      <c r="B971" t="s">
        <v>41</v>
      </c>
      <c r="C971" t="s">
        <v>31</v>
      </c>
      <c r="D971" t="s">
        <v>53</v>
      </c>
      <c r="E971" t="s">
        <v>54</v>
      </c>
      <c r="F971" t="s">
        <v>57</v>
      </c>
      <c r="G971" t="s">
        <v>35</v>
      </c>
      <c r="H971" t="s">
        <v>38</v>
      </c>
      <c r="I971">
        <v>90</v>
      </c>
    </row>
    <row r="972" spans="1:9" ht="14.5" x14ac:dyDescent="0.35">
      <c r="A972">
        <v>1</v>
      </c>
      <c r="B972" t="s">
        <v>41</v>
      </c>
      <c r="C972" t="s">
        <v>59</v>
      </c>
      <c r="D972" t="s">
        <v>60</v>
      </c>
      <c r="E972" t="s">
        <v>61</v>
      </c>
      <c r="F972" t="s">
        <v>64</v>
      </c>
      <c r="G972" t="s">
        <v>35</v>
      </c>
      <c r="H972" t="s">
        <v>38</v>
      </c>
      <c r="I972">
        <v>90</v>
      </c>
    </row>
    <row r="973" spans="1:9" ht="14.5" x14ac:dyDescent="0.35">
      <c r="A973">
        <v>1</v>
      </c>
      <c r="B973" t="s">
        <v>41</v>
      </c>
      <c r="C973" t="s">
        <v>72</v>
      </c>
      <c r="D973" t="s">
        <v>79</v>
      </c>
      <c r="E973" t="s">
        <v>80</v>
      </c>
      <c r="F973" t="s">
        <v>83</v>
      </c>
      <c r="G973" t="s">
        <v>35</v>
      </c>
      <c r="H973" t="s">
        <v>38</v>
      </c>
      <c r="I973">
        <v>90</v>
      </c>
    </row>
    <row r="974" spans="1:9" ht="14.5" x14ac:dyDescent="0.35">
      <c r="A974">
        <v>2</v>
      </c>
      <c r="B974" t="s">
        <v>43</v>
      </c>
      <c r="C974" t="s">
        <v>85</v>
      </c>
      <c r="D974" t="s">
        <v>86</v>
      </c>
      <c r="E974" t="s">
        <v>87</v>
      </c>
      <c r="F974" t="s">
        <v>90</v>
      </c>
      <c r="G974" t="s">
        <v>35</v>
      </c>
      <c r="H974" t="s">
        <v>38</v>
      </c>
      <c r="I974">
        <v>90</v>
      </c>
    </row>
    <row r="975" spans="1:9" ht="14.5" x14ac:dyDescent="0.35">
      <c r="A975">
        <v>2</v>
      </c>
      <c r="B975" t="s">
        <v>43</v>
      </c>
      <c r="C975" t="s">
        <v>85</v>
      </c>
      <c r="D975" t="s">
        <v>92</v>
      </c>
      <c r="E975" t="s">
        <v>93</v>
      </c>
      <c r="F975" t="s">
        <v>95</v>
      </c>
      <c r="G975" t="s">
        <v>35</v>
      </c>
      <c r="H975" t="s">
        <v>38</v>
      </c>
      <c r="I975">
        <v>90</v>
      </c>
    </row>
    <row r="976" spans="1:9" ht="14.5" x14ac:dyDescent="0.35">
      <c r="A976">
        <v>2</v>
      </c>
      <c r="B976" t="s">
        <v>43</v>
      </c>
      <c r="C976" t="s">
        <v>85</v>
      </c>
      <c r="D976" t="s">
        <v>92</v>
      </c>
      <c r="E976" t="s">
        <v>93</v>
      </c>
      <c r="F976" t="s">
        <v>96</v>
      </c>
      <c r="G976" t="s">
        <v>35</v>
      </c>
      <c r="H976" t="s">
        <v>38</v>
      </c>
      <c r="I976">
        <v>90</v>
      </c>
    </row>
    <row r="977" spans="1:9" ht="14.5" x14ac:dyDescent="0.35">
      <c r="A977">
        <v>2</v>
      </c>
      <c r="B977" t="s">
        <v>43</v>
      </c>
      <c r="C977" t="s">
        <v>72</v>
      </c>
      <c r="D977" t="s">
        <v>73</v>
      </c>
      <c r="E977" t="s">
        <v>74</v>
      </c>
      <c r="F977" t="s">
        <v>75</v>
      </c>
      <c r="G977" t="s">
        <v>52</v>
      </c>
      <c r="H977" t="s">
        <v>38</v>
      </c>
      <c r="I977">
        <v>90</v>
      </c>
    </row>
    <row r="978" spans="1:9" ht="14.5" x14ac:dyDescent="0.35">
      <c r="A978">
        <v>2</v>
      </c>
      <c r="B978" t="s">
        <v>43</v>
      </c>
      <c r="C978" t="s">
        <v>72</v>
      </c>
      <c r="D978" t="s">
        <v>73</v>
      </c>
      <c r="E978" t="s">
        <v>74</v>
      </c>
      <c r="F978" t="s">
        <v>78</v>
      </c>
      <c r="G978" t="s">
        <v>52</v>
      </c>
      <c r="H978" t="s">
        <v>38</v>
      </c>
      <c r="I978">
        <v>90</v>
      </c>
    </row>
    <row r="979" spans="1:9" ht="14.5" x14ac:dyDescent="0.35">
      <c r="A979">
        <v>2</v>
      </c>
      <c r="B979" t="s">
        <v>43</v>
      </c>
      <c r="C979" t="s">
        <v>72</v>
      </c>
      <c r="D979" t="s">
        <v>79</v>
      </c>
      <c r="E979" t="s">
        <v>80</v>
      </c>
      <c r="F979" t="s">
        <v>83</v>
      </c>
      <c r="G979" t="s">
        <v>52</v>
      </c>
      <c r="H979" t="s">
        <v>38</v>
      </c>
      <c r="I979">
        <v>90</v>
      </c>
    </row>
    <row r="980" spans="1:9" ht="14.5" x14ac:dyDescent="0.35">
      <c r="A980">
        <v>2</v>
      </c>
      <c r="B980" t="s">
        <v>44</v>
      </c>
      <c r="C980" t="s">
        <v>31</v>
      </c>
      <c r="D980" t="s">
        <v>32</v>
      </c>
      <c r="E980" t="s">
        <v>33</v>
      </c>
      <c r="F980" t="s">
        <v>40</v>
      </c>
      <c r="G980" t="s">
        <v>52</v>
      </c>
      <c r="H980" t="s">
        <v>38</v>
      </c>
      <c r="I980">
        <v>90</v>
      </c>
    </row>
    <row r="981" spans="1:9" ht="14.5" x14ac:dyDescent="0.35">
      <c r="A981">
        <v>2</v>
      </c>
      <c r="B981" t="s">
        <v>44</v>
      </c>
      <c r="C981" t="s">
        <v>31</v>
      </c>
      <c r="D981" t="s">
        <v>32</v>
      </c>
      <c r="E981" t="s">
        <v>33</v>
      </c>
      <c r="F981" t="s">
        <v>34</v>
      </c>
      <c r="G981" t="s">
        <v>52</v>
      </c>
      <c r="H981" t="s">
        <v>38</v>
      </c>
      <c r="I981">
        <v>90</v>
      </c>
    </row>
    <row r="982" spans="1:9" ht="14.5" x14ac:dyDescent="0.35">
      <c r="A982">
        <v>2</v>
      </c>
      <c r="B982" t="s">
        <v>44</v>
      </c>
      <c r="C982" t="s">
        <v>59</v>
      </c>
      <c r="D982" t="s">
        <v>60</v>
      </c>
      <c r="E982" t="s">
        <v>61</v>
      </c>
      <c r="F982" t="s">
        <v>63</v>
      </c>
      <c r="G982" t="s">
        <v>52</v>
      </c>
      <c r="H982" t="s">
        <v>38</v>
      </c>
      <c r="I982">
        <v>90</v>
      </c>
    </row>
    <row r="983" spans="1:9" ht="14.5" x14ac:dyDescent="0.35">
      <c r="A983">
        <v>2</v>
      </c>
      <c r="B983" t="s">
        <v>44</v>
      </c>
      <c r="C983" t="s">
        <v>59</v>
      </c>
      <c r="D983" t="s">
        <v>66</v>
      </c>
      <c r="E983" t="s">
        <v>67</v>
      </c>
      <c r="F983" t="s">
        <v>68</v>
      </c>
      <c r="G983" t="s">
        <v>52</v>
      </c>
      <c r="H983" t="s">
        <v>38</v>
      </c>
      <c r="I983">
        <v>90</v>
      </c>
    </row>
    <row r="984" spans="1:9" ht="14.5" x14ac:dyDescent="0.35">
      <c r="A984">
        <v>2</v>
      </c>
      <c r="B984" t="s">
        <v>45</v>
      </c>
      <c r="C984" t="s">
        <v>85</v>
      </c>
      <c r="D984" t="s">
        <v>86</v>
      </c>
      <c r="E984" t="s">
        <v>87</v>
      </c>
      <c r="F984" t="s">
        <v>91</v>
      </c>
      <c r="G984" t="s">
        <v>35</v>
      </c>
      <c r="H984" t="s">
        <v>38</v>
      </c>
      <c r="I984">
        <v>90</v>
      </c>
    </row>
    <row r="985" spans="1:9" ht="14.5" x14ac:dyDescent="0.35">
      <c r="A985">
        <v>2</v>
      </c>
      <c r="B985" t="s">
        <v>45</v>
      </c>
      <c r="C985" t="s">
        <v>85</v>
      </c>
      <c r="D985" t="s">
        <v>92</v>
      </c>
      <c r="E985" t="s">
        <v>93</v>
      </c>
      <c r="F985" t="s">
        <v>95</v>
      </c>
      <c r="G985" t="s">
        <v>35</v>
      </c>
      <c r="H985" t="s">
        <v>38</v>
      </c>
      <c r="I985">
        <v>90</v>
      </c>
    </row>
    <row r="986" spans="1:9" ht="14.5" x14ac:dyDescent="0.35">
      <c r="A986">
        <v>2</v>
      </c>
      <c r="B986" t="s">
        <v>45</v>
      </c>
      <c r="C986" t="s">
        <v>59</v>
      </c>
      <c r="D986" t="s">
        <v>66</v>
      </c>
      <c r="E986" t="s">
        <v>67</v>
      </c>
      <c r="F986" t="s">
        <v>68</v>
      </c>
      <c r="G986" t="s">
        <v>35</v>
      </c>
      <c r="H986" t="s">
        <v>38</v>
      </c>
      <c r="I986">
        <v>90</v>
      </c>
    </row>
    <row r="987" spans="1:9" ht="14.5" x14ac:dyDescent="0.35">
      <c r="A987">
        <v>2</v>
      </c>
      <c r="B987" t="s">
        <v>45</v>
      </c>
      <c r="C987" t="s">
        <v>72</v>
      </c>
      <c r="D987" t="s">
        <v>73</v>
      </c>
      <c r="E987" t="s">
        <v>74</v>
      </c>
      <c r="F987" t="s">
        <v>76</v>
      </c>
      <c r="G987" t="s">
        <v>35</v>
      </c>
      <c r="H987" t="s">
        <v>38</v>
      </c>
      <c r="I987">
        <v>90</v>
      </c>
    </row>
    <row r="988" spans="1:9" ht="14.5" x14ac:dyDescent="0.35">
      <c r="A988">
        <v>2</v>
      </c>
      <c r="B988" t="s">
        <v>45</v>
      </c>
      <c r="C988" t="s">
        <v>72</v>
      </c>
      <c r="D988" t="s">
        <v>73</v>
      </c>
      <c r="E988" t="s">
        <v>74</v>
      </c>
      <c r="F988" t="s">
        <v>78</v>
      </c>
      <c r="G988" t="s">
        <v>35</v>
      </c>
      <c r="H988" t="s">
        <v>38</v>
      </c>
      <c r="I988">
        <v>90</v>
      </c>
    </row>
    <row r="989" spans="1:9" ht="14.5" x14ac:dyDescent="0.35">
      <c r="A989">
        <v>2</v>
      </c>
      <c r="B989" t="s">
        <v>45</v>
      </c>
      <c r="C989" t="s">
        <v>72</v>
      </c>
      <c r="D989" t="s">
        <v>79</v>
      </c>
      <c r="E989" t="s">
        <v>80</v>
      </c>
      <c r="F989" t="s">
        <v>82</v>
      </c>
      <c r="G989" t="s">
        <v>35</v>
      </c>
      <c r="H989" t="s">
        <v>38</v>
      </c>
      <c r="I989">
        <v>90</v>
      </c>
    </row>
    <row r="990" spans="1:9" ht="14.5" x14ac:dyDescent="0.35">
      <c r="A990">
        <v>2</v>
      </c>
      <c r="B990" t="s">
        <v>45</v>
      </c>
      <c r="C990" t="s">
        <v>72</v>
      </c>
      <c r="D990" t="s">
        <v>79</v>
      </c>
      <c r="E990" t="s">
        <v>80</v>
      </c>
      <c r="F990" t="s">
        <v>82</v>
      </c>
      <c r="G990" t="s">
        <v>52</v>
      </c>
      <c r="H990" t="s">
        <v>38</v>
      </c>
      <c r="I990">
        <v>90</v>
      </c>
    </row>
    <row r="991" spans="1:9" ht="14.5" x14ac:dyDescent="0.35">
      <c r="A991">
        <v>3</v>
      </c>
      <c r="B991" t="s">
        <v>46</v>
      </c>
      <c r="C991" t="s">
        <v>31</v>
      </c>
      <c r="D991" t="s">
        <v>32</v>
      </c>
      <c r="E991" t="s">
        <v>33</v>
      </c>
      <c r="F991" t="s">
        <v>40</v>
      </c>
      <c r="G991" t="s">
        <v>35</v>
      </c>
      <c r="H991" t="s">
        <v>38</v>
      </c>
      <c r="I991">
        <v>90</v>
      </c>
    </row>
    <row r="992" spans="1:9" ht="14.5" x14ac:dyDescent="0.35">
      <c r="A992">
        <v>3</v>
      </c>
      <c r="B992" t="s">
        <v>46</v>
      </c>
      <c r="C992" t="s">
        <v>85</v>
      </c>
      <c r="D992" t="s">
        <v>86</v>
      </c>
      <c r="E992" t="s">
        <v>87</v>
      </c>
      <c r="F992" t="s">
        <v>89</v>
      </c>
      <c r="G992" t="s">
        <v>52</v>
      </c>
      <c r="H992" t="s">
        <v>38</v>
      </c>
      <c r="I992">
        <v>90</v>
      </c>
    </row>
    <row r="993" spans="1:9" ht="14.5" x14ac:dyDescent="0.35">
      <c r="A993">
        <v>3</v>
      </c>
      <c r="B993" t="s">
        <v>47</v>
      </c>
      <c r="C993" t="s">
        <v>85</v>
      </c>
      <c r="D993" t="s">
        <v>86</v>
      </c>
      <c r="E993" t="s">
        <v>87</v>
      </c>
      <c r="F993" t="s">
        <v>90</v>
      </c>
      <c r="G993" t="s">
        <v>35</v>
      </c>
      <c r="H993" t="s">
        <v>38</v>
      </c>
      <c r="I993">
        <v>90</v>
      </c>
    </row>
    <row r="994" spans="1:9" ht="14.5" x14ac:dyDescent="0.35">
      <c r="A994">
        <v>3</v>
      </c>
      <c r="B994" t="s">
        <v>47</v>
      </c>
      <c r="C994" t="s">
        <v>85</v>
      </c>
      <c r="D994" t="s">
        <v>86</v>
      </c>
      <c r="E994" t="s">
        <v>87</v>
      </c>
      <c r="F994" t="s">
        <v>90</v>
      </c>
      <c r="G994" t="s">
        <v>52</v>
      </c>
      <c r="H994" t="s">
        <v>38</v>
      </c>
      <c r="I994">
        <v>90</v>
      </c>
    </row>
    <row r="995" spans="1:9" ht="14.5" x14ac:dyDescent="0.35">
      <c r="A995">
        <v>3</v>
      </c>
      <c r="B995" t="s">
        <v>47</v>
      </c>
      <c r="C995" t="s">
        <v>85</v>
      </c>
      <c r="D995" t="s">
        <v>86</v>
      </c>
      <c r="E995" t="s">
        <v>87</v>
      </c>
      <c r="F995" t="s">
        <v>91</v>
      </c>
      <c r="G995" t="s">
        <v>35</v>
      </c>
      <c r="H995" t="s">
        <v>38</v>
      </c>
      <c r="I995">
        <v>90</v>
      </c>
    </row>
    <row r="996" spans="1:9" ht="14.5" x14ac:dyDescent="0.35">
      <c r="A996">
        <v>3</v>
      </c>
      <c r="B996" t="s">
        <v>47</v>
      </c>
      <c r="C996" t="s">
        <v>85</v>
      </c>
      <c r="D996" t="s">
        <v>86</v>
      </c>
      <c r="E996" t="s">
        <v>87</v>
      </c>
      <c r="F996" t="s">
        <v>91</v>
      </c>
      <c r="G996" t="s">
        <v>52</v>
      </c>
      <c r="H996" t="s">
        <v>38</v>
      </c>
      <c r="I996">
        <v>90</v>
      </c>
    </row>
    <row r="997" spans="1:9" ht="14.5" x14ac:dyDescent="0.35">
      <c r="A997">
        <v>3</v>
      </c>
      <c r="B997" t="s">
        <v>47</v>
      </c>
      <c r="C997" t="s">
        <v>59</v>
      </c>
      <c r="D997" t="s">
        <v>60</v>
      </c>
      <c r="E997" t="s">
        <v>61</v>
      </c>
      <c r="F997" t="s">
        <v>62</v>
      </c>
      <c r="G997" t="s">
        <v>35</v>
      </c>
      <c r="H997" t="s">
        <v>38</v>
      </c>
      <c r="I997">
        <v>90</v>
      </c>
    </row>
    <row r="998" spans="1:9" ht="14.5" x14ac:dyDescent="0.35">
      <c r="A998">
        <v>3</v>
      </c>
      <c r="B998" t="s">
        <v>47</v>
      </c>
      <c r="C998" t="s">
        <v>72</v>
      </c>
      <c r="D998" t="s">
        <v>73</v>
      </c>
      <c r="E998" t="s">
        <v>74</v>
      </c>
      <c r="F998" t="s">
        <v>75</v>
      </c>
      <c r="G998" t="s">
        <v>35</v>
      </c>
      <c r="H998" t="s">
        <v>38</v>
      </c>
      <c r="I998">
        <v>90</v>
      </c>
    </row>
    <row r="999" spans="1:9" ht="14.5" x14ac:dyDescent="0.35">
      <c r="A999">
        <v>3</v>
      </c>
      <c r="B999" t="s">
        <v>47</v>
      </c>
      <c r="C999" t="s">
        <v>72</v>
      </c>
      <c r="D999" t="s">
        <v>79</v>
      </c>
      <c r="E999" t="s">
        <v>80</v>
      </c>
      <c r="F999" t="s">
        <v>82</v>
      </c>
      <c r="G999" t="s">
        <v>35</v>
      </c>
      <c r="H999" t="s">
        <v>38</v>
      </c>
      <c r="I999">
        <v>90</v>
      </c>
    </row>
    <row r="1000" spans="1:9" ht="14.5" x14ac:dyDescent="0.35">
      <c r="A1000">
        <v>3</v>
      </c>
      <c r="B1000" t="s">
        <v>48</v>
      </c>
      <c r="C1000" t="s">
        <v>85</v>
      </c>
      <c r="D1000" t="s">
        <v>86</v>
      </c>
      <c r="E1000" t="s">
        <v>87</v>
      </c>
      <c r="F1000" t="s">
        <v>90</v>
      </c>
      <c r="G1000" t="s">
        <v>52</v>
      </c>
      <c r="H1000" t="s">
        <v>38</v>
      </c>
      <c r="I1000">
        <v>90</v>
      </c>
    </row>
    <row r="1001" spans="1:9" ht="14.5" x14ac:dyDescent="0.35">
      <c r="A1001">
        <v>3</v>
      </c>
      <c r="B1001" t="s">
        <v>48</v>
      </c>
      <c r="C1001" t="s">
        <v>85</v>
      </c>
      <c r="D1001" t="s">
        <v>86</v>
      </c>
      <c r="E1001" t="s">
        <v>87</v>
      </c>
      <c r="F1001" t="s">
        <v>91</v>
      </c>
      <c r="G1001" t="s">
        <v>52</v>
      </c>
      <c r="H1001" t="s">
        <v>38</v>
      </c>
      <c r="I1001">
        <v>90</v>
      </c>
    </row>
    <row r="1002" spans="1:9" ht="14.5" x14ac:dyDescent="0.35">
      <c r="A1002">
        <v>3</v>
      </c>
      <c r="B1002" t="s">
        <v>48</v>
      </c>
      <c r="C1002" t="s">
        <v>59</v>
      </c>
      <c r="D1002" t="s">
        <v>60</v>
      </c>
      <c r="E1002" t="s">
        <v>61</v>
      </c>
      <c r="F1002" t="s">
        <v>62</v>
      </c>
      <c r="G1002" t="s">
        <v>35</v>
      </c>
      <c r="H1002" t="s">
        <v>38</v>
      </c>
      <c r="I1002">
        <v>90</v>
      </c>
    </row>
    <row r="1003" spans="1:9" ht="14.5" x14ac:dyDescent="0.35">
      <c r="A1003">
        <v>4</v>
      </c>
      <c r="B1003" t="s">
        <v>49</v>
      </c>
      <c r="C1003" t="s">
        <v>31</v>
      </c>
      <c r="D1003" t="s">
        <v>32</v>
      </c>
      <c r="E1003" t="s">
        <v>33</v>
      </c>
      <c r="F1003" t="s">
        <v>40</v>
      </c>
      <c r="G1003" t="s">
        <v>52</v>
      </c>
      <c r="H1003" t="s">
        <v>38</v>
      </c>
      <c r="I1003">
        <v>90</v>
      </c>
    </row>
    <row r="1004" spans="1:9" ht="14.5" x14ac:dyDescent="0.35">
      <c r="A1004">
        <v>4</v>
      </c>
      <c r="B1004" t="s">
        <v>49</v>
      </c>
      <c r="C1004" t="s">
        <v>31</v>
      </c>
      <c r="D1004" t="s">
        <v>32</v>
      </c>
      <c r="E1004" t="s">
        <v>33</v>
      </c>
      <c r="F1004" t="s">
        <v>39</v>
      </c>
      <c r="G1004" t="s">
        <v>52</v>
      </c>
      <c r="H1004" t="s">
        <v>38</v>
      </c>
      <c r="I1004">
        <v>90</v>
      </c>
    </row>
    <row r="1005" spans="1:9" ht="14.5" x14ac:dyDescent="0.35">
      <c r="A1005">
        <v>4</v>
      </c>
      <c r="B1005" t="s">
        <v>49</v>
      </c>
      <c r="C1005" t="s">
        <v>31</v>
      </c>
      <c r="D1005" t="s">
        <v>53</v>
      </c>
      <c r="E1005" t="s">
        <v>54</v>
      </c>
      <c r="F1005" t="s">
        <v>55</v>
      </c>
      <c r="G1005" t="s">
        <v>35</v>
      </c>
      <c r="H1005" t="s">
        <v>38</v>
      </c>
      <c r="I1005">
        <v>90</v>
      </c>
    </row>
    <row r="1006" spans="1:9" ht="14.5" x14ac:dyDescent="0.35">
      <c r="A1006">
        <v>4</v>
      </c>
      <c r="B1006" t="s">
        <v>49</v>
      </c>
      <c r="C1006" t="s">
        <v>85</v>
      </c>
      <c r="D1006" t="s">
        <v>86</v>
      </c>
      <c r="E1006" t="s">
        <v>87</v>
      </c>
      <c r="F1006" t="s">
        <v>90</v>
      </c>
      <c r="G1006" t="s">
        <v>52</v>
      </c>
      <c r="H1006" t="s">
        <v>38</v>
      </c>
      <c r="I1006">
        <v>90</v>
      </c>
    </row>
    <row r="1007" spans="1:9" ht="14.5" x14ac:dyDescent="0.35">
      <c r="A1007">
        <v>4</v>
      </c>
      <c r="B1007" t="s">
        <v>49</v>
      </c>
      <c r="C1007" t="s">
        <v>59</v>
      </c>
      <c r="D1007" t="s">
        <v>66</v>
      </c>
      <c r="E1007" t="s">
        <v>67</v>
      </c>
      <c r="F1007" t="s">
        <v>69</v>
      </c>
      <c r="G1007" t="s">
        <v>52</v>
      </c>
      <c r="H1007" t="s">
        <v>38</v>
      </c>
      <c r="I1007">
        <v>90</v>
      </c>
    </row>
    <row r="1008" spans="1:9" ht="14.5" x14ac:dyDescent="0.35">
      <c r="A1008">
        <v>4</v>
      </c>
      <c r="B1008" t="s">
        <v>50</v>
      </c>
      <c r="C1008" t="s">
        <v>85</v>
      </c>
      <c r="D1008" t="s">
        <v>86</v>
      </c>
      <c r="E1008" t="s">
        <v>87</v>
      </c>
      <c r="F1008" t="s">
        <v>90</v>
      </c>
      <c r="G1008" t="s">
        <v>35</v>
      </c>
      <c r="H1008" t="s">
        <v>38</v>
      </c>
      <c r="I1008">
        <v>90</v>
      </c>
    </row>
    <row r="1009" spans="1:9" ht="14.5" x14ac:dyDescent="0.35">
      <c r="A1009">
        <v>4</v>
      </c>
      <c r="B1009" t="s">
        <v>50</v>
      </c>
      <c r="C1009" t="s">
        <v>72</v>
      </c>
      <c r="D1009" t="s">
        <v>73</v>
      </c>
      <c r="E1009" t="s">
        <v>74</v>
      </c>
      <c r="F1009" t="s">
        <v>77</v>
      </c>
      <c r="G1009" t="s">
        <v>35</v>
      </c>
      <c r="H1009" t="s">
        <v>38</v>
      </c>
      <c r="I1009">
        <v>90</v>
      </c>
    </row>
    <row r="1010" spans="1:9" ht="14.5" x14ac:dyDescent="0.35">
      <c r="A1010">
        <v>4</v>
      </c>
      <c r="B1010" t="s">
        <v>51</v>
      </c>
      <c r="C1010" t="s">
        <v>31</v>
      </c>
      <c r="D1010" t="s">
        <v>32</v>
      </c>
      <c r="E1010" t="s">
        <v>33</v>
      </c>
      <c r="F1010" t="s">
        <v>37</v>
      </c>
      <c r="G1010" t="s">
        <v>35</v>
      </c>
      <c r="H1010" t="s">
        <v>38</v>
      </c>
      <c r="I1010">
        <v>90</v>
      </c>
    </row>
    <row r="1011" spans="1:9" ht="14.5" x14ac:dyDescent="0.35">
      <c r="A1011">
        <v>4</v>
      </c>
      <c r="B1011" t="s">
        <v>51</v>
      </c>
      <c r="C1011" t="s">
        <v>31</v>
      </c>
      <c r="D1011" t="s">
        <v>53</v>
      </c>
      <c r="E1011" t="s">
        <v>54</v>
      </c>
      <c r="F1011" t="s">
        <v>55</v>
      </c>
      <c r="G1011" t="s">
        <v>35</v>
      </c>
      <c r="H1011" t="s">
        <v>38</v>
      </c>
      <c r="I1011">
        <v>90</v>
      </c>
    </row>
    <row r="1012" spans="1:9" ht="14.5" x14ac:dyDescent="0.35">
      <c r="A1012">
        <v>4</v>
      </c>
      <c r="B1012" t="s">
        <v>51</v>
      </c>
      <c r="C1012" t="s">
        <v>59</v>
      </c>
      <c r="D1012" t="s">
        <v>60</v>
      </c>
      <c r="E1012" t="s">
        <v>61</v>
      </c>
      <c r="F1012" t="s">
        <v>64</v>
      </c>
      <c r="G1012" t="s">
        <v>52</v>
      </c>
      <c r="H1012" t="s">
        <v>38</v>
      </c>
      <c r="I1012">
        <v>90</v>
      </c>
    </row>
    <row r="1013" spans="1:9" ht="14.5" x14ac:dyDescent="0.35">
      <c r="A1013">
        <v>4</v>
      </c>
      <c r="B1013" t="s">
        <v>51</v>
      </c>
      <c r="C1013" t="s">
        <v>72</v>
      </c>
      <c r="D1013" t="s">
        <v>79</v>
      </c>
      <c r="E1013" t="s">
        <v>80</v>
      </c>
      <c r="F1013" t="s">
        <v>82</v>
      </c>
      <c r="G1013" t="s">
        <v>52</v>
      </c>
      <c r="H1013" t="s">
        <v>38</v>
      </c>
      <c r="I1013">
        <v>90</v>
      </c>
    </row>
    <row r="1014" spans="1:9" ht="14.5" x14ac:dyDescent="0.35">
      <c r="A1014">
        <v>1</v>
      </c>
      <c r="B1014" t="s">
        <v>30</v>
      </c>
      <c r="C1014" t="s">
        <v>31</v>
      </c>
      <c r="D1014" t="s">
        <v>53</v>
      </c>
      <c r="E1014" t="s">
        <v>54</v>
      </c>
      <c r="F1014" t="s">
        <v>55</v>
      </c>
      <c r="G1014" t="s">
        <v>52</v>
      </c>
      <c r="H1014" t="s">
        <v>38</v>
      </c>
      <c r="I1014">
        <v>100</v>
      </c>
    </row>
    <row r="1015" spans="1:9" ht="14.5" x14ac:dyDescent="0.35">
      <c r="A1015">
        <v>1</v>
      </c>
      <c r="B1015" t="s">
        <v>30</v>
      </c>
      <c r="C1015" t="s">
        <v>85</v>
      </c>
      <c r="D1015" t="s">
        <v>92</v>
      </c>
      <c r="E1015" t="s">
        <v>93</v>
      </c>
      <c r="F1015" t="s">
        <v>96</v>
      </c>
      <c r="G1015" t="s">
        <v>35</v>
      </c>
      <c r="H1015" t="s">
        <v>38</v>
      </c>
      <c r="I1015">
        <v>100</v>
      </c>
    </row>
    <row r="1016" spans="1:9" ht="14.5" x14ac:dyDescent="0.35">
      <c r="A1016">
        <v>1</v>
      </c>
      <c r="B1016" t="s">
        <v>30</v>
      </c>
      <c r="C1016" t="s">
        <v>85</v>
      </c>
      <c r="D1016" t="s">
        <v>92</v>
      </c>
      <c r="E1016" t="s">
        <v>93</v>
      </c>
      <c r="F1016" t="s">
        <v>97</v>
      </c>
      <c r="G1016" t="s">
        <v>35</v>
      </c>
      <c r="H1016" t="s">
        <v>38</v>
      </c>
      <c r="I1016">
        <v>100</v>
      </c>
    </row>
    <row r="1017" spans="1:9" ht="14.5" x14ac:dyDescent="0.35">
      <c r="A1017">
        <v>1</v>
      </c>
      <c r="B1017" t="s">
        <v>41</v>
      </c>
      <c r="C1017" t="s">
        <v>31</v>
      </c>
      <c r="D1017" t="s">
        <v>32</v>
      </c>
      <c r="E1017" t="s">
        <v>33</v>
      </c>
      <c r="F1017" t="s">
        <v>39</v>
      </c>
      <c r="G1017" t="s">
        <v>35</v>
      </c>
      <c r="H1017" t="s">
        <v>38</v>
      </c>
      <c r="I1017">
        <v>100</v>
      </c>
    </row>
    <row r="1018" spans="1:9" ht="14.5" x14ac:dyDescent="0.35">
      <c r="A1018">
        <v>1</v>
      </c>
      <c r="B1018" t="s">
        <v>41</v>
      </c>
      <c r="C1018" t="s">
        <v>85</v>
      </c>
      <c r="D1018" t="s">
        <v>92</v>
      </c>
      <c r="E1018" t="s">
        <v>93</v>
      </c>
      <c r="F1018" t="s">
        <v>94</v>
      </c>
      <c r="G1018" t="s">
        <v>35</v>
      </c>
      <c r="H1018" t="s">
        <v>38</v>
      </c>
      <c r="I1018">
        <v>100</v>
      </c>
    </row>
    <row r="1019" spans="1:9" ht="14.5" x14ac:dyDescent="0.35">
      <c r="A1019">
        <v>1</v>
      </c>
      <c r="B1019" t="s">
        <v>42</v>
      </c>
      <c r="C1019" t="s">
        <v>31</v>
      </c>
      <c r="D1019" t="s">
        <v>32</v>
      </c>
      <c r="E1019" t="s">
        <v>33</v>
      </c>
      <c r="F1019" t="s">
        <v>37</v>
      </c>
      <c r="G1019" t="s">
        <v>35</v>
      </c>
      <c r="H1019" t="s">
        <v>38</v>
      </c>
      <c r="I1019">
        <v>100</v>
      </c>
    </row>
    <row r="1020" spans="1:9" ht="14.5" x14ac:dyDescent="0.35">
      <c r="A1020">
        <v>1</v>
      </c>
      <c r="B1020" t="s">
        <v>42</v>
      </c>
      <c r="C1020" t="s">
        <v>31</v>
      </c>
      <c r="D1020" t="s">
        <v>53</v>
      </c>
      <c r="E1020" t="s">
        <v>54</v>
      </c>
      <c r="F1020" t="s">
        <v>57</v>
      </c>
      <c r="G1020" t="s">
        <v>52</v>
      </c>
      <c r="H1020" t="s">
        <v>38</v>
      </c>
      <c r="I1020">
        <v>100</v>
      </c>
    </row>
    <row r="1021" spans="1:9" ht="14.5" x14ac:dyDescent="0.35">
      <c r="A1021">
        <v>1</v>
      </c>
      <c r="B1021" t="s">
        <v>42</v>
      </c>
      <c r="C1021" t="s">
        <v>59</v>
      </c>
      <c r="D1021" t="s">
        <v>60</v>
      </c>
      <c r="E1021" t="s">
        <v>61</v>
      </c>
      <c r="F1021" t="s">
        <v>64</v>
      </c>
      <c r="G1021" t="s">
        <v>52</v>
      </c>
      <c r="H1021" t="s">
        <v>38</v>
      </c>
      <c r="I1021">
        <v>100</v>
      </c>
    </row>
    <row r="1022" spans="1:9" ht="14.5" x14ac:dyDescent="0.35">
      <c r="A1022">
        <v>2</v>
      </c>
      <c r="B1022" t="s">
        <v>43</v>
      </c>
      <c r="C1022" t="s">
        <v>31</v>
      </c>
      <c r="D1022" t="s">
        <v>53</v>
      </c>
      <c r="E1022" t="s">
        <v>54</v>
      </c>
      <c r="F1022" t="s">
        <v>58</v>
      </c>
      <c r="G1022" t="s">
        <v>52</v>
      </c>
      <c r="H1022" t="s">
        <v>38</v>
      </c>
      <c r="I1022">
        <v>100</v>
      </c>
    </row>
    <row r="1023" spans="1:9" ht="14.5" x14ac:dyDescent="0.35">
      <c r="A1023">
        <v>2</v>
      </c>
      <c r="B1023" t="s">
        <v>43</v>
      </c>
      <c r="C1023" t="s">
        <v>85</v>
      </c>
      <c r="D1023" t="s">
        <v>86</v>
      </c>
      <c r="E1023" t="s">
        <v>87</v>
      </c>
      <c r="F1023" t="s">
        <v>90</v>
      </c>
      <c r="G1023" t="s">
        <v>52</v>
      </c>
      <c r="H1023" t="s">
        <v>38</v>
      </c>
      <c r="I1023">
        <v>100</v>
      </c>
    </row>
    <row r="1024" spans="1:9" ht="14.5" x14ac:dyDescent="0.35">
      <c r="A1024">
        <v>2</v>
      </c>
      <c r="B1024" t="s">
        <v>43</v>
      </c>
      <c r="C1024" t="s">
        <v>85</v>
      </c>
      <c r="D1024" t="s">
        <v>92</v>
      </c>
      <c r="E1024" t="s">
        <v>93</v>
      </c>
      <c r="F1024" t="s">
        <v>97</v>
      </c>
      <c r="G1024" t="s">
        <v>52</v>
      </c>
      <c r="H1024" t="s">
        <v>38</v>
      </c>
      <c r="I1024">
        <v>100</v>
      </c>
    </row>
    <row r="1025" spans="1:9" ht="14.5" x14ac:dyDescent="0.35">
      <c r="A1025">
        <v>2</v>
      </c>
      <c r="B1025" t="s">
        <v>43</v>
      </c>
      <c r="C1025" t="s">
        <v>59</v>
      </c>
      <c r="D1025" t="s">
        <v>60</v>
      </c>
      <c r="E1025" t="s">
        <v>61</v>
      </c>
      <c r="F1025" t="s">
        <v>64</v>
      </c>
      <c r="G1025" t="s">
        <v>52</v>
      </c>
      <c r="H1025" t="s">
        <v>38</v>
      </c>
      <c r="I1025">
        <v>100</v>
      </c>
    </row>
    <row r="1026" spans="1:9" ht="14.5" x14ac:dyDescent="0.35">
      <c r="A1026">
        <v>2</v>
      </c>
      <c r="B1026" t="s">
        <v>43</v>
      </c>
      <c r="C1026" t="s">
        <v>59</v>
      </c>
      <c r="D1026" t="s">
        <v>60</v>
      </c>
      <c r="E1026" t="s">
        <v>61</v>
      </c>
      <c r="F1026" t="s">
        <v>65</v>
      </c>
      <c r="G1026" t="s">
        <v>35</v>
      </c>
      <c r="H1026" t="s">
        <v>38</v>
      </c>
      <c r="I1026">
        <v>100</v>
      </c>
    </row>
    <row r="1027" spans="1:9" ht="14.5" x14ac:dyDescent="0.35">
      <c r="A1027">
        <v>2</v>
      </c>
      <c r="B1027" t="s">
        <v>43</v>
      </c>
      <c r="C1027" t="s">
        <v>59</v>
      </c>
      <c r="D1027" t="s">
        <v>66</v>
      </c>
      <c r="E1027" t="s">
        <v>67</v>
      </c>
      <c r="F1027" t="s">
        <v>71</v>
      </c>
      <c r="G1027" t="s">
        <v>52</v>
      </c>
      <c r="H1027" t="s">
        <v>38</v>
      </c>
      <c r="I1027">
        <v>100</v>
      </c>
    </row>
    <row r="1028" spans="1:9" ht="14.5" x14ac:dyDescent="0.35">
      <c r="A1028">
        <v>2</v>
      </c>
      <c r="B1028" t="s">
        <v>44</v>
      </c>
      <c r="C1028" t="s">
        <v>85</v>
      </c>
      <c r="D1028" t="s">
        <v>92</v>
      </c>
      <c r="E1028" t="s">
        <v>93</v>
      </c>
      <c r="F1028" t="s">
        <v>95</v>
      </c>
      <c r="G1028" t="s">
        <v>35</v>
      </c>
      <c r="H1028" t="s">
        <v>38</v>
      </c>
      <c r="I1028">
        <v>100</v>
      </c>
    </row>
    <row r="1029" spans="1:9" ht="14.5" x14ac:dyDescent="0.35">
      <c r="A1029">
        <v>2</v>
      </c>
      <c r="B1029" t="s">
        <v>44</v>
      </c>
      <c r="C1029" t="s">
        <v>59</v>
      </c>
      <c r="D1029" t="s">
        <v>60</v>
      </c>
      <c r="E1029" t="s">
        <v>61</v>
      </c>
      <c r="F1029" t="s">
        <v>65</v>
      </c>
      <c r="G1029" t="s">
        <v>52</v>
      </c>
      <c r="H1029" t="s">
        <v>38</v>
      </c>
      <c r="I1029">
        <v>100</v>
      </c>
    </row>
    <row r="1030" spans="1:9" ht="14.5" x14ac:dyDescent="0.35">
      <c r="A1030">
        <v>2</v>
      </c>
      <c r="B1030" t="s">
        <v>44</v>
      </c>
      <c r="C1030" t="s">
        <v>72</v>
      </c>
      <c r="D1030" t="s">
        <v>79</v>
      </c>
      <c r="E1030" t="s">
        <v>80</v>
      </c>
      <c r="F1030" t="s">
        <v>82</v>
      </c>
      <c r="G1030" t="s">
        <v>35</v>
      </c>
      <c r="H1030" t="s">
        <v>38</v>
      </c>
      <c r="I1030">
        <v>100</v>
      </c>
    </row>
    <row r="1031" spans="1:9" ht="14.5" x14ac:dyDescent="0.35">
      <c r="A1031">
        <v>2</v>
      </c>
      <c r="B1031" t="s">
        <v>45</v>
      </c>
      <c r="C1031" t="s">
        <v>31</v>
      </c>
      <c r="D1031" t="s">
        <v>32</v>
      </c>
      <c r="E1031" t="s">
        <v>33</v>
      </c>
      <c r="F1031" t="s">
        <v>34</v>
      </c>
      <c r="G1031" t="s">
        <v>52</v>
      </c>
      <c r="H1031" t="s">
        <v>38</v>
      </c>
      <c r="I1031">
        <v>100</v>
      </c>
    </row>
    <row r="1032" spans="1:9" ht="14.5" x14ac:dyDescent="0.35">
      <c r="A1032">
        <v>2</v>
      </c>
      <c r="B1032" t="s">
        <v>45</v>
      </c>
      <c r="C1032" t="s">
        <v>85</v>
      </c>
      <c r="D1032" t="s">
        <v>86</v>
      </c>
      <c r="E1032" t="s">
        <v>87</v>
      </c>
      <c r="F1032" t="s">
        <v>90</v>
      </c>
      <c r="G1032" t="s">
        <v>35</v>
      </c>
      <c r="H1032" t="s">
        <v>38</v>
      </c>
      <c r="I1032">
        <v>100</v>
      </c>
    </row>
    <row r="1033" spans="1:9" ht="14.5" x14ac:dyDescent="0.35">
      <c r="A1033">
        <v>2</v>
      </c>
      <c r="B1033" t="s">
        <v>45</v>
      </c>
      <c r="C1033" t="s">
        <v>85</v>
      </c>
      <c r="D1033" t="s">
        <v>92</v>
      </c>
      <c r="E1033" t="s">
        <v>93</v>
      </c>
      <c r="F1033" t="s">
        <v>97</v>
      </c>
      <c r="G1033" t="s">
        <v>35</v>
      </c>
      <c r="H1033" t="s">
        <v>38</v>
      </c>
      <c r="I1033">
        <v>100</v>
      </c>
    </row>
    <row r="1034" spans="1:9" ht="14.5" x14ac:dyDescent="0.35">
      <c r="A1034">
        <v>3</v>
      </c>
      <c r="B1034" t="s">
        <v>46</v>
      </c>
      <c r="C1034" t="s">
        <v>31</v>
      </c>
      <c r="D1034" t="s">
        <v>32</v>
      </c>
      <c r="E1034" t="s">
        <v>33</v>
      </c>
      <c r="F1034" t="s">
        <v>34</v>
      </c>
      <c r="G1034" t="s">
        <v>35</v>
      </c>
      <c r="H1034" t="s">
        <v>38</v>
      </c>
      <c r="I1034">
        <v>100</v>
      </c>
    </row>
    <row r="1035" spans="1:9" ht="14.5" x14ac:dyDescent="0.35">
      <c r="A1035">
        <v>3</v>
      </c>
      <c r="B1035" t="s">
        <v>46</v>
      </c>
      <c r="C1035" t="s">
        <v>31</v>
      </c>
      <c r="D1035" t="s">
        <v>53</v>
      </c>
      <c r="E1035" t="s">
        <v>54</v>
      </c>
      <c r="F1035" t="s">
        <v>56</v>
      </c>
      <c r="G1035" t="s">
        <v>52</v>
      </c>
      <c r="H1035" t="s">
        <v>38</v>
      </c>
      <c r="I1035">
        <v>100</v>
      </c>
    </row>
    <row r="1036" spans="1:9" ht="14.5" x14ac:dyDescent="0.35">
      <c r="A1036">
        <v>3</v>
      </c>
      <c r="B1036" t="s">
        <v>46</v>
      </c>
      <c r="C1036" t="s">
        <v>85</v>
      </c>
      <c r="D1036" t="s">
        <v>92</v>
      </c>
      <c r="E1036" t="s">
        <v>93</v>
      </c>
      <c r="F1036" t="s">
        <v>94</v>
      </c>
      <c r="G1036" t="s">
        <v>52</v>
      </c>
      <c r="H1036" t="s">
        <v>38</v>
      </c>
      <c r="I1036">
        <v>100</v>
      </c>
    </row>
    <row r="1037" spans="1:9" ht="14.5" x14ac:dyDescent="0.35">
      <c r="A1037">
        <v>3</v>
      </c>
      <c r="B1037" t="s">
        <v>46</v>
      </c>
      <c r="C1037" t="s">
        <v>59</v>
      </c>
      <c r="D1037" t="s">
        <v>60</v>
      </c>
      <c r="E1037" t="s">
        <v>61</v>
      </c>
      <c r="F1037" t="s">
        <v>62</v>
      </c>
      <c r="G1037" t="s">
        <v>35</v>
      </c>
      <c r="H1037" t="s">
        <v>38</v>
      </c>
      <c r="I1037">
        <v>100</v>
      </c>
    </row>
    <row r="1038" spans="1:9" ht="14.5" x14ac:dyDescent="0.35">
      <c r="A1038">
        <v>3</v>
      </c>
      <c r="B1038" t="s">
        <v>46</v>
      </c>
      <c r="C1038" t="s">
        <v>72</v>
      </c>
      <c r="D1038" t="s">
        <v>73</v>
      </c>
      <c r="E1038" t="s">
        <v>74</v>
      </c>
      <c r="F1038" t="s">
        <v>76</v>
      </c>
      <c r="G1038" t="s">
        <v>52</v>
      </c>
      <c r="H1038" t="s">
        <v>38</v>
      </c>
      <c r="I1038">
        <v>100</v>
      </c>
    </row>
    <row r="1039" spans="1:9" ht="14.5" x14ac:dyDescent="0.35">
      <c r="A1039">
        <v>3</v>
      </c>
      <c r="B1039" t="s">
        <v>46</v>
      </c>
      <c r="C1039" t="s">
        <v>72</v>
      </c>
      <c r="D1039" t="s">
        <v>79</v>
      </c>
      <c r="E1039" t="s">
        <v>80</v>
      </c>
      <c r="F1039" t="s">
        <v>84</v>
      </c>
      <c r="G1039" t="s">
        <v>52</v>
      </c>
      <c r="H1039" t="s">
        <v>38</v>
      </c>
      <c r="I1039">
        <v>100</v>
      </c>
    </row>
    <row r="1040" spans="1:9" ht="14.5" x14ac:dyDescent="0.35">
      <c r="A1040">
        <v>3</v>
      </c>
      <c r="B1040" t="s">
        <v>47</v>
      </c>
      <c r="C1040" t="s">
        <v>85</v>
      </c>
      <c r="D1040" t="s">
        <v>92</v>
      </c>
      <c r="E1040" t="s">
        <v>93</v>
      </c>
      <c r="F1040" t="s">
        <v>96</v>
      </c>
      <c r="G1040" t="s">
        <v>35</v>
      </c>
      <c r="H1040" t="s">
        <v>38</v>
      </c>
      <c r="I1040">
        <v>100</v>
      </c>
    </row>
    <row r="1041" spans="1:9" ht="14.5" x14ac:dyDescent="0.35">
      <c r="A1041">
        <v>3</v>
      </c>
      <c r="B1041" t="s">
        <v>47</v>
      </c>
      <c r="C1041" t="s">
        <v>59</v>
      </c>
      <c r="D1041" t="s">
        <v>60</v>
      </c>
      <c r="E1041" t="s">
        <v>61</v>
      </c>
      <c r="F1041" t="s">
        <v>63</v>
      </c>
      <c r="G1041" t="s">
        <v>52</v>
      </c>
      <c r="H1041" t="s">
        <v>38</v>
      </c>
      <c r="I1041">
        <v>100</v>
      </c>
    </row>
    <row r="1042" spans="1:9" ht="14.5" x14ac:dyDescent="0.35">
      <c r="A1042">
        <v>3</v>
      </c>
      <c r="B1042" t="s">
        <v>47</v>
      </c>
      <c r="C1042" t="s">
        <v>59</v>
      </c>
      <c r="D1042" t="s">
        <v>66</v>
      </c>
      <c r="E1042" t="s">
        <v>67</v>
      </c>
      <c r="F1042" t="s">
        <v>68</v>
      </c>
      <c r="G1042" t="s">
        <v>52</v>
      </c>
      <c r="H1042" t="s">
        <v>38</v>
      </c>
      <c r="I1042">
        <v>100</v>
      </c>
    </row>
    <row r="1043" spans="1:9" ht="14.5" x14ac:dyDescent="0.35">
      <c r="A1043">
        <v>3</v>
      </c>
      <c r="B1043" t="s">
        <v>47</v>
      </c>
      <c r="C1043" t="s">
        <v>59</v>
      </c>
      <c r="D1043" t="s">
        <v>66</v>
      </c>
      <c r="E1043" t="s">
        <v>67</v>
      </c>
      <c r="F1043" t="s">
        <v>70</v>
      </c>
      <c r="G1043" t="s">
        <v>52</v>
      </c>
      <c r="H1043" t="s">
        <v>38</v>
      </c>
      <c r="I1043">
        <v>100</v>
      </c>
    </row>
    <row r="1044" spans="1:9" ht="14.5" x14ac:dyDescent="0.35">
      <c r="A1044">
        <v>3</v>
      </c>
      <c r="B1044" t="s">
        <v>47</v>
      </c>
      <c r="C1044" t="s">
        <v>72</v>
      </c>
      <c r="D1044" t="s">
        <v>73</v>
      </c>
      <c r="E1044" t="s">
        <v>74</v>
      </c>
      <c r="F1044" t="s">
        <v>78</v>
      </c>
      <c r="G1044" t="s">
        <v>52</v>
      </c>
      <c r="H1044" t="s">
        <v>38</v>
      </c>
      <c r="I1044">
        <v>100</v>
      </c>
    </row>
    <row r="1045" spans="1:9" ht="14.5" x14ac:dyDescent="0.35">
      <c r="A1045">
        <v>3</v>
      </c>
      <c r="B1045" t="s">
        <v>48</v>
      </c>
      <c r="C1045" t="s">
        <v>85</v>
      </c>
      <c r="D1045" t="s">
        <v>86</v>
      </c>
      <c r="E1045" t="s">
        <v>87</v>
      </c>
      <c r="F1045" t="s">
        <v>89</v>
      </c>
      <c r="G1045" t="s">
        <v>35</v>
      </c>
      <c r="H1045" t="s">
        <v>38</v>
      </c>
      <c r="I1045">
        <v>100</v>
      </c>
    </row>
    <row r="1046" spans="1:9" ht="14.5" x14ac:dyDescent="0.35">
      <c r="A1046">
        <v>3</v>
      </c>
      <c r="B1046" t="s">
        <v>48</v>
      </c>
      <c r="C1046" t="s">
        <v>59</v>
      </c>
      <c r="D1046" t="s">
        <v>66</v>
      </c>
      <c r="E1046" t="s">
        <v>67</v>
      </c>
      <c r="F1046" t="s">
        <v>68</v>
      </c>
      <c r="G1046" t="s">
        <v>52</v>
      </c>
      <c r="H1046" t="s">
        <v>38</v>
      </c>
      <c r="I1046">
        <v>100</v>
      </c>
    </row>
    <row r="1047" spans="1:9" ht="14.5" x14ac:dyDescent="0.35">
      <c r="A1047">
        <v>3</v>
      </c>
      <c r="B1047" t="s">
        <v>48</v>
      </c>
      <c r="C1047" t="s">
        <v>72</v>
      </c>
      <c r="D1047" t="s">
        <v>79</v>
      </c>
      <c r="E1047" t="s">
        <v>80</v>
      </c>
      <c r="F1047" t="s">
        <v>83</v>
      </c>
      <c r="G1047" t="s">
        <v>52</v>
      </c>
      <c r="H1047" t="s">
        <v>38</v>
      </c>
      <c r="I1047">
        <v>100</v>
      </c>
    </row>
    <row r="1048" spans="1:9" ht="14.5" x14ac:dyDescent="0.35">
      <c r="A1048">
        <v>4</v>
      </c>
      <c r="B1048" t="s">
        <v>49</v>
      </c>
      <c r="C1048" t="s">
        <v>31</v>
      </c>
      <c r="D1048" t="s">
        <v>32</v>
      </c>
      <c r="E1048" t="s">
        <v>33</v>
      </c>
      <c r="F1048" t="s">
        <v>34</v>
      </c>
      <c r="G1048" t="s">
        <v>52</v>
      </c>
      <c r="H1048" t="s">
        <v>38</v>
      </c>
      <c r="I1048">
        <v>100</v>
      </c>
    </row>
    <row r="1049" spans="1:9" ht="14.5" x14ac:dyDescent="0.35">
      <c r="A1049">
        <v>4</v>
      </c>
      <c r="B1049" t="s">
        <v>49</v>
      </c>
      <c r="C1049" t="s">
        <v>85</v>
      </c>
      <c r="D1049" t="s">
        <v>86</v>
      </c>
      <c r="E1049" t="s">
        <v>87</v>
      </c>
      <c r="F1049" t="s">
        <v>88</v>
      </c>
      <c r="G1049" t="s">
        <v>52</v>
      </c>
      <c r="H1049" t="s">
        <v>38</v>
      </c>
      <c r="I1049">
        <v>100</v>
      </c>
    </row>
    <row r="1050" spans="1:9" ht="14.5" x14ac:dyDescent="0.35">
      <c r="A1050">
        <v>4</v>
      </c>
      <c r="B1050" t="s">
        <v>49</v>
      </c>
      <c r="C1050" t="s">
        <v>85</v>
      </c>
      <c r="D1050" t="s">
        <v>86</v>
      </c>
      <c r="E1050" t="s">
        <v>87</v>
      </c>
      <c r="F1050" t="s">
        <v>91</v>
      </c>
      <c r="G1050" t="s">
        <v>35</v>
      </c>
      <c r="H1050" t="s">
        <v>38</v>
      </c>
      <c r="I1050">
        <v>100</v>
      </c>
    </row>
    <row r="1051" spans="1:9" ht="14.5" x14ac:dyDescent="0.35">
      <c r="A1051">
        <v>4</v>
      </c>
      <c r="B1051" t="s">
        <v>49</v>
      </c>
      <c r="C1051" t="s">
        <v>85</v>
      </c>
      <c r="D1051" t="s">
        <v>92</v>
      </c>
      <c r="E1051" t="s">
        <v>93</v>
      </c>
      <c r="F1051" t="s">
        <v>95</v>
      </c>
      <c r="G1051" t="s">
        <v>52</v>
      </c>
      <c r="H1051" t="s">
        <v>38</v>
      </c>
      <c r="I1051">
        <v>100</v>
      </c>
    </row>
    <row r="1052" spans="1:9" ht="14.5" x14ac:dyDescent="0.35">
      <c r="A1052">
        <v>4</v>
      </c>
      <c r="B1052" t="s">
        <v>50</v>
      </c>
      <c r="C1052" t="s">
        <v>31</v>
      </c>
      <c r="D1052" t="s">
        <v>53</v>
      </c>
      <c r="E1052" t="s">
        <v>54</v>
      </c>
      <c r="F1052" t="s">
        <v>58</v>
      </c>
      <c r="G1052" t="s">
        <v>52</v>
      </c>
      <c r="H1052" t="s">
        <v>38</v>
      </c>
      <c r="I1052">
        <v>100</v>
      </c>
    </row>
    <row r="1053" spans="1:9" ht="14.5" x14ac:dyDescent="0.35">
      <c r="A1053">
        <v>4</v>
      </c>
      <c r="B1053" t="s">
        <v>50</v>
      </c>
      <c r="C1053" t="s">
        <v>59</v>
      </c>
      <c r="D1053" t="s">
        <v>60</v>
      </c>
      <c r="E1053" t="s">
        <v>61</v>
      </c>
      <c r="F1053" t="s">
        <v>62</v>
      </c>
      <c r="G1053" t="s">
        <v>52</v>
      </c>
      <c r="H1053" t="s">
        <v>38</v>
      </c>
      <c r="I1053">
        <v>100</v>
      </c>
    </row>
    <row r="1054" spans="1:9" ht="14.5" x14ac:dyDescent="0.35">
      <c r="A1054">
        <v>4</v>
      </c>
      <c r="B1054" t="s">
        <v>51</v>
      </c>
      <c r="C1054" t="s">
        <v>31</v>
      </c>
      <c r="D1054" t="s">
        <v>32</v>
      </c>
      <c r="E1054" t="s">
        <v>33</v>
      </c>
      <c r="F1054" t="s">
        <v>40</v>
      </c>
      <c r="G1054" t="s">
        <v>52</v>
      </c>
      <c r="H1054" t="s">
        <v>38</v>
      </c>
      <c r="I1054">
        <v>100</v>
      </c>
    </row>
    <row r="1055" spans="1:9" ht="14.5" x14ac:dyDescent="0.35">
      <c r="A1055">
        <v>4</v>
      </c>
      <c r="B1055" t="s">
        <v>51</v>
      </c>
      <c r="C1055" t="s">
        <v>85</v>
      </c>
      <c r="D1055" t="s">
        <v>86</v>
      </c>
      <c r="E1055" t="s">
        <v>87</v>
      </c>
      <c r="F1055" t="s">
        <v>91</v>
      </c>
      <c r="G1055" t="s">
        <v>35</v>
      </c>
      <c r="H1055" t="s">
        <v>38</v>
      </c>
      <c r="I1055">
        <v>100</v>
      </c>
    </row>
    <row r="1056" spans="1:9" ht="14.5" x14ac:dyDescent="0.35">
      <c r="A1056">
        <v>4</v>
      </c>
      <c r="B1056" t="s">
        <v>51</v>
      </c>
      <c r="C1056" t="s">
        <v>85</v>
      </c>
      <c r="D1056" t="s">
        <v>92</v>
      </c>
      <c r="E1056" t="s">
        <v>93</v>
      </c>
      <c r="F1056" t="s">
        <v>96</v>
      </c>
      <c r="G1056" t="s">
        <v>35</v>
      </c>
      <c r="H1056" t="s">
        <v>38</v>
      </c>
      <c r="I1056">
        <v>100</v>
      </c>
    </row>
    <row r="1057" spans="1:9" ht="14.5" x14ac:dyDescent="0.35">
      <c r="A1057">
        <v>4</v>
      </c>
      <c r="B1057" t="s">
        <v>51</v>
      </c>
      <c r="C1057" t="s">
        <v>85</v>
      </c>
      <c r="D1057" t="s">
        <v>92</v>
      </c>
      <c r="E1057" t="s">
        <v>93</v>
      </c>
      <c r="F1057" t="s">
        <v>96</v>
      </c>
      <c r="G1057" t="s">
        <v>52</v>
      </c>
      <c r="H1057" t="s">
        <v>38</v>
      </c>
      <c r="I1057">
        <v>100</v>
      </c>
    </row>
    <row r="1058" spans="1:9" ht="14.5" x14ac:dyDescent="0.35">
      <c r="A1058">
        <v>4</v>
      </c>
      <c r="B1058" t="s">
        <v>51</v>
      </c>
      <c r="C1058" t="s">
        <v>72</v>
      </c>
      <c r="D1058" t="s">
        <v>73</v>
      </c>
      <c r="E1058" t="s">
        <v>74</v>
      </c>
      <c r="F1058" t="s">
        <v>75</v>
      </c>
      <c r="G1058" t="s">
        <v>35</v>
      </c>
      <c r="H1058" t="s">
        <v>38</v>
      </c>
      <c r="I1058">
        <v>100</v>
      </c>
    </row>
    <row r="1059" spans="1:9" ht="14.5" x14ac:dyDescent="0.35">
      <c r="A1059">
        <v>4</v>
      </c>
      <c r="B1059" t="s">
        <v>51</v>
      </c>
      <c r="C1059" t="s">
        <v>72</v>
      </c>
      <c r="D1059" t="s">
        <v>73</v>
      </c>
      <c r="E1059" t="s">
        <v>74</v>
      </c>
      <c r="F1059" t="s">
        <v>77</v>
      </c>
      <c r="G1059" t="s">
        <v>52</v>
      </c>
      <c r="H1059" t="s">
        <v>38</v>
      </c>
      <c r="I1059">
        <v>100</v>
      </c>
    </row>
    <row r="1060" spans="1:9" ht="14.5" x14ac:dyDescent="0.35">
      <c r="A1060">
        <v>4</v>
      </c>
      <c r="B1060" t="s">
        <v>51</v>
      </c>
      <c r="C1060" t="s">
        <v>72</v>
      </c>
      <c r="D1060" t="s">
        <v>73</v>
      </c>
      <c r="E1060" t="s">
        <v>74</v>
      </c>
      <c r="F1060" t="s">
        <v>78</v>
      </c>
      <c r="G1060" t="s">
        <v>52</v>
      </c>
      <c r="H1060" t="s">
        <v>38</v>
      </c>
      <c r="I1060">
        <v>100</v>
      </c>
    </row>
    <row r="1061" spans="1:9" ht="14.5" x14ac:dyDescent="0.35">
      <c r="A1061">
        <v>1</v>
      </c>
      <c r="B1061" t="s">
        <v>30</v>
      </c>
      <c r="C1061" t="s">
        <v>31</v>
      </c>
      <c r="D1061" t="s">
        <v>32</v>
      </c>
      <c r="E1061" t="s">
        <v>33</v>
      </c>
      <c r="F1061" t="s">
        <v>37</v>
      </c>
      <c r="G1061" t="s">
        <v>52</v>
      </c>
      <c r="H1061" t="s">
        <v>38</v>
      </c>
      <c r="I1061">
        <v>110</v>
      </c>
    </row>
    <row r="1062" spans="1:9" ht="14.5" x14ac:dyDescent="0.35">
      <c r="A1062">
        <v>1</v>
      </c>
      <c r="B1062" t="s">
        <v>30</v>
      </c>
      <c r="C1062" t="s">
        <v>59</v>
      </c>
      <c r="D1062" t="s">
        <v>60</v>
      </c>
      <c r="E1062" t="s">
        <v>61</v>
      </c>
      <c r="F1062" t="s">
        <v>62</v>
      </c>
      <c r="G1062" t="s">
        <v>35</v>
      </c>
      <c r="H1062" t="s">
        <v>38</v>
      </c>
      <c r="I1062">
        <v>110</v>
      </c>
    </row>
    <row r="1063" spans="1:9" ht="14.5" x14ac:dyDescent="0.35">
      <c r="A1063">
        <v>1</v>
      </c>
      <c r="B1063" t="s">
        <v>30</v>
      </c>
      <c r="C1063" t="s">
        <v>72</v>
      </c>
      <c r="D1063" t="s">
        <v>73</v>
      </c>
      <c r="E1063" t="s">
        <v>74</v>
      </c>
      <c r="F1063" t="s">
        <v>78</v>
      </c>
      <c r="G1063" t="s">
        <v>35</v>
      </c>
      <c r="H1063" t="s">
        <v>38</v>
      </c>
      <c r="I1063">
        <v>110</v>
      </c>
    </row>
    <row r="1064" spans="1:9" ht="14.5" x14ac:dyDescent="0.35">
      <c r="A1064">
        <v>1</v>
      </c>
      <c r="B1064" t="s">
        <v>41</v>
      </c>
      <c r="C1064" t="s">
        <v>59</v>
      </c>
      <c r="D1064" t="s">
        <v>60</v>
      </c>
      <c r="E1064" t="s">
        <v>61</v>
      </c>
      <c r="F1064" t="s">
        <v>63</v>
      </c>
      <c r="G1064" t="s">
        <v>52</v>
      </c>
      <c r="H1064" t="s">
        <v>38</v>
      </c>
      <c r="I1064">
        <v>110</v>
      </c>
    </row>
    <row r="1065" spans="1:9" ht="14.5" x14ac:dyDescent="0.35">
      <c r="A1065">
        <v>1</v>
      </c>
      <c r="B1065" t="s">
        <v>41</v>
      </c>
      <c r="C1065" t="s">
        <v>59</v>
      </c>
      <c r="D1065" t="s">
        <v>60</v>
      </c>
      <c r="E1065" t="s">
        <v>61</v>
      </c>
      <c r="F1065" t="s">
        <v>62</v>
      </c>
      <c r="G1065" t="s">
        <v>52</v>
      </c>
      <c r="H1065" t="s">
        <v>38</v>
      </c>
      <c r="I1065">
        <v>110</v>
      </c>
    </row>
    <row r="1066" spans="1:9" ht="14.5" x14ac:dyDescent="0.35">
      <c r="A1066">
        <v>1</v>
      </c>
      <c r="B1066" t="s">
        <v>41</v>
      </c>
      <c r="C1066" t="s">
        <v>59</v>
      </c>
      <c r="D1066" t="s">
        <v>60</v>
      </c>
      <c r="E1066" t="s">
        <v>61</v>
      </c>
      <c r="F1066" t="s">
        <v>65</v>
      </c>
      <c r="G1066" t="s">
        <v>52</v>
      </c>
      <c r="H1066" t="s">
        <v>38</v>
      </c>
      <c r="I1066">
        <v>110</v>
      </c>
    </row>
    <row r="1067" spans="1:9" ht="14.5" x14ac:dyDescent="0.35">
      <c r="A1067">
        <v>1</v>
      </c>
      <c r="B1067" t="s">
        <v>41</v>
      </c>
      <c r="C1067" t="s">
        <v>72</v>
      </c>
      <c r="D1067" t="s">
        <v>79</v>
      </c>
      <c r="E1067" t="s">
        <v>80</v>
      </c>
      <c r="F1067" t="s">
        <v>84</v>
      </c>
      <c r="G1067" t="s">
        <v>52</v>
      </c>
      <c r="H1067" t="s">
        <v>38</v>
      </c>
      <c r="I1067">
        <v>110</v>
      </c>
    </row>
    <row r="1068" spans="1:9" ht="14.5" x14ac:dyDescent="0.35">
      <c r="A1068">
        <v>1</v>
      </c>
      <c r="B1068" t="s">
        <v>42</v>
      </c>
      <c r="C1068" t="s">
        <v>31</v>
      </c>
      <c r="D1068" t="s">
        <v>32</v>
      </c>
      <c r="E1068" t="s">
        <v>33</v>
      </c>
      <c r="F1068" t="s">
        <v>40</v>
      </c>
      <c r="G1068" t="s">
        <v>35</v>
      </c>
      <c r="H1068" t="s">
        <v>38</v>
      </c>
      <c r="I1068">
        <v>110</v>
      </c>
    </row>
    <row r="1069" spans="1:9" ht="14.5" x14ac:dyDescent="0.35">
      <c r="A1069">
        <v>1</v>
      </c>
      <c r="B1069" t="s">
        <v>42</v>
      </c>
      <c r="C1069" t="s">
        <v>31</v>
      </c>
      <c r="D1069" t="s">
        <v>32</v>
      </c>
      <c r="E1069" t="s">
        <v>33</v>
      </c>
      <c r="F1069" t="s">
        <v>40</v>
      </c>
      <c r="G1069" t="s">
        <v>52</v>
      </c>
      <c r="H1069" t="s">
        <v>38</v>
      </c>
      <c r="I1069">
        <v>110</v>
      </c>
    </row>
    <row r="1070" spans="1:9" ht="14.5" x14ac:dyDescent="0.35">
      <c r="A1070">
        <v>1</v>
      </c>
      <c r="B1070" t="s">
        <v>42</v>
      </c>
      <c r="C1070" t="s">
        <v>85</v>
      </c>
      <c r="D1070" t="s">
        <v>86</v>
      </c>
      <c r="E1070" t="s">
        <v>87</v>
      </c>
      <c r="F1070" t="s">
        <v>88</v>
      </c>
      <c r="G1070" t="s">
        <v>35</v>
      </c>
      <c r="H1070" t="s">
        <v>38</v>
      </c>
      <c r="I1070">
        <v>110</v>
      </c>
    </row>
    <row r="1071" spans="1:9" ht="14.5" x14ac:dyDescent="0.35">
      <c r="A1071">
        <v>1</v>
      </c>
      <c r="B1071" t="s">
        <v>42</v>
      </c>
      <c r="C1071" t="s">
        <v>72</v>
      </c>
      <c r="D1071" t="s">
        <v>73</v>
      </c>
      <c r="E1071" t="s">
        <v>74</v>
      </c>
      <c r="F1071" t="s">
        <v>77</v>
      </c>
      <c r="G1071" t="s">
        <v>35</v>
      </c>
      <c r="H1071" t="s">
        <v>38</v>
      </c>
      <c r="I1071">
        <v>110</v>
      </c>
    </row>
    <row r="1072" spans="1:9" ht="14.5" x14ac:dyDescent="0.35">
      <c r="A1072">
        <v>1</v>
      </c>
      <c r="B1072" t="s">
        <v>42</v>
      </c>
      <c r="C1072" t="s">
        <v>72</v>
      </c>
      <c r="D1072" t="s">
        <v>73</v>
      </c>
      <c r="E1072" t="s">
        <v>74</v>
      </c>
      <c r="F1072" t="s">
        <v>78</v>
      </c>
      <c r="G1072" t="s">
        <v>35</v>
      </c>
      <c r="H1072" t="s">
        <v>38</v>
      </c>
      <c r="I1072">
        <v>110</v>
      </c>
    </row>
    <row r="1073" spans="1:9" ht="14.5" x14ac:dyDescent="0.35">
      <c r="A1073">
        <v>1</v>
      </c>
      <c r="B1073" t="s">
        <v>42</v>
      </c>
      <c r="C1073" t="s">
        <v>72</v>
      </c>
      <c r="D1073" t="s">
        <v>73</v>
      </c>
      <c r="E1073" t="s">
        <v>74</v>
      </c>
      <c r="F1073" t="s">
        <v>78</v>
      </c>
      <c r="G1073" t="s">
        <v>52</v>
      </c>
      <c r="H1073" t="s">
        <v>38</v>
      </c>
      <c r="I1073">
        <v>110</v>
      </c>
    </row>
    <row r="1074" spans="1:9" ht="14.5" x14ac:dyDescent="0.35">
      <c r="A1074">
        <v>1</v>
      </c>
      <c r="B1074" t="s">
        <v>42</v>
      </c>
      <c r="C1074" t="s">
        <v>72</v>
      </c>
      <c r="D1074" t="s">
        <v>79</v>
      </c>
      <c r="E1074" t="s">
        <v>80</v>
      </c>
      <c r="F1074" t="s">
        <v>83</v>
      </c>
      <c r="G1074" t="s">
        <v>35</v>
      </c>
      <c r="H1074" t="s">
        <v>38</v>
      </c>
      <c r="I1074">
        <v>110</v>
      </c>
    </row>
    <row r="1075" spans="1:9" ht="14.5" x14ac:dyDescent="0.35">
      <c r="A1075">
        <v>2</v>
      </c>
      <c r="B1075" t="s">
        <v>43</v>
      </c>
      <c r="C1075" t="s">
        <v>85</v>
      </c>
      <c r="D1075" t="s">
        <v>86</v>
      </c>
      <c r="E1075" t="s">
        <v>87</v>
      </c>
      <c r="F1075" t="s">
        <v>89</v>
      </c>
      <c r="G1075" t="s">
        <v>35</v>
      </c>
      <c r="H1075" t="s">
        <v>38</v>
      </c>
      <c r="I1075">
        <v>110</v>
      </c>
    </row>
    <row r="1076" spans="1:9" ht="14.5" x14ac:dyDescent="0.35">
      <c r="A1076">
        <v>2</v>
      </c>
      <c r="B1076" t="s">
        <v>43</v>
      </c>
      <c r="C1076" t="s">
        <v>85</v>
      </c>
      <c r="D1076" t="s">
        <v>86</v>
      </c>
      <c r="E1076" t="s">
        <v>87</v>
      </c>
      <c r="F1076" t="s">
        <v>89</v>
      </c>
      <c r="G1076" t="s">
        <v>52</v>
      </c>
      <c r="H1076" t="s">
        <v>38</v>
      </c>
      <c r="I1076">
        <v>110</v>
      </c>
    </row>
    <row r="1077" spans="1:9" ht="14.5" x14ac:dyDescent="0.35">
      <c r="A1077">
        <v>2</v>
      </c>
      <c r="B1077" t="s">
        <v>43</v>
      </c>
      <c r="C1077" t="s">
        <v>72</v>
      </c>
      <c r="D1077" t="s">
        <v>79</v>
      </c>
      <c r="E1077" t="s">
        <v>80</v>
      </c>
      <c r="F1077" t="s">
        <v>81</v>
      </c>
      <c r="G1077" t="s">
        <v>35</v>
      </c>
      <c r="H1077" t="s">
        <v>38</v>
      </c>
      <c r="I1077">
        <v>110</v>
      </c>
    </row>
    <row r="1078" spans="1:9" ht="14.5" x14ac:dyDescent="0.35">
      <c r="A1078">
        <v>2</v>
      </c>
      <c r="B1078" t="s">
        <v>44</v>
      </c>
      <c r="C1078" t="s">
        <v>31</v>
      </c>
      <c r="D1078" t="s">
        <v>32</v>
      </c>
      <c r="E1078" t="s">
        <v>33</v>
      </c>
      <c r="F1078" t="s">
        <v>39</v>
      </c>
      <c r="G1078" t="s">
        <v>52</v>
      </c>
      <c r="H1078" t="s">
        <v>38</v>
      </c>
      <c r="I1078">
        <v>110</v>
      </c>
    </row>
    <row r="1079" spans="1:9" ht="14.5" x14ac:dyDescent="0.35">
      <c r="A1079">
        <v>2</v>
      </c>
      <c r="B1079" t="s">
        <v>44</v>
      </c>
      <c r="C1079" t="s">
        <v>85</v>
      </c>
      <c r="D1079" t="s">
        <v>86</v>
      </c>
      <c r="E1079" t="s">
        <v>87</v>
      </c>
      <c r="F1079" t="s">
        <v>89</v>
      </c>
      <c r="G1079" t="s">
        <v>35</v>
      </c>
      <c r="H1079" t="s">
        <v>38</v>
      </c>
      <c r="I1079">
        <v>110</v>
      </c>
    </row>
    <row r="1080" spans="1:9" ht="14.5" x14ac:dyDescent="0.35">
      <c r="A1080">
        <v>2</v>
      </c>
      <c r="B1080" t="s">
        <v>44</v>
      </c>
      <c r="C1080" t="s">
        <v>85</v>
      </c>
      <c r="D1080" t="s">
        <v>92</v>
      </c>
      <c r="E1080" t="s">
        <v>93</v>
      </c>
      <c r="F1080" t="s">
        <v>96</v>
      </c>
      <c r="G1080" t="s">
        <v>35</v>
      </c>
      <c r="H1080" t="s">
        <v>38</v>
      </c>
      <c r="I1080">
        <v>110</v>
      </c>
    </row>
    <row r="1081" spans="1:9" ht="14.5" x14ac:dyDescent="0.35">
      <c r="A1081">
        <v>2</v>
      </c>
      <c r="B1081" t="s">
        <v>44</v>
      </c>
      <c r="C1081" t="s">
        <v>59</v>
      </c>
      <c r="D1081" t="s">
        <v>60</v>
      </c>
      <c r="E1081" t="s">
        <v>61</v>
      </c>
      <c r="F1081" t="s">
        <v>63</v>
      </c>
      <c r="G1081" t="s">
        <v>35</v>
      </c>
      <c r="H1081" t="s">
        <v>38</v>
      </c>
      <c r="I1081">
        <v>110</v>
      </c>
    </row>
    <row r="1082" spans="1:9" ht="14.5" x14ac:dyDescent="0.35">
      <c r="A1082">
        <v>2</v>
      </c>
      <c r="B1082" t="s">
        <v>44</v>
      </c>
      <c r="C1082" t="s">
        <v>59</v>
      </c>
      <c r="D1082" t="s">
        <v>60</v>
      </c>
      <c r="E1082" t="s">
        <v>61</v>
      </c>
      <c r="F1082" t="s">
        <v>62</v>
      </c>
      <c r="G1082" t="s">
        <v>35</v>
      </c>
      <c r="H1082" t="s">
        <v>38</v>
      </c>
      <c r="I1082">
        <v>110</v>
      </c>
    </row>
    <row r="1083" spans="1:9" ht="14.5" x14ac:dyDescent="0.35">
      <c r="A1083">
        <v>2</v>
      </c>
      <c r="B1083" t="s">
        <v>44</v>
      </c>
      <c r="C1083" t="s">
        <v>59</v>
      </c>
      <c r="D1083" t="s">
        <v>60</v>
      </c>
      <c r="E1083" t="s">
        <v>61</v>
      </c>
      <c r="F1083" t="s">
        <v>62</v>
      </c>
      <c r="G1083" t="s">
        <v>52</v>
      </c>
      <c r="H1083" t="s">
        <v>38</v>
      </c>
      <c r="I1083">
        <v>110</v>
      </c>
    </row>
    <row r="1084" spans="1:9" ht="14.5" x14ac:dyDescent="0.35">
      <c r="A1084">
        <v>2</v>
      </c>
      <c r="B1084" t="s">
        <v>44</v>
      </c>
      <c r="C1084" t="s">
        <v>59</v>
      </c>
      <c r="D1084" t="s">
        <v>66</v>
      </c>
      <c r="E1084" t="s">
        <v>67</v>
      </c>
      <c r="F1084" t="s">
        <v>71</v>
      </c>
      <c r="G1084" t="s">
        <v>35</v>
      </c>
      <c r="H1084" t="s">
        <v>38</v>
      </c>
      <c r="I1084">
        <v>110</v>
      </c>
    </row>
    <row r="1085" spans="1:9" ht="14.5" x14ac:dyDescent="0.35">
      <c r="A1085">
        <v>2</v>
      </c>
      <c r="B1085" t="s">
        <v>44</v>
      </c>
      <c r="C1085" t="s">
        <v>72</v>
      </c>
      <c r="D1085" t="s">
        <v>73</v>
      </c>
      <c r="E1085" t="s">
        <v>74</v>
      </c>
      <c r="F1085" t="s">
        <v>76</v>
      </c>
      <c r="G1085" t="s">
        <v>52</v>
      </c>
      <c r="H1085" t="s">
        <v>38</v>
      </c>
      <c r="I1085">
        <v>110</v>
      </c>
    </row>
    <row r="1086" spans="1:9" ht="14.5" x14ac:dyDescent="0.35">
      <c r="A1086">
        <v>2</v>
      </c>
      <c r="B1086" t="s">
        <v>45</v>
      </c>
      <c r="C1086" t="s">
        <v>31</v>
      </c>
      <c r="D1086" t="s">
        <v>53</v>
      </c>
      <c r="E1086" t="s">
        <v>54</v>
      </c>
      <c r="F1086" t="s">
        <v>58</v>
      </c>
      <c r="G1086" t="s">
        <v>52</v>
      </c>
      <c r="H1086" t="s">
        <v>38</v>
      </c>
      <c r="I1086">
        <v>110</v>
      </c>
    </row>
    <row r="1087" spans="1:9" ht="14.5" x14ac:dyDescent="0.35">
      <c r="A1087">
        <v>2</v>
      </c>
      <c r="B1087" t="s">
        <v>45</v>
      </c>
      <c r="C1087" t="s">
        <v>85</v>
      </c>
      <c r="D1087" t="s">
        <v>86</v>
      </c>
      <c r="E1087" t="s">
        <v>87</v>
      </c>
      <c r="F1087" t="s">
        <v>89</v>
      </c>
      <c r="G1087" t="s">
        <v>52</v>
      </c>
      <c r="H1087" t="s">
        <v>38</v>
      </c>
      <c r="I1087">
        <v>110</v>
      </c>
    </row>
    <row r="1088" spans="1:9" ht="14.5" x14ac:dyDescent="0.35">
      <c r="A1088">
        <v>2</v>
      </c>
      <c r="B1088" t="s">
        <v>45</v>
      </c>
      <c r="C1088" t="s">
        <v>59</v>
      </c>
      <c r="D1088" t="s">
        <v>66</v>
      </c>
      <c r="E1088" t="s">
        <v>67</v>
      </c>
      <c r="F1088" t="s">
        <v>69</v>
      </c>
      <c r="G1088" t="s">
        <v>35</v>
      </c>
      <c r="H1088" t="s">
        <v>38</v>
      </c>
      <c r="I1088">
        <v>110</v>
      </c>
    </row>
    <row r="1089" spans="1:9" ht="14.5" x14ac:dyDescent="0.35">
      <c r="A1089">
        <v>3</v>
      </c>
      <c r="B1089" t="s">
        <v>46</v>
      </c>
      <c r="C1089" t="s">
        <v>85</v>
      </c>
      <c r="D1089" t="s">
        <v>86</v>
      </c>
      <c r="E1089" t="s">
        <v>87</v>
      </c>
      <c r="F1089" t="s">
        <v>88</v>
      </c>
      <c r="G1089" t="s">
        <v>35</v>
      </c>
      <c r="H1089" t="s">
        <v>38</v>
      </c>
      <c r="I1089">
        <v>110</v>
      </c>
    </row>
    <row r="1090" spans="1:9" ht="14.5" x14ac:dyDescent="0.35">
      <c r="A1090">
        <v>3</v>
      </c>
      <c r="B1090" t="s">
        <v>46</v>
      </c>
      <c r="C1090" t="s">
        <v>85</v>
      </c>
      <c r="D1090" t="s">
        <v>92</v>
      </c>
      <c r="E1090" t="s">
        <v>93</v>
      </c>
      <c r="F1090" t="s">
        <v>95</v>
      </c>
      <c r="G1090" t="s">
        <v>52</v>
      </c>
      <c r="H1090" t="s">
        <v>38</v>
      </c>
      <c r="I1090">
        <v>110</v>
      </c>
    </row>
    <row r="1091" spans="1:9" ht="14.5" x14ac:dyDescent="0.35">
      <c r="A1091">
        <v>3</v>
      </c>
      <c r="B1091" t="s">
        <v>46</v>
      </c>
      <c r="C1091" t="s">
        <v>72</v>
      </c>
      <c r="D1091" t="s">
        <v>79</v>
      </c>
      <c r="E1091" t="s">
        <v>80</v>
      </c>
      <c r="F1091" t="s">
        <v>84</v>
      </c>
      <c r="G1091" t="s">
        <v>35</v>
      </c>
      <c r="H1091" t="s">
        <v>38</v>
      </c>
      <c r="I1091">
        <v>110</v>
      </c>
    </row>
    <row r="1092" spans="1:9" ht="14.5" x14ac:dyDescent="0.35">
      <c r="A1092">
        <v>3</v>
      </c>
      <c r="B1092" t="s">
        <v>47</v>
      </c>
      <c r="C1092" t="s">
        <v>59</v>
      </c>
      <c r="D1092" t="s">
        <v>60</v>
      </c>
      <c r="E1092" t="s">
        <v>61</v>
      </c>
      <c r="F1092" t="s">
        <v>62</v>
      </c>
      <c r="G1092" t="s">
        <v>52</v>
      </c>
      <c r="H1092" t="s">
        <v>38</v>
      </c>
      <c r="I1092">
        <v>110</v>
      </c>
    </row>
    <row r="1093" spans="1:9" ht="14.5" x14ac:dyDescent="0.35">
      <c r="A1093">
        <v>3</v>
      </c>
      <c r="B1093" t="s">
        <v>47</v>
      </c>
      <c r="C1093" t="s">
        <v>72</v>
      </c>
      <c r="D1093" t="s">
        <v>79</v>
      </c>
      <c r="E1093" t="s">
        <v>80</v>
      </c>
      <c r="F1093" t="s">
        <v>84</v>
      </c>
      <c r="G1093" t="s">
        <v>35</v>
      </c>
      <c r="H1093" t="s">
        <v>38</v>
      </c>
      <c r="I1093">
        <v>110</v>
      </c>
    </row>
    <row r="1094" spans="1:9" ht="14.5" x14ac:dyDescent="0.35">
      <c r="A1094">
        <v>3</v>
      </c>
      <c r="B1094" t="s">
        <v>48</v>
      </c>
      <c r="C1094" t="s">
        <v>31</v>
      </c>
      <c r="D1094" t="s">
        <v>32</v>
      </c>
      <c r="E1094" t="s">
        <v>33</v>
      </c>
      <c r="F1094" t="s">
        <v>37</v>
      </c>
      <c r="G1094" t="s">
        <v>35</v>
      </c>
      <c r="H1094" t="s">
        <v>38</v>
      </c>
      <c r="I1094">
        <v>110</v>
      </c>
    </row>
    <row r="1095" spans="1:9" ht="14.5" x14ac:dyDescent="0.35">
      <c r="A1095">
        <v>3</v>
      </c>
      <c r="B1095" t="s">
        <v>48</v>
      </c>
      <c r="C1095" t="s">
        <v>85</v>
      </c>
      <c r="D1095" t="s">
        <v>86</v>
      </c>
      <c r="E1095" t="s">
        <v>87</v>
      </c>
      <c r="F1095" t="s">
        <v>90</v>
      </c>
      <c r="G1095" t="s">
        <v>35</v>
      </c>
      <c r="H1095" t="s">
        <v>38</v>
      </c>
      <c r="I1095">
        <v>110</v>
      </c>
    </row>
    <row r="1096" spans="1:9" ht="14.5" x14ac:dyDescent="0.35">
      <c r="A1096">
        <v>3</v>
      </c>
      <c r="B1096" t="s">
        <v>48</v>
      </c>
      <c r="C1096" t="s">
        <v>85</v>
      </c>
      <c r="D1096" t="s">
        <v>92</v>
      </c>
      <c r="E1096" t="s">
        <v>93</v>
      </c>
      <c r="F1096" t="s">
        <v>95</v>
      </c>
      <c r="G1096" t="s">
        <v>35</v>
      </c>
      <c r="H1096" t="s">
        <v>38</v>
      </c>
      <c r="I1096">
        <v>110</v>
      </c>
    </row>
    <row r="1097" spans="1:9" ht="14.5" x14ac:dyDescent="0.35">
      <c r="A1097">
        <v>3</v>
      </c>
      <c r="B1097" t="s">
        <v>48</v>
      </c>
      <c r="C1097" t="s">
        <v>59</v>
      </c>
      <c r="D1097" t="s">
        <v>66</v>
      </c>
      <c r="E1097" t="s">
        <v>67</v>
      </c>
      <c r="F1097" t="s">
        <v>70</v>
      </c>
      <c r="G1097" t="s">
        <v>35</v>
      </c>
      <c r="H1097" t="s">
        <v>38</v>
      </c>
      <c r="I1097">
        <v>110</v>
      </c>
    </row>
    <row r="1098" spans="1:9" ht="14.5" x14ac:dyDescent="0.35">
      <c r="A1098">
        <v>3</v>
      </c>
      <c r="B1098" t="s">
        <v>48</v>
      </c>
      <c r="C1098" t="s">
        <v>72</v>
      </c>
      <c r="D1098" t="s">
        <v>73</v>
      </c>
      <c r="E1098" t="s">
        <v>74</v>
      </c>
      <c r="F1098" t="s">
        <v>77</v>
      </c>
      <c r="G1098" t="s">
        <v>35</v>
      </c>
      <c r="H1098" t="s">
        <v>38</v>
      </c>
      <c r="I1098">
        <v>110</v>
      </c>
    </row>
    <row r="1099" spans="1:9" ht="14.5" x14ac:dyDescent="0.35">
      <c r="A1099">
        <v>3</v>
      </c>
      <c r="B1099" t="s">
        <v>48</v>
      </c>
      <c r="C1099" t="s">
        <v>72</v>
      </c>
      <c r="D1099" t="s">
        <v>79</v>
      </c>
      <c r="E1099" t="s">
        <v>80</v>
      </c>
      <c r="F1099" t="s">
        <v>84</v>
      </c>
      <c r="G1099" t="s">
        <v>35</v>
      </c>
      <c r="H1099" t="s">
        <v>38</v>
      </c>
      <c r="I1099">
        <v>110</v>
      </c>
    </row>
    <row r="1100" spans="1:9" ht="14.5" x14ac:dyDescent="0.35">
      <c r="A1100">
        <v>4</v>
      </c>
      <c r="B1100" t="s">
        <v>49</v>
      </c>
      <c r="C1100" t="s">
        <v>31</v>
      </c>
      <c r="D1100" t="s">
        <v>32</v>
      </c>
      <c r="E1100" t="s">
        <v>33</v>
      </c>
      <c r="F1100" t="s">
        <v>40</v>
      </c>
      <c r="G1100" t="s">
        <v>35</v>
      </c>
      <c r="H1100" t="s">
        <v>38</v>
      </c>
      <c r="I1100">
        <v>110</v>
      </c>
    </row>
    <row r="1101" spans="1:9" ht="14.5" x14ac:dyDescent="0.35">
      <c r="A1101">
        <v>4</v>
      </c>
      <c r="B1101" t="s">
        <v>49</v>
      </c>
      <c r="C1101" t="s">
        <v>85</v>
      </c>
      <c r="D1101" t="s">
        <v>92</v>
      </c>
      <c r="E1101" t="s">
        <v>93</v>
      </c>
      <c r="F1101" t="s">
        <v>96</v>
      </c>
      <c r="G1101" t="s">
        <v>52</v>
      </c>
      <c r="H1101" t="s">
        <v>38</v>
      </c>
      <c r="I1101">
        <v>110</v>
      </c>
    </row>
    <row r="1102" spans="1:9" ht="14.5" x14ac:dyDescent="0.35">
      <c r="A1102">
        <v>4</v>
      </c>
      <c r="B1102" t="s">
        <v>49</v>
      </c>
      <c r="C1102" t="s">
        <v>59</v>
      </c>
      <c r="D1102" t="s">
        <v>66</v>
      </c>
      <c r="E1102" t="s">
        <v>67</v>
      </c>
      <c r="F1102" t="s">
        <v>70</v>
      </c>
      <c r="G1102" t="s">
        <v>52</v>
      </c>
      <c r="H1102" t="s">
        <v>38</v>
      </c>
      <c r="I1102">
        <v>110</v>
      </c>
    </row>
    <row r="1103" spans="1:9" ht="14.5" x14ac:dyDescent="0.35">
      <c r="A1103">
        <v>4</v>
      </c>
      <c r="B1103" t="s">
        <v>50</v>
      </c>
      <c r="C1103" t="s">
        <v>31</v>
      </c>
      <c r="D1103" t="s">
        <v>32</v>
      </c>
      <c r="E1103" t="s">
        <v>33</v>
      </c>
      <c r="F1103" t="s">
        <v>37</v>
      </c>
      <c r="G1103" t="s">
        <v>35</v>
      </c>
      <c r="H1103" t="s">
        <v>38</v>
      </c>
      <c r="I1103">
        <v>110</v>
      </c>
    </row>
    <row r="1104" spans="1:9" ht="14.5" x14ac:dyDescent="0.35">
      <c r="A1104">
        <v>4</v>
      </c>
      <c r="B1104" t="s">
        <v>50</v>
      </c>
      <c r="C1104" t="s">
        <v>31</v>
      </c>
      <c r="D1104" t="s">
        <v>32</v>
      </c>
      <c r="E1104" t="s">
        <v>33</v>
      </c>
      <c r="F1104" t="s">
        <v>37</v>
      </c>
      <c r="G1104" t="s">
        <v>52</v>
      </c>
      <c r="H1104" t="s">
        <v>38</v>
      </c>
      <c r="I1104">
        <v>110</v>
      </c>
    </row>
    <row r="1105" spans="1:9" ht="14.5" x14ac:dyDescent="0.35">
      <c r="A1105">
        <v>4</v>
      </c>
      <c r="B1105" t="s">
        <v>50</v>
      </c>
      <c r="C1105" t="s">
        <v>31</v>
      </c>
      <c r="D1105" t="s">
        <v>53</v>
      </c>
      <c r="E1105" t="s">
        <v>54</v>
      </c>
      <c r="F1105" t="s">
        <v>56</v>
      </c>
      <c r="G1105" t="s">
        <v>35</v>
      </c>
      <c r="H1105" t="s">
        <v>38</v>
      </c>
      <c r="I1105">
        <v>110</v>
      </c>
    </row>
    <row r="1106" spans="1:9" ht="14.5" x14ac:dyDescent="0.35">
      <c r="A1106">
        <v>4</v>
      </c>
      <c r="B1106" t="s">
        <v>50</v>
      </c>
      <c r="C1106" t="s">
        <v>85</v>
      </c>
      <c r="D1106" t="s">
        <v>86</v>
      </c>
      <c r="E1106" t="s">
        <v>87</v>
      </c>
      <c r="F1106" t="s">
        <v>90</v>
      </c>
      <c r="G1106" t="s">
        <v>52</v>
      </c>
      <c r="H1106" t="s">
        <v>38</v>
      </c>
      <c r="I1106">
        <v>110</v>
      </c>
    </row>
    <row r="1107" spans="1:9" ht="14.5" x14ac:dyDescent="0.35">
      <c r="A1107">
        <v>4</v>
      </c>
      <c r="B1107" t="s">
        <v>50</v>
      </c>
      <c r="C1107" t="s">
        <v>72</v>
      </c>
      <c r="D1107" t="s">
        <v>79</v>
      </c>
      <c r="E1107" t="s">
        <v>80</v>
      </c>
      <c r="F1107" t="s">
        <v>82</v>
      </c>
      <c r="G1107" t="s">
        <v>35</v>
      </c>
      <c r="H1107" t="s">
        <v>38</v>
      </c>
      <c r="I1107">
        <v>110</v>
      </c>
    </row>
    <row r="1108" spans="1:9" ht="14.5" x14ac:dyDescent="0.35">
      <c r="A1108">
        <v>4</v>
      </c>
      <c r="B1108" t="s">
        <v>50</v>
      </c>
      <c r="C1108" t="s">
        <v>72</v>
      </c>
      <c r="D1108" t="s">
        <v>79</v>
      </c>
      <c r="E1108" t="s">
        <v>80</v>
      </c>
      <c r="F1108" t="s">
        <v>83</v>
      </c>
      <c r="G1108" t="s">
        <v>35</v>
      </c>
      <c r="H1108" t="s">
        <v>38</v>
      </c>
      <c r="I1108">
        <v>110</v>
      </c>
    </row>
    <row r="1109" spans="1:9" ht="14.5" x14ac:dyDescent="0.35">
      <c r="A1109">
        <v>4</v>
      </c>
      <c r="B1109" t="s">
        <v>51</v>
      </c>
      <c r="C1109" t="s">
        <v>59</v>
      </c>
      <c r="D1109" t="s">
        <v>66</v>
      </c>
      <c r="E1109" t="s">
        <v>67</v>
      </c>
      <c r="F1109" t="s">
        <v>71</v>
      </c>
      <c r="G1109" t="s">
        <v>35</v>
      </c>
      <c r="H1109" t="s">
        <v>38</v>
      </c>
      <c r="I1109">
        <v>110</v>
      </c>
    </row>
    <row r="1110" spans="1:9" ht="14.5" x14ac:dyDescent="0.35">
      <c r="A1110">
        <v>4</v>
      </c>
      <c r="B1110" t="s">
        <v>51</v>
      </c>
      <c r="C1110" t="s">
        <v>72</v>
      </c>
      <c r="D1110" t="s">
        <v>73</v>
      </c>
      <c r="E1110" t="s">
        <v>74</v>
      </c>
      <c r="F1110" t="s">
        <v>76</v>
      </c>
      <c r="G1110" t="s">
        <v>52</v>
      </c>
      <c r="H1110" t="s">
        <v>38</v>
      </c>
      <c r="I1110">
        <v>110</v>
      </c>
    </row>
    <row r="1111" spans="1:9" ht="14.5" x14ac:dyDescent="0.35">
      <c r="A1111">
        <v>1</v>
      </c>
      <c r="B1111" t="s">
        <v>30</v>
      </c>
      <c r="C1111" t="s">
        <v>31</v>
      </c>
      <c r="D1111" t="s">
        <v>53</v>
      </c>
      <c r="E1111" t="s">
        <v>54</v>
      </c>
      <c r="F1111" t="s">
        <v>56</v>
      </c>
      <c r="G1111" t="s">
        <v>35</v>
      </c>
      <c r="H1111" t="s">
        <v>38</v>
      </c>
      <c r="I1111">
        <v>120</v>
      </c>
    </row>
    <row r="1112" spans="1:9" ht="14.5" x14ac:dyDescent="0.35">
      <c r="A1112">
        <v>1</v>
      </c>
      <c r="B1112" t="s">
        <v>30</v>
      </c>
      <c r="C1112" t="s">
        <v>85</v>
      </c>
      <c r="D1112" t="s">
        <v>86</v>
      </c>
      <c r="E1112" t="s">
        <v>87</v>
      </c>
      <c r="F1112" t="s">
        <v>90</v>
      </c>
      <c r="G1112" t="s">
        <v>52</v>
      </c>
      <c r="H1112" t="s">
        <v>38</v>
      </c>
      <c r="I1112">
        <v>120</v>
      </c>
    </row>
    <row r="1113" spans="1:9" ht="14.5" x14ac:dyDescent="0.35">
      <c r="A1113">
        <v>1</v>
      </c>
      <c r="B1113" t="s">
        <v>30</v>
      </c>
      <c r="C1113" t="s">
        <v>59</v>
      </c>
      <c r="D1113" t="s">
        <v>66</v>
      </c>
      <c r="E1113" t="s">
        <v>67</v>
      </c>
      <c r="F1113" t="s">
        <v>68</v>
      </c>
      <c r="G1113" t="s">
        <v>35</v>
      </c>
      <c r="H1113" t="s">
        <v>38</v>
      </c>
      <c r="I1113">
        <v>120</v>
      </c>
    </row>
    <row r="1114" spans="1:9" ht="14.5" x14ac:dyDescent="0.35">
      <c r="A1114">
        <v>1</v>
      </c>
      <c r="B1114" t="s">
        <v>41</v>
      </c>
      <c r="C1114" t="s">
        <v>31</v>
      </c>
      <c r="D1114" t="s">
        <v>32</v>
      </c>
      <c r="E1114" t="s">
        <v>33</v>
      </c>
      <c r="F1114" t="s">
        <v>37</v>
      </c>
      <c r="G1114" t="s">
        <v>35</v>
      </c>
      <c r="H1114" t="s">
        <v>38</v>
      </c>
      <c r="I1114">
        <v>120</v>
      </c>
    </row>
    <row r="1115" spans="1:9" ht="14.5" x14ac:dyDescent="0.35">
      <c r="A1115">
        <v>1</v>
      </c>
      <c r="B1115" t="s">
        <v>41</v>
      </c>
      <c r="C1115" t="s">
        <v>31</v>
      </c>
      <c r="D1115" t="s">
        <v>32</v>
      </c>
      <c r="E1115" t="s">
        <v>33</v>
      </c>
      <c r="F1115" t="s">
        <v>37</v>
      </c>
      <c r="G1115" t="s">
        <v>52</v>
      </c>
      <c r="H1115" t="s">
        <v>38</v>
      </c>
      <c r="I1115">
        <v>120</v>
      </c>
    </row>
    <row r="1116" spans="1:9" ht="14.5" x14ac:dyDescent="0.35">
      <c r="A1116">
        <v>1</v>
      </c>
      <c r="B1116" t="s">
        <v>41</v>
      </c>
      <c r="C1116" t="s">
        <v>85</v>
      </c>
      <c r="D1116" t="s">
        <v>86</v>
      </c>
      <c r="E1116" t="s">
        <v>87</v>
      </c>
      <c r="F1116" t="s">
        <v>91</v>
      </c>
      <c r="G1116" t="s">
        <v>35</v>
      </c>
      <c r="H1116" t="s">
        <v>38</v>
      </c>
      <c r="I1116">
        <v>120</v>
      </c>
    </row>
    <row r="1117" spans="1:9" ht="14.5" x14ac:dyDescent="0.35">
      <c r="A1117">
        <v>1</v>
      </c>
      <c r="B1117" t="s">
        <v>41</v>
      </c>
      <c r="C1117" t="s">
        <v>85</v>
      </c>
      <c r="D1117" t="s">
        <v>92</v>
      </c>
      <c r="E1117" t="s">
        <v>93</v>
      </c>
      <c r="F1117" t="s">
        <v>95</v>
      </c>
      <c r="G1117" t="s">
        <v>52</v>
      </c>
      <c r="H1117" t="s">
        <v>38</v>
      </c>
      <c r="I1117">
        <v>120</v>
      </c>
    </row>
    <row r="1118" spans="1:9" ht="14.5" x14ac:dyDescent="0.35">
      <c r="A1118">
        <v>1</v>
      </c>
      <c r="B1118" t="s">
        <v>41</v>
      </c>
      <c r="C1118" t="s">
        <v>59</v>
      </c>
      <c r="D1118" t="s">
        <v>60</v>
      </c>
      <c r="E1118" t="s">
        <v>61</v>
      </c>
      <c r="F1118" t="s">
        <v>62</v>
      </c>
      <c r="G1118" t="s">
        <v>35</v>
      </c>
      <c r="H1118" t="s">
        <v>38</v>
      </c>
      <c r="I1118">
        <v>120</v>
      </c>
    </row>
    <row r="1119" spans="1:9" ht="14.5" x14ac:dyDescent="0.35">
      <c r="A1119">
        <v>1</v>
      </c>
      <c r="B1119" t="s">
        <v>41</v>
      </c>
      <c r="C1119" t="s">
        <v>59</v>
      </c>
      <c r="D1119" t="s">
        <v>66</v>
      </c>
      <c r="E1119" t="s">
        <v>67</v>
      </c>
      <c r="F1119" t="s">
        <v>71</v>
      </c>
      <c r="G1119" t="s">
        <v>52</v>
      </c>
      <c r="H1119" t="s">
        <v>38</v>
      </c>
      <c r="I1119">
        <v>120</v>
      </c>
    </row>
    <row r="1120" spans="1:9" ht="14.5" x14ac:dyDescent="0.35">
      <c r="A1120">
        <v>1</v>
      </c>
      <c r="B1120" t="s">
        <v>41</v>
      </c>
      <c r="C1120" t="s">
        <v>72</v>
      </c>
      <c r="D1120" t="s">
        <v>73</v>
      </c>
      <c r="E1120" t="s">
        <v>74</v>
      </c>
      <c r="F1120" t="s">
        <v>77</v>
      </c>
      <c r="G1120" t="s">
        <v>35</v>
      </c>
      <c r="H1120" t="s">
        <v>38</v>
      </c>
      <c r="I1120">
        <v>120</v>
      </c>
    </row>
    <row r="1121" spans="1:9" ht="14.5" x14ac:dyDescent="0.35">
      <c r="A1121">
        <v>1</v>
      </c>
      <c r="B1121" t="s">
        <v>42</v>
      </c>
      <c r="C1121" t="s">
        <v>31</v>
      </c>
      <c r="D1121" t="s">
        <v>32</v>
      </c>
      <c r="E1121" t="s">
        <v>33</v>
      </c>
      <c r="F1121" t="s">
        <v>34</v>
      </c>
      <c r="G1121" t="s">
        <v>52</v>
      </c>
      <c r="H1121" t="s">
        <v>38</v>
      </c>
      <c r="I1121">
        <v>120</v>
      </c>
    </row>
    <row r="1122" spans="1:9" ht="14.5" x14ac:dyDescent="0.35">
      <c r="A1122">
        <v>1</v>
      </c>
      <c r="B1122" t="s">
        <v>42</v>
      </c>
      <c r="C1122" t="s">
        <v>31</v>
      </c>
      <c r="D1122" t="s">
        <v>53</v>
      </c>
      <c r="E1122" t="s">
        <v>54</v>
      </c>
      <c r="F1122" t="s">
        <v>55</v>
      </c>
      <c r="G1122" t="s">
        <v>52</v>
      </c>
      <c r="H1122" t="s">
        <v>38</v>
      </c>
      <c r="I1122">
        <v>120</v>
      </c>
    </row>
    <row r="1123" spans="1:9" ht="14.5" x14ac:dyDescent="0.35">
      <c r="A1123">
        <v>1</v>
      </c>
      <c r="B1123" t="s">
        <v>42</v>
      </c>
      <c r="C1123" t="s">
        <v>85</v>
      </c>
      <c r="D1123" t="s">
        <v>92</v>
      </c>
      <c r="E1123" t="s">
        <v>93</v>
      </c>
      <c r="F1123" t="s">
        <v>95</v>
      </c>
      <c r="G1123" t="s">
        <v>35</v>
      </c>
      <c r="H1123" t="s">
        <v>38</v>
      </c>
      <c r="I1123">
        <v>120</v>
      </c>
    </row>
    <row r="1124" spans="1:9" ht="14.5" x14ac:dyDescent="0.35">
      <c r="A1124">
        <v>1</v>
      </c>
      <c r="B1124" t="s">
        <v>42</v>
      </c>
      <c r="C1124" t="s">
        <v>59</v>
      </c>
      <c r="D1124" t="s">
        <v>60</v>
      </c>
      <c r="E1124" t="s">
        <v>61</v>
      </c>
      <c r="F1124" t="s">
        <v>62</v>
      </c>
      <c r="G1124" t="s">
        <v>52</v>
      </c>
      <c r="H1124" t="s">
        <v>38</v>
      </c>
      <c r="I1124">
        <v>120</v>
      </c>
    </row>
    <row r="1125" spans="1:9" ht="14.5" x14ac:dyDescent="0.35">
      <c r="A1125">
        <v>1</v>
      </c>
      <c r="B1125" t="s">
        <v>42</v>
      </c>
      <c r="C1125" t="s">
        <v>72</v>
      </c>
      <c r="D1125" t="s">
        <v>73</v>
      </c>
      <c r="E1125" t="s">
        <v>74</v>
      </c>
      <c r="F1125" t="s">
        <v>76</v>
      </c>
      <c r="G1125" t="s">
        <v>35</v>
      </c>
      <c r="H1125" t="s">
        <v>38</v>
      </c>
      <c r="I1125">
        <v>120</v>
      </c>
    </row>
    <row r="1126" spans="1:9" ht="14.5" x14ac:dyDescent="0.35">
      <c r="A1126">
        <v>2</v>
      </c>
      <c r="B1126" t="s">
        <v>43</v>
      </c>
      <c r="C1126" t="s">
        <v>31</v>
      </c>
      <c r="D1126" t="s">
        <v>32</v>
      </c>
      <c r="E1126" t="s">
        <v>33</v>
      </c>
      <c r="F1126" t="s">
        <v>39</v>
      </c>
      <c r="G1126" t="s">
        <v>35</v>
      </c>
      <c r="H1126" t="s">
        <v>38</v>
      </c>
      <c r="I1126">
        <v>120</v>
      </c>
    </row>
    <row r="1127" spans="1:9" ht="14.5" x14ac:dyDescent="0.35">
      <c r="A1127">
        <v>2</v>
      </c>
      <c r="B1127" t="s">
        <v>43</v>
      </c>
      <c r="C1127" t="s">
        <v>85</v>
      </c>
      <c r="D1127" t="s">
        <v>92</v>
      </c>
      <c r="E1127" t="s">
        <v>93</v>
      </c>
      <c r="F1127" t="s">
        <v>96</v>
      </c>
      <c r="G1127" t="s">
        <v>52</v>
      </c>
      <c r="H1127" t="s">
        <v>38</v>
      </c>
      <c r="I1127">
        <v>120</v>
      </c>
    </row>
    <row r="1128" spans="1:9" ht="14.5" x14ac:dyDescent="0.35">
      <c r="A1128">
        <v>2</v>
      </c>
      <c r="B1128" t="s">
        <v>43</v>
      </c>
      <c r="C1128" t="s">
        <v>59</v>
      </c>
      <c r="D1128" t="s">
        <v>66</v>
      </c>
      <c r="E1128" t="s">
        <v>67</v>
      </c>
      <c r="F1128" t="s">
        <v>68</v>
      </c>
      <c r="G1128" t="s">
        <v>35</v>
      </c>
      <c r="H1128" t="s">
        <v>38</v>
      </c>
      <c r="I1128">
        <v>120</v>
      </c>
    </row>
    <row r="1129" spans="1:9" ht="14.5" x14ac:dyDescent="0.35">
      <c r="A1129">
        <v>2</v>
      </c>
      <c r="B1129" t="s">
        <v>43</v>
      </c>
      <c r="C1129" t="s">
        <v>72</v>
      </c>
      <c r="D1129" t="s">
        <v>73</v>
      </c>
      <c r="E1129" t="s">
        <v>74</v>
      </c>
      <c r="F1129" t="s">
        <v>75</v>
      </c>
      <c r="G1129" t="s">
        <v>35</v>
      </c>
      <c r="H1129" t="s">
        <v>38</v>
      </c>
      <c r="I1129">
        <v>120</v>
      </c>
    </row>
    <row r="1130" spans="1:9" ht="14.5" x14ac:dyDescent="0.35">
      <c r="A1130">
        <v>2</v>
      </c>
      <c r="B1130" t="s">
        <v>43</v>
      </c>
      <c r="C1130" t="s">
        <v>72</v>
      </c>
      <c r="D1130" t="s">
        <v>79</v>
      </c>
      <c r="E1130" t="s">
        <v>80</v>
      </c>
      <c r="F1130" t="s">
        <v>84</v>
      </c>
      <c r="G1130" t="s">
        <v>52</v>
      </c>
      <c r="H1130" t="s">
        <v>38</v>
      </c>
      <c r="I1130">
        <v>120</v>
      </c>
    </row>
    <row r="1131" spans="1:9" ht="14.5" x14ac:dyDescent="0.35">
      <c r="A1131">
        <v>2</v>
      </c>
      <c r="B1131" t="s">
        <v>44</v>
      </c>
      <c r="C1131" t="s">
        <v>31</v>
      </c>
      <c r="D1131" t="s">
        <v>32</v>
      </c>
      <c r="E1131" t="s">
        <v>33</v>
      </c>
      <c r="F1131" t="s">
        <v>37</v>
      </c>
      <c r="G1131" t="s">
        <v>52</v>
      </c>
      <c r="H1131" t="s">
        <v>38</v>
      </c>
      <c r="I1131">
        <v>120</v>
      </c>
    </row>
    <row r="1132" spans="1:9" ht="14.5" x14ac:dyDescent="0.35">
      <c r="A1132">
        <v>2</v>
      </c>
      <c r="B1132" t="s">
        <v>44</v>
      </c>
      <c r="C1132" t="s">
        <v>31</v>
      </c>
      <c r="D1132" t="s">
        <v>53</v>
      </c>
      <c r="E1132" t="s">
        <v>54</v>
      </c>
      <c r="F1132" t="s">
        <v>55</v>
      </c>
      <c r="G1132" t="s">
        <v>35</v>
      </c>
      <c r="H1132" t="s">
        <v>38</v>
      </c>
      <c r="I1132">
        <v>120</v>
      </c>
    </row>
    <row r="1133" spans="1:9" ht="14.5" x14ac:dyDescent="0.35">
      <c r="A1133">
        <v>2</v>
      </c>
      <c r="B1133" t="s">
        <v>44</v>
      </c>
      <c r="C1133" t="s">
        <v>31</v>
      </c>
      <c r="D1133" t="s">
        <v>53</v>
      </c>
      <c r="E1133" t="s">
        <v>54</v>
      </c>
      <c r="F1133" t="s">
        <v>58</v>
      </c>
      <c r="G1133" t="s">
        <v>52</v>
      </c>
      <c r="H1133" t="s">
        <v>38</v>
      </c>
      <c r="I1133">
        <v>120</v>
      </c>
    </row>
    <row r="1134" spans="1:9" ht="14.5" x14ac:dyDescent="0.35">
      <c r="A1134">
        <v>2</v>
      </c>
      <c r="B1134" t="s">
        <v>44</v>
      </c>
      <c r="C1134" t="s">
        <v>85</v>
      </c>
      <c r="D1134" t="s">
        <v>86</v>
      </c>
      <c r="E1134" t="s">
        <v>87</v>
      </c>
      <c r="F1134" t="s">
        <v>91</v>
      </c>
      <c r="G1134" t="s">
        <v>35</v>
      </c>
      <c r="H1134" t="s">
        <v>38</v>
      </c>
      <c r="I1134">
        <v>120</v>
      </c>
    </row>
    <row r="1135" spans="1:9" ht="14.5" x14ac:dyDescent="0.35">
      <c r="A1135">
        <v>2</v>
      </c>
      <c r="B1135" t="s">
        <v>44</v>
      </c>
      <c r="C1135" t="s">
        <v>85</v>
      </c>
      <c r="D1135" t="s">
        <v>86</v>
      </c>
      <c r="E1135" t="s">
        <v>87</v>
      </c>
      <c r="F1135" t="s">
        <v>91</v>
      </c>
      <c r="G1135" t="s">
        <v>52</v>
      </c>
      <c r="H1135" t="s">
        <v>38</v>
      </c>
      <c r="I1135">
        <v>120</v>
      </c>
    </row>
    <row r="1136" spans="1:9" ht="14.5" x14ac:dyDescent="0.35">
      <c r="A1136">
        <v>2</v>
      </c>
      <c r="B1136" t="s">
        <v>44</v>
      </c>
      <c r="C1136" t="s">
        <v>85</v>
      </c>
      <c r="D1136" t="s">
        <v>92</v>
      </c>
      <c r="E1136" t="s">
        <v>93</v>
      </c>
      <c r="F1136" t="s">
        <v>96</v>
      </c>
      <c r="G1136" t="s">
        <v>52</v>
      </c>
      <c r="H1136" t="s">
        <v>38</v>
      </c>
      <c r="I1136">
        <v>120</v>
      </c>
    </row>
    <row r="1137" spans="1:9" ht="14.5" x14ac:dyDescent="0.35">
      <c r="A1137">
        <v>2</v>
      </c>
      <c r="B1137" t="s">
        <v>44</v>
      </c>
      <c r="C1137" t="s">
        <v>59</v>
      </c>
      <c r="D1137" t="s">
        <v>60</v>
      </c>
      <c r="E1137" t="s">
        <v>61</v>
      </c>
      <c r="F1137" t="s">
        <v>65</v>
      </c>
      <c r="G1137" t="s">
        <v>35</v>
      </c>
      <c r="H1137" t="s">
        <v>38</v>
      </c>
      <c r="I1137">
        <v>120</v>
      </c>
    </row>
    <row r="1138" spans="1:9" ht="14.5" x14ac:dyDescent="0.35">
      <c r="A1138">
        <v>2</v>
      </c>
      <c r="B1138" t="s">
        <v>44</v>
      </c>
      <c r="C1138" t="s">
        <v>59</v>
      </c>
      <c r="D1138" t="s">
        <v>66</v>
      </c>
      <c r="E1138" t="s">
        <v>67</v>
      </c>
      <c r="F1138" t="s">
        <v>70</v>
      </c>
      <c r="G1138" t="s">
        <v>52</v>
      </c>
      <c r="H1138" t="s">
        <v>38</v>
      </c>
      <c r="I1138">
        <v>120</v>
      </c>
    </row>
    <row r="1139" spans="1:9" ht="14.5" x14ac:dyDescent="0.35">
      <c r="A1139">
        <v>2</v>
      </c>
      <c r="B1139" t="s">
        <v>44</v>
      </c>
      <c r="C1139" t="s">
        <v>72</v>
      </c>
      <c r="D1139" t="s">
        <v>73</v>
      </c>
      <c r="E1139" t="s">
        <v>74</v>
      </c>
      <c r="F1139" t="s">
        <v>75</v>
      </c>
      <c r="G1139" t="s">
        <v>35</v>
      </c>
      <c r="H1139" t="s">
        <v>38</v>
      </c>
      <c r="I1139">
        <v>120</v>
      </c>
    </row>
    <row r="1140" spans="1:9" ht="14.5" x14ac:dyDescent="0.35">
      <c r="A1140">
        <v>2</v>
      </c>
      <c r="B1140" t="s">
        <v>44</v>
      </c>
      <c r="C1140" t="s">
        <v>72</v>
      </c>
      <c r="D1140" t="s">
        <v>73</v>
      </c>
      <c r="E1140" t="s">
        <v>74</v>
      </c>
      <c r="F1140" t="s">
        <v>75</v>
      </c>
      <c r="G1140" t="s">
        <v>52</v>
      </c>
      <c r="H1140" t="s">
        <v>38</v>
      </c>
      <c r="I1140">
        <v>120</v>
      </c>
    </row>
    <row r="1141" spans="1:9" ht="14.5" x14ac:dyDescent="0.35">
      <c r="A1141">
        <v>2</v>
      </c>
      <c r="B1141" t="s">
        <v>44</v>
      </c>
      <c r="C1141" t="s">
        <v>72</v>
      </c>
      <c r="D1141" t="s">
        <v>79</v>
      </c>
      <c r="E1141" t="s">
        <v>80</v>
      </c>
      <c r="F1141" t="s">
        <v>83</v>
      </c>
      <c r="G1141" t="s">
        <v>35</v>
      </c>
      <c r="H1141" t="s">
        <v>38</v>
      </c>
      <c r="I1141">
        <v>120</v>
      </c>
    </row>
    <row r="1142" spans="1:9" ht="14.5" x14ac:dyDescent="0.35">
      <c r="A1142">
        <v>2</v>
      </c>
      <c r="B1142" t="s">
        <v>44</v>
      </c>
      <c r="C1142" t="s">
        <v>72</v>
      </c>
      <c r="D1142" t="s">
        <v>79</v>
      </c>
      <c r="E1142" t="s">
        <v>80</v>
      </c>
      <c r="F1142" t="s">
        <v>84</v>
      </c>
      <c r="G1142" t="s">
        <v>35</v>
      </c>
      <c r="H1142" t="s">
        <v>38</v>
      </c>
      <c r="I1142">
        <v>120</v>
      </c>
    </row>
    <row r="1143" spans="1:9" ht="14.5" x14ac:dyDescent="0.35">
      <c r="A1143">
        <v>2</v>
      </c>
      <c r="B1143" t="s">
        <v>45</v>
      </c>
      <c r="C1143" t="s">
        <v>31</v>
      </c>
      <c r="D1143" t="s">
        <v>32</v>
      </c>
      <c r="E1143" t="s">
        <v>33</v>
      </c>
      <c r="F1143" t="s">
        <v>37</v>
      </c>
      <c r="G1143" t="s">
        <v>35</v>
      </c>
      <c r="H1143" t="s">
        <v>38</v>
      </c>
      <c r="I1143">
        <v>120</v>
      </c>
    </row>
    <row r="1144" spans="1:9" ht="14.5" x14ac:dyDescent="0.35">
      <c r="A1144">
        <v>2</v>
      </c>
      <c r="B1144" t="s">
        <v>45</v>
      </c>
      <c r="C1144" t="s">
        <v>85</v>
      </c>
      <c r="D1144" t="s">
        <v>86</v>
      </c>
      <c r="E1144" t="s">
        <v>87</v>
      </c>
      <c r="F1144" t="s">
        <v>89</v>
      </c>
      <c r="G1144" t="s">
        <v>35</v>
      </c>
      <c r="H1144" t="s">
        <v>38</v>
      </c>
      <c r="I1144">
        <v>120</v>
      </c>
    </row>
    <row r="1145" spans="1:9" ht="14.5" x14ac:dyDescent="0.35">
      <c r="A1145">
        <v>3</v>
      </c>
      <c r="B1145" t="s">
        <v>46</v>
      </c>
      <c r="C1145" t="s">
        <v>59</v>
      </c>
      <c r="D1145" t="s">
        <v>60</v>
      </c>
      <c r="E1145" t="s">
        <v>61</v>
      </c>
      <c r="F1145" t="s">
        <v>65</v>
      </c>
      <c r="G1145" t="s">
        <v>35</v>
      </c>
      <c r="H1145" t="s">
        <v>38</v>
      </c>
      <c r="I1145">
        <v>120</v>
      </c>
    </row>
    <row r="1146" spans="1:9" ht="14.5" x14ac:dyDescent="0.35">
      <c r="A1146">
        <v>3</v>
      </c>
      <c r="B1146" t="s">
        <v>46</v>
      </c>
      <c r="C1146" t="s">
        <v>72</v>
      </c>
      <c r="D1146" t="s">
        <v>79</v>
      </c>
      <c r="E1146" t="s">
        <v>80</v>
      </c>
      <c r="F1146" t="s">
        <v>81</v>
      </c>
      <c r="G1146" t="s">
        <v>52</v>
      </c>
      <c r="H1146" t="s">
        <v>38</v>
      </c>
      <c r="I1146">
        <v>120</v>
      </c>
    </row>
    <row r="1147" spans="1:9" ht="14.5" x14ac:dyDescent="0.35">
      <c r="A1147">
        <v>3</v>
      </c>
      <c r="B1147" t="s">
        <v>46</v>
      </c>
      <c r="C1147" t="s">
        <v>72</v>
      </c>
      <c r="D1147" t="s">
        <v>79</v>
      </c>
      <c r="E1147" t="s">
        <v>80</v>
      </c>
      <c r="F1147" t="s">
        <v>82</v>
      </c>
      <c r="G1147" t="s">
        <v>52</v>
      </c>
      <c r="H1147" t="s">
        <v>38</v>
      </c>
      <c r="I1147">
        <v>120</v>
      </c>
    </row>
    <row r="1148" spans="1:9" ht="14.5" x14ac:dyDescent="0.35">
      <c r="A1148">
        <v>3</v>
      </c>
      <c r="B1148" t="s">
        <v>47</v>
      </c>
      <c r="C1148" t="s">
        <v>31</v>
      </c>
      <c r="D1148" t="s">
        <v>32</v>
      </c>
      <c r="E1148" t="s">
        <v>33</v>
      </c>
      <c r="F1148" t="s">
        <v>40</v>
      </c>
      <c r="G1148" t="s">
        <v>35</v>
      </c>
      <c r="H1148" t="s">
        <v>38</v>
      </c>
      <c r="I1148">
        <v>120</v>
      </c>
    </row>
    <row r="1149" spans="1:9" ht="14.5" x14ac:dyDescent="0.35">
      <c r="A1149">
        <v>3</v>
      </c>
      <c r="B1149" t="s">
        <v>47</v>
      </c>
      <c r="C1149" t="s">
        <v>31</v>
      </c>
      <c r="D1149" t="s">
        <v>53</v>
      </c>
      <c r="E1149" t="s">
        <v>54</v>
      </c>
      <c r="F1149" t="s">
        <v>56</v>
      </c>
      <c r="G1149" t="s">
        <v>35</v>
      </c>
      <c r="H1149" t="s">
        <v>38</v>
      </c>
      <c r="I1149">
        <v>120</v>
      </c>
    </row>
    <row r="1150" spans="1:9" ht="14.5" x14ac:dyDescent="0.35">
      <c r="A1150">
        <v>3</v>
      </c>
      <c r="B1150" t="s">
        <v>47</v>
      </c>
      <c r="C1150" t="s">
        <v>85</v>
      </c>
      <c r="D1150" t="s">
        <v>92</v>
      </c>
      <c r="E1150" t="s">
        <v>93</v>
      </c>
      <c r="F1150" t="s">
        <v>97</v>
      </c>
      <c r="G1150" t="s">
        <v>52</v>
      </c>
      <c r="H1150" t="s">
        <v>38</v>
      </c>
      <c r="I1150">
        <v>120</v>
      </c>
    </row>
    <row r="1151" spans="1:9" ht="14.5" x14ac:dyDescent="0.35">
      <c r="A1151">
        <v>3</v>
      </c>
      <c r="B1151" t="s">
        <v>48</v>
      </c>
      <c r="C1151" t="s">
        <v>31</v>
      </c>
      <c r="D1151" t="s">
        <v>53</v>
      </c>
      <c r="E1151" t="s">
        <v>54</v>
      </c>
      <c r="F1151" t="s">
        <v>56</v>
      </c>
      <c r="G1151" t="s">
        <v>35</v>
      </c>
      <c r="H1151" t="s">
        <v>38</v>
      </c>
      <c r="I1151">
        <v>120</v>
      </c>
    </row>
    <row r="1152" spans="1:9" ht="14.5" x14ac:dyDescent="0.35">
      <c r="A1152">
        <v>3</v>
      </c>
      <c r="B1152" t="s">
        <v>48</v>
      </c>
      <c r="C1152" t="s">
        <v>85</v>
      </c>
      <c r="D1152" t="s">
        <v>92</v>
      </c>
      <c r="E1152" t="s">
        <v>93</v>
      </c>
      <c r="F1152" t="s">
        <v>94</v>
      </c>
      <c r="G1152" t="s">
        <v>35</v>
      </c>
      <c r="H1152" t="s">
        <v>38</v>
      </c>
      <c r="I1152">
        <v>120</v>
      </c>
    </row>
    <row r="1153" spans="1:9" ht="14.5" x14ac:dyDescent="0.35">
      <c r="A1153">
        <v>3</v>
      </c>
      <c r="B1153" t="s">
        <v>48</v>
      </c>
      <c r="C1153" t="s">
        <v>59</v>
      </c>
      <c r="D1153" t="s">
        <v>66</v>
      </c>
      <c r="E1153" t="s">
        <v>67</v>
      </c>
      <c r="F1153" t="s">
        <v>68</v>
      </c>
      <c r="G1153" t="s">
        <v>35</v>
      </c>
      <c r="H1153" t="s">
        <v>38</v>
      </c>
      <c r="I1153">
        <v>120</v>
      </c>
    </row>
    <row r="1154" spans="1:9" ht="14.5" x14ac:dyDescent="0.35">
      <c r="A1154">
        <v>3</v>
      </c>
      <c r="B1154" t="s">
        <v>48</v>
      </c>
      <c r="C1154" t="s">
        <v>59</v>
      </c>
      <c r="D1154" t="s">
        <v>66</v>
      </c>
      <c r="E1154" t="s">
        <v>67</v>
      </c>
      <c r="F1154" t="s">
        <v>69</v>
      </c>
      <c r="G1154" t="s">
        <v>35</v>
      </c>
      <c r="H1154" t="s">
        <v>38</v>
      </c>
      <c r="I1154">
        <v>120</v>
      </c>
    </row>
    <row r="1155" spans="1:9" ht="14.5" x14ac:dyDescent="0.35">
      <c r="A1155">
        <v>3</v>
      </c>
      <c r="B1155" t="s">
        <v>48</v>
      </c>
      <c r="C1155" t="s">
        <v>72</v>
      </c>
      <c r="D1155" t="s">
        <v>79</v>
      </c>
      <c r="E1155" t="s">
        <v>80</v>
      </c>
      <c r="F1155" t="s">
        <v>81</v>
      </c>
      <c r="G1155" t="s">
        <v>35</v>
      </c>
      <c r="H1155" t="s">
        <v>38</v>
      </c>
      <c r="I1155">
        <v>120</v>
      </c>
    </row>
    <row r="1156" spans="1:9" ht="14.5" x14ac:dyDescent="0.35">
      <c r="A1156">
        <v>4</v>
      </c>
      <c r="B1156" t="s">
        <v>49</v>
      </c>
      <c r="C1156" t="s">
        <v>59</v>
      </c>
      <c r="D1156" t="s">
        <v>60</v>
      </c>
      <c r="E1156" t="s">
        <v>61</v>
      </c>
      <c r="F1156" t="s">
        <v>62</v>
      </c>
      <c r="G1156" t="s">
        <v>35</v>
      </c>
      <c r="H1156" t="s">
        <v>38</v>
      </c>
      <c r="I1156">
        <v>120</v>
      </c>
    </row>
    <row r="1157" spans="1:9" ht="14.5" x14ac:dyDescent="0.35">
      <c r="A1157">
        <v>4</v>
      </c>
      <c r="B1157" t="s">
        <v>49</v>
      </c>
      <c r="C1157" t="s">
        <v>72</v>
      </c>
      <c r="D1157" t="s">
        <v>73</v>
      </c>
      <c r="E1157" t="s">
        <v>74</v>
      </c>
      <c r="F1157" t="s">
        <v>76</v>
      </c>
      <c r="G1157" t="s">
        <v>52</v>
      </c>
      <c r="H1157" t="s">
        <v>38</v>
      </c>
      <c r="I1157">
        <v>120</v>
      </c>
    </row>
    <row r="1158" spans="1:9" ht="14.5" x14ac:dyDescent="0.35">
      <c r="A1158">
        <v>4</v>
      </c>
      <c r="B1158" t="s">
        <v>49</v>
      </c>
      <c r="C1158" t="s">
        <v>72</v>
      </c>
      <c r="D1158" t="s">
        <v>73</v>
      </c>
      <c r="E1158" t="s">
        <v>74</v>
      </c>
      <c r="F1158" t="s">
        <v>77</v>
      </c>
      <c r="G1158" t="s">
        <v>52</v>
      </c>
      <c r="H1158" t="s">
        <v>38</v>
      </c>
      <c r="I1158">
        <v>120</v>
      </c>
    </row>
    <row r="1159" spans="1:9" ht="14.5" x14ac:dyDescent="0.35">
      <c r="A1159">
        <v>4</v>
      </c>
      <c r="B1159" t="s">
        <v>49</v>
      </c>
      <c r="C1159" t="s">
        <v>72</v>
      </c>
      <c r="D1159" t="s">
        <v>79</v>
      </c>
      <c r="E1159" t="s">
        <v>80</v>
      </c>
      <c r="F1159" t="s">
        <v>81</v>
      </c>
      <c r="G1159" t="s">
        <v>52</v>
      </c>
      <c r="H1159" t="s">
        <v>38</v>
      </c>
      <c r="I1159">
        <v>120</v>
      </c>
    </row>
    <row r="1160" spans="1:9" ht="14.5" x14ac:dyDescent="0.35">
      <c r="A1160">
        <v>4</v>
      </c>
      <c r="B1160" t="s">
        <v>50</v>
      </c>
      <c r="C1160" t="s">
        <v>31</v>
      </c>
      <c r="D1160" t="s">
        <v>32</v>
      </c>
      <c r="E1160" t="s">
        <v>33</v>
      </c>
      <c r="F1160" t="s">
        <v>40</v>
      </c>
      <c r="G1160" t="s">
        <v>52</v>
      </c>
      <c r="H1160" t="s">
        <v>38</v>
      </c>
      <c r="I1160">
        <v>120</v>
      </c>
    </row>
    <row r="1161" spans="1:9" ht="14.5" x14ac:dyDescent="0.35">
      <c r="A1161">
        <v>4</v>
      </c>
      <c r="B1161" t="s">
        <v>50</v>
      </c>
      <c r="C1161" t="s">
        <v>31</v>
      </c>
      <c r="D1161" t="s">
        <v>32</v>
      </c>
      <c r="E1161" t="s">
        <v>33</v>
      </c>
      <c r="F1161" t="s">
        <v>34</v>
      </c>
      <c r="G1161" t="s">
        <v>35</v>
      </c>
      <c r="H1161" t="s">
        <v>38</v>
      </c>
      <c r="I1161">
        <v>120</v>
      </c>
    </row>
    <row r="1162" spans="1:9" ht="14.5" x14ac:dyDescent="0.35">
      <c r="A1162">
        <v>4</v>
      </c>
      <c r="B1162" t="s">
        <v>50</v>
      </c>
      <c r="C1162" t="s">
        <v>31</v>
      </c>
      <c r="D1162" t="s">
        <v>53</v>
      </c>
      <c r="E1162" t="s">
        <v>54</v>
      </c>
      <c r="F1162" t="s">
        <v>55</v>
      </c>
      <c r="G1162" t="s">
        <v>35</v>
      </c>
      <c r="H1162" t="s">
        <v>38</v>
      </c>
      <c r="I1162">
        <v>120</v>
      </c>
    </row>
    <row r="1163" spans="1:9" ht="14.5" x14ac:dyDescent="0.35">
      <c r="A1163">
        <v>4</v>
      </c>
      <c r="B1163" t="s">
        <v>50</v>
      </c>
      <c r="C1163" t="s">
        <v>85</v>
      </c>
      <c r="D1163" t="s">
        <v>86</v>
      </c>
      <c r="E1163" t="s">
        <v>87</v>
      </c>
      <c r="F1163" t="s">
        <v>88</v>
      </c>
      <c r="G1163" t="s">
        <v>52</v>
      </c>
      <c r="H1163" t="s">
        <v>38</v>
      </c>
      <c r="I1163">
        <v>120</v>
      </c>
    </row>
    <row r="1164" spans="1:9" ht="14.5" x14ac:dyDescent="0.35">
      <c r="A1164">
        <v>4</v>
      </c>
      <c r="B1164" t="s">
        <v>50</v>
      </c>
      <c r="C1164" t="s">
        <v>85</v>
      </c>
      <c r="D1164" t="s">
        <v>92</v>
      </c>
      <c r="E1164" t="s">
        <v>93</v>
      </c>
      <c r="F1164" t="s">
        <v>94</v>
      </c>
      <c r="G1164" t="s">
        <v>52</v>
      </c>
      <c r="H1164" t="s">
        <v>38</v>
      </c>
      <c r="I1164">
        <v>120</v>
      </c>
    </row>
    <row r="1165" spans="1:9" ht="14.5" x14ac:dyDescent="0.35">
      <c r="A1165">
        <v>4</v>
      </c>
      <c r="B1165" t="s">
        <v>50</v>
      </c>
      <c r="C1165" t="s">
        <v>72</v>
      </c>
      <c r="D1165" t="s">
        <v>79</v>
      </c>
      <c r="E1165" t="s">
        <v>80</v>
      </c>
      <c r="F1165" t="s">
        <v>81</v>
      </c>
      <c r="G1165" t="s">
        <v>35</v>
      </c>
      <c r="H1165" t="s">
        <v>38</v>
      </c>
      <c r="I1165">
        <v>120</v>
      </c>
    </row>
    <row r="1166" spans="1:9" ht="14.5" x14ac:dyDescent="0.35">
      <c r="A1166">
        <v>4</v>
      </c>
      <c r="B1166" t="s">
        <v>51</v>
      </c>
      <c r="C1166" t="s">
        <v>31</v>
      </c>
      <c r="D1166" t="s">
        <v>32</v>
      </c>
      <c r="E1166" t="s">
        <v>33</v>
      </c>
      <c r="F1166" t="s">
        <v>34</v>
      </c>
      <c r="G1166" t="s">
        <v>35</v>
      </c>
      <c r="H1166" t="s">
        <v>38</v>
      </c>
      <c r="I1166">
        <v>120</v>
      </c>
    </row>
    <row r="1167" spans="1:9" ht="14.5" x14ac:dyDescent="0.35">
      <c r="A1167">
        <v>4</v>
      </c>
      <c r="B1167" t="s">
        <v>51</v>
      </c>
      <c r="C1167" t="s">
        <v>85</v>
      </c>
      <c r="D1167" t="s">
        <v>86</v>
      </c>
      <c r="E1167" t="s">
        <v>87</v>
      </c>
      <c r="F1167" t="s">
        <v>89</v>
      </c>
      <c r="G1167" t="s">
        <v>52</v>
      </c>
      <c r="H1167" t="s">
        <v>38</v>
      </c>
      <c r="I1167">
        <v>120</v>
      </c>
    </row>
    <row r="1168" spans="1:9" ht="14.5" x14ac:dyDescent="0.35">
      <c r="A1168">
        <v>4</v>
      </c>
      <c r="B1168" t="s">
        <v>51</v>
      </c>
      <c r="C1168" t="s">
        <v>85</v>
      </c>
      <c r="D1168" t="s">
        <v>86</v>
      </c>
      <c r="E1168" t="s">
        <v>87</v>
      </c>
      <c r="F1168" t="s">
        <v>90</v>
      </c>
      <c r="G1168" t="s">
        <v>35</v>
      </c>
      <c r="H1168" t="s">
        <v>38</v>
      </c>
      <c r="I1168">
        <v>120</v>
      </c>
    </row>
    <row r="1169" spans="1:9" ht="14.5" x14ac:dyDescent="0.35">
      <c r="A1169">
        <v>4</v>
      </c>
      <c r="B1169" t="s">
        <v>51</v>
      </c>
      <c r="C1169" t="s">
        <v>59</v>
      </c>
      <c r="D1169" t="s">
        <v>60</v>
      </c>
      <c r="E1169" t="s">
        <v>61</v>
      </c>
      <c r="F1169" t="s">
        <v>65</v>
      </c>
      <c r="G1169" t="s">
        <v>52</v>
      </c>
      <c r="H1169" t="s">
        <v>38</v>
      </c>
      <c r="I1169">
        <v>120</v>
      </c>
    </row>
    <row r="1170" spans="1:9" ht="14.5" x14ac:dyDescent="0.35">
      <c r="A1170">
        <v>1</v>
      </c>
      <c r="B1170" t="s">
        <v>30</v>
      </c>
      <c r="C1170" t="s">
        <v>31</v>
      </c>
      <c r="D1170" t="s">
        <v>53</v>
      </c>
      <c r="E1170" t="s">
        <v>54</v>
      </c>
      <c r="F1170" t="s">
        <v>56</v>
      </c>
      <c r="G1170" t="s">
        <v>52</v>
      </c>
      <c r="H1170" t="s">
        <v>38</v>
      </c>
      <c r="I1170">
        <v>130</v>
      </c>
    </row>
    <row r="1171" spans="1:9" ht="14.5" x14ac:dyDescent="0.35">
      <c r="A1171">
        <v>1</v>
      </c>
      <c r="B1171" t="s">
        <v>30</v>
      </c>
      <c r="C1171" t="s">
        <v>59</v>
      </c>
      <c r="D1171" t="s">
        <v>66</v>
      </c>
      <c r="E1171" t="s">
        <v>67</v>
      </c>
      <c r="F1171" t="s">
        <v>69</v>
      </c>
      <c r="G1171" t="s">
        <v>52</v>
      </c>
      <c r="H1171" t="s">
        <v>38</v>
      </c>
      <c r="I1171">
        <v>130</v>
      </c>
    </row>
    <row r="1172" spans="1:9" ht="14.5" x14ac:dyDescent="0.35">
      <c r="A1172">
        <v>1</v>
      </c>
      <c r="B1172" t="s">
        <v>30</v>
      </c>
      <c r="C1172" t="s">
        <v>72</v>
      </c>
      <c r="D1172" t="s">
        <v>79</v>
      </c>
      <c r="E1172" t="s">
        <v>80</v>
      </c>
      <c r="F1172" t="s">
        <v>84</v>
      </c>
      <c r="G1172" t="s">
        <v>52</v>
      </c>
      <c r="H1172" t="s">
        <v>38</v>
      </c>
      <c r="I1172">
        <v>130</v>
      </c>
    </row>
    <row r="1173" spans="1:9" ht="14.5" x14ac:dyDescent="0.35">
      <c r="A1173">
        <v>1</v>
      </c>
      <c r="B1173" t="s">
        <v>41</v>
      </c>
      <c r="C1173" t="s">
        <v>31</v>
      </c>
      <c r="D1173" t="s">
        <v>53</v>
      </c>
      <c r="E1173" t="s">
        <v>54</v>
      </c>
      <c r="F1173" t="s">
        <v>55</v>
      </c>
      <c r="G1173" t="s">
        <v>35</v>
      </c>
      <c r="H1173" t="s">
        <v>38</v>
      </c>
      <c r="I1173">
        <v>130</v>
      </c>
    </row>
    <row r="1174" spans="1:9" ht="14.5" x14ac:dyDescent="0.35">
      <c r="A1174">
        <v>1</v>
      </c>
      <c r="B1174" t="s">
        <v>41</v>
      </c>
      <c r="C1174" t="s">
        <v>31</v>
      </c>
      <c r="D1174" t="s">
        <v>53</v>
      </c>
      <c r="E1174" t="s">
        <v>54</v>
      </c>
      <c r="F1174" t="s">
        <v>56</v>
      </c>
      <c r="G1174" t="s">
        <v>35</v>
      </c>
      <c r="H1174" t="s">
        <v>38</v>
      </c>
      <c r="I1174">
        <v>130</v>
      </c>
    </row>
    <row r="1175" spans="1:9" ht="14.5" x14ac:dyDescent="0.35">
      <c r="A1175">
        <v>1</v>
      </c>
      <c r="B1175" t="s">
        <v>41</v>
      </c>
      <c r="C1175" t="s">
        <v>31</v>
      </c>
      <c r="D1175" t="s">
        <v>53</v>
      </c>
      <c r="E1175" t="s">
        <v>54</v>
      </c>
      <c r="F1175" t="s">
        <v>58</v>
      </c>
      <c r="G1175" t="s">
        <v>52</v>
      </c>
      <c r="H1175" t="s">
        <v>38</v>
      </c>
      <c r="I1175">
        <v>130</v>
      </c>
    </row>
    <row r="1176" spans="1:9" ht="14.5" x14ac:dyDescent="0.35">
      <c r="A1176">
        <v>1</v>
      </c>
      <c r="B1176" t="s">
        <v>41</v>
      </c>
      <c r="C1176" t="s">
        <v>85</v>
      </c>
      <c r="D1176" t="s">
        <v>86</v>
      </c>
      <c r="E1176" t="s">
        <v>87</v>
      </c>
      <c r="F1176" t="s">
        <v>89</v>
      </c>
      <c r="G1176" t="s">
        <v>35</v>
      </c>
      <c r="H1176" t="s">
        <v>38</v>
      </c>
      <c r="I1176">
        <v>130</v>
      </c>
    </row>
    <row r="1177" spans="1:9" ht="14.5" x14ac:dyDescent="0.35">
      <c r="A1177">
        <v>1</v>
      </c>
      <c r="B1177" t="s">
        <v>41</v>
      </c>
      <c r="C1177" t="s">
        <v>85</v>
      </c>
      <c r="D1177" t="s">
        <v>92</v>
      </c>
      <c r="E1177" t="s">
        <v>93</v>
      </c>
      <c r="F1177" t="s">
        <v>96</v>
      </c>
      <c r="G1177" t="s">
        <v>52</v>
      </c>
      <c r="H1177" t="s">
        <v>38</v>
      </c>
      <c r="I1177">
        <v>130</v>
      </c>
    </row>
    <row r="1178" spans="1:9" ht="14.5" x14ac:dyDescent="0.35">
      <c r="A1178">
        <v>1</v>
      </c>
      <c r="B1178" t="s">
        <v>41</v>
      </c>
      <c r="C1178" t="s">
        <v>59</v>
      </c>
      <c r="D1178" t="s">
        <v>60</v>
      </c>
      <c r="E1178" t="s">
        <v>61</v>
      </c>
      <c r="F1178" t="s">
        <v>64</v>
      </c>
      <c r="G1178" t="s">
        <v>52</v>
      </c>
      <c r="H1178" t="s">
        <v>38</v>
      </c>
      <c r="I1178">
        <v>130</v>
      </c>
    </row>
    <row r="1179" spans="1:9" ht="14.5" x14ac:dyDescent="0.35">
      <c r="A1179">
        <v>1</v>
      </c>
      <c r="B1179" t="s">
        <v>41</v>
      </c>
      <c r="C1179" t="s">
        <v>72</v>
      </c>
      <c r="D1179" t="s">
        <v>73</v>
      </c>
      <c r="E1179" t="s">
        <v>74</v>
      </c>
      <c r="F1179" t="s">
        <v>76</v>
      </c>
      <c r="G1179" t="s">
        <v>52</v>
      </c>
      <c r="H1179" t="s">
        <v>38</v>
      </c>
      <c r="I1179">
        <v>130</v>
      </c>
    </row>
    <row r="1180" spans="1:9" ht="14.5" x14ac:dyDescent="0.35">
      <c r="A1180">
        <v>1</v>
      </c>
      <c r="B1180" t="s">
        <v>41</v>
      </c>
      <c r="C1180" t="s">
        <v>72</v>
      </c>
      <c r="D1180" t="s">
        <v>79</v>
      </c>
      <c r="E1180" t="s">
        <v>80</v>
      </c>
      <c r="F1180" t="s">
        <v>82</v>
      </c>
      <c r="G1180" t="s">
        <v>35</v>
      </c>
      <c r="H1180" t="s">
        <v>38</v>
      </c>
      <c r="I1180">
        <v>130</v>
      </c>
    </row>
    <row r="1181" spans="1:9" ht="14.5" x14ac:dyDescent="0.35">
      <c r="A1181">
        <v>1</v>
      </c>
      <c r="B1181" t="s">
        <v>42</v>
      </c>
      <c r="C1181" t="s">
        <v>85</v>
      </c>
      <c r="D1181" t="s">
        <v>86</v>
      </c>
      <c r="E1181" t="s">
        <v>87</v>
      </c>
      <c r="F1181" t="s">
        <v>88</v>
      </c>
      <c r="G1181" t="s">
        <v>52</v>
      </c>
      <c r="H1181" t="s">
        <v>38</v>
      </c>
      <c r="I1181">
        <v>130</v>
      </c>
    </row>
    <row r="1182" spans="1:9" ht="14.5" x14ac:dyDescent="0.35">
      <c r="A1182">
        <v>1</v>
      </c>
      <c r="B1182" t="s">
        <v>42</v>
      </c>
      <c r="C1182" t="s">
        <v>85</v>
      </c>
      <c r="D1182" t="s">
        <v>86</v>
      </c>
      <c r="E1182" t="s">
        <v>87</v>
      </c>
      <c r="F1182" t="s">
        <v>90</v>
      </c>
      <c r="G1182" t="s">
        <v>35</v>
      </c>
      <c r="H1182" t="s">
        <v>38</v>
      </c>
      <c r="I1182">
        <v>130</v>
      </c>
    </row>
    <row r="1183" spans="1:9" ht="14.5" x14ac:dyDescent="0.35">
      <c r="A1183">
        <v>1</v>
      </c>
      <c r="B1183" t="s">
        <v>42</v>
      </c>
      <c r="C1183" t="s">
        <v>59</v>
      </c>
      <c r="D1183" t="s">
        <v>60</v>
      </c>
      <c r="E1183" t="s">
        <v>61</v>
      </c>
      <c r="F1183" t="s">
        <v>64</v>
      </c>
      <c r="G1183" t="s">
        <v>35</v>
      </c>
      <c r="H1183" t="s">
        <v>38</v>
      </c>
      <c r="I1183">
        <v>130</v>
      </c>
    </row>
    <row r="1184" spans="1:9" ht="14.5" x14ac:dyDescent="0.35">
      <c r="A1184">
        <v>1</v>
      </c>
      <c r="B1184" t="s">
        <v>42</v>
      </c>
      <c r="C1184" t="s">
        <v>59</v>
      </c>
      <c r="D1184" t="s">
        <v>66</v>
      </c>
      <c r="E1184" t="s">
        <v>67</v>
      </c>
      <c r="F1184" t="s">
        <v>70</v>
      </c>
      <c r="G1184" t="s">
        <v>52</v>
      </c>
      <c r="H1184" t="s">
        <v>38</v>
      </c>
      <c r="I1184">
        <v>130</v>
      </c>
    </row>
    <row r="1185" spans="1:9" ht="14.5" x14ac:dyDescent="0.35">
      <c r="A1185">
        <v>1</v>
      </c>
      <c r="B1185" t="s">
        <v>42</v>
      </c>
      <c r="C1185" t="s">
        <v>59</v>
      </c>
      <c r="D1185" t="s">
        <v>66</v>
      </c>
      <c r="E1185" t="s">
        <v>67</v>
      </c>
      <c r="F1185" t="s">
        <v>71</v>
      </c>
      <c r="G1185" t="s">
        <v>35</v>
      </c>
      <c r="H1185" t="s">
        <v>38</v>
      </c>
      <c r="I1185">
        <v>130</v>
      </c>
    </row>
    <row r="1186" spans="1:9" ht="14.5" x14ac:dyDescent="0.35">
      <c r="A1186">
        <v>1</v>
      </c>
      <c r="B1186" t="s">
        <v>42</v>
      </c>
      <c r="C1186" t="s">
        <v>72</v>
      </c>
      <c r="D1186" t="s">
        <v>73</v>
      </c>
      <c r="E1186" t="s">
        <v>74</v>
      </c>
      <c r="F1186" t="s">
        <v>76</v>
      </c>
      <c r="G1186" t="s">
        <v>52</v>
      </c>
      <c r="H1186" t="s">
        <v>38</v>
      </c>
      <c r="I1186">
        <v>130</v>
      </c>
    </row>
    <row r="1187" spans="1:9" ht="14.5" x14ac:dyDescent="0.35">
      <c r="A1187">
        <v>2</v>
      </c>
      <c r="B1187" t="s">
        <v>43</v>
      </c>
      <c r="C1187" t="s">
        <v>31</v>
      </c>
      <c r="D1187" t="s">
        <v>32</v>
      </c>
      <c r="E1187" t="s">
        <v>33</v>
      </c>
      <c r="F1187" t="s">
        <v>37</v>
      </c>
      <c r="G1187" t="s">
        <v>35</v>
      </c>
      <c r="H1187" t="s">
        <v>38</v>
      </c>
      <c r="I1187">
        <v>130</v>
      </c>
    </row>
    <row r="1188" spans="1:9" ht="14.5" x14ac:dyDescent="0.35">
      <c r="A1188">
        <v>2</v>
      </c>
      <c r="B1188" t="s">
        <v>43</v>
      </c>
      <c r="C1188" t="s">
        <v>31</v>
      </c>
      <c r="D1188" t="s">
        <v>53</v>
      </c>
      <c r="E1188" t="s">
        <v>54</v>
      </c>
      <c r="F1188" t="s">
        <v>57</v>
      </c>
      <c r="G1188" t="s">
        <v>52</v>
      </c>
      <c r="H1188" t="s">
        <v>38</v>
      </c>
      <c r="I1188">
        <v>130</v>
      </c>
    </row>
    <row r="1189" spans="1:9" ht="14.5" x14ac:dyDescent="0.35">
      <c r="A1189">
        <v>2</v>
      </c>
      <c r="B1189" t="s">
        <v>43</v>
      </c>
      <c r="C1189" t="s">
        <v>85</v>
      </c>
      <c r="D1189" t="s">
        <v>86</v>
      </c>
      <c r="E1189" t="s">
        <v>87</v>
      </c>
      <c r="F1189" t="s">
        <v>91</v>
      </c>
      <c r="G1189" t="s">
        <v>52</v>
      </c>
      <c r="H1189" t="s">
        <v>38</v>
      </c>
      <c r="I1189">
        <v>130</v>
      </c>
    </row>
    <row r="1190" spans="1:9" ht="14.5" x14ac:dyDescent="0.35">
      <c r="A1190">
        <v>2</v>
      </c>
      <c r="B1190" t="s">
        <v>43</v>
      </c>
      <c r="C1190" t="s">
        <v>85</v>
      </c>
      <c r="D1190" t="s">
        <v>92</v>
      </c>
      <c r="E1190" t="s">
        <v>93</v>
      </c>
      <c r="F1190" t="s">
        <v>94</v>
      </c>
      <c r="G1190" t="s">
        <v>52</v>
      </c>
      <c r="H1190" t="s">
        <v>38</v>
      </c>
      <c r="I1190">
        <v>130</v>
      </c>
    </row>
    <row r="1191" spans="1:9" ht="14.5" x14ac:dyDescent="0.35">
      <c r="A1191">
        <v>2</v>
      </c>
      <c r="B1191" t="s">
        <v>43</v>
      </c>
      <c r="C1191" t="s">
        <v>59</v>
      </c>
      <c r="D1191" t="s">
        <v>60</v>
      </c>
      <c r="E1191" t="s">
        <v>61</v>
      </c>
      <c r="F1191" t="s">
        <v>65</v>
      </c>
      <c r="G1191" t="s">
        <v>52</v>
      </c>
      <c r="H1191" t="s">
        <v>38</v>
      </c>
      <c r="I1191">
        <v>130</v>
      </c>
    </row>
    <row r="1192" spans="1:9" ht="14.5" x14ac:dyDescent="0.35">
      <c r="A1192">
        <v>2</v>
      </c>
      <c r="B1192" t="s">
        <v>43</v>
      </c>
      <c r="C1192" t="s">
        <v>72</v>
      </c>
      <c r="D1192" t="s">
        <v>73</v>
      </c>
      <c r="E1192" t="s">
        <v>74</v>
      </c>
      <c r="F1192" t="s">
        <v>77</v>
      </c>
      <c r="G1192" t="s">
        <v>52</v>
      </c>
      <c r="H1192" t="s">
        <v>38</v>
      </c>
      <c r="I1192">
        <v>130</v>
      </c>
    </row>
    <row r="1193" spans="1:9" ht="14.5" x14ac:dyDescent="0.35">
      <c r="A1193">
        <v>2</v>
      </c>
      <c r="B1193" t="s">
        <v>44</v>
      </c>
      <c r="C1193" t="s">
        <v>59</v>
      </c>
      <c r="D1193" t="s">
        <v>66</v>
      </c>
      <c r="E1193" t="s">
        <v>67</v>
      </c>
      <c r="F1193" t="s">
        <v>68</v>
      </c>
      <c r="G1193" t="s">
        <v>35</v>
      </c>
      <c r="H1193" t="s">
        <v>38</v>
      </c>
      <c r="I1193">
        <v>130</v>
      </c>
    </row>
    <row r="1194" spans="1:9" ht="14.5" x14ac:dyDescent="0.35">
      <c r="A1194">
        <v>2</v>
      </c>
      <c r="B1194" t="s">
        <v>45</v>
      </c>
      <c r="C1194" t="s">
        <v>31</v>
      </c>
      <c r="D1194" t="s">
        <v>53</v>
      </c>
      <c r="E1194" t="s">
        <v>54</v>
      </c>
      <c r="F1194" t="s">
        <v>57</v>
      </c>
      <c r="G1194" t="s">
        <v>35</v>
      </c>
      <c r="H1194" t="s">
        <v>38</v>
      </c>
      <c r="I1194">
        <v>130</v>
      </c>
    </row>
    <row r="1195" spans="1:9" ht="14.5" x14ac:dyDescent="0.35">
      <c r="A1195">
        <v>2</v>
      </c>
      <c r="B1195" t="s">
        <v>45</v>
      </c>
      <c r="C1195" t="s">
        <v>85</v>
      </c>
      <c r="D1195" t="s">
        <v>86</v>
      </c>
      <c r="E1195" t="s">
        <v>87</v>
      </c>
      <c r="F1195" t="s">
        <v>90</v>
      </c>
      <c r="G1195" t="s">
        <v>52</v>
      </c>
      <c r="H1195" t="s">
        <v>38</v>
      </c>
      <c r="I1195">
        <v>130</v>
      </c>
    </row>
    <row r="1196" spans="1:9" ht="14.5" x14ac:dyDescent="0.35">
      <c r="A1196">
        <v>2</v>
      </c>
      <c r="B1196" t="s">
        <v>45</v>
      </c>
      <c r="C1196" t="s">
        <v>59</v>
      </c>
      <c r="D1196" t="s">
        <v>66</v>
      </c>
      <c r="E1196" t="s">
        <v>67</v>
      </c>
      <c r="F1196" t="s">
        <v>70</v>
      </c>
      <c r="G1196" t="s">
        <v>35</v>
      </c>
      <c r="H1196" t="s">
        <v>38</v>
      </c>
      <c r="I1196">
        <v>130</v>
      </c>
    </row>
    <row r="1197" spans="1:9" ht="14.5" x14ac:dyDescent="0.35">
      <c r="A1197">
        <v>3</v>
      </c>
      <c r="B1197" t="s">
        <v>46</v>
      </c>
      <c r="C1197" t="s">
        <v>85</v>
      </c>
      <c r="D1197" t="s">
        <v>92</v>
      </c>
      <c r="E1197" t="s">
        <v>93</v>
      </c>
      <c r="F1197" t="s">
        <v>96</v>
      </c>
      <c r="G1197" t="s">
        <v>52</v>
      </c>
      <c r="H1197" t="s">
        <v>38</v>
      </c>
      <c r="I1197">
        <v>130</v>
      </c>
    </row>
    <row r="1198" spans="1:9" ht="14.5" x14ac:dyDescent="0.35">
      <c r="A1198">
        <v>3</v>
      </c>
      <c r="B1198" t="s">
        <v>46</v>
      </c>
      <c r="C1198" t="s">
        <v>85</v>
      </c>
      <c r="D1198" t="s">
        <v>92</v>
      </c>
      <c r="E1198" t="s">
        <v>93</v>
      </c>
      <c r="F1198" t="s">
        <v>97</v>
      </c>
      <c r="G1198" t="s">
        <v>52</v>
      </c>
      <c r="H1198" t="s">
        <v>38</v>
      </c>
      <c r="I1198">
        <v>130</v>
      </c>
    </row>
    <row r="1199" spans="1:9" ht="14.5" x14ac:dyDescent="0.35">
      <c r="A1199">
        <v>3</v>
      </c>
      <c r="B1199" t="s">
        <v>46</v>
      </c>
      <c r="C1199" t="s">
        <v>59</v>
      </c>
      <c r="D1199" t="s">
        <v>60</v>
      </c>
      <c r="E1199" t="s">
        <v>61</v>
      </c>
      <c r="F1199" t="s">
        <v>63</v>
      </c>
      <c r="G1199" t="s">
        <v>35</v>
      </c>
      <c r="H1199" t="s">
        <v>38</v>
      </c>
      <c r="I1199">
        <v>130</v>
      </c>
    </row>
    <row r="1200" spans="1:9" ht="14.5" x14ac:dyDescent="0.35">
      <c r="A1200">
        <v>3</v>
      </c>
      <c r="B1200" t="s">
        <v>46</v>
      </c>
      <c r="C1200" t="s">
        <v>72</v>
      </c>
      <c r="D1200" t="s">
        <v>73</v>
      </c>
      <c r="E1200" t="s">
        <v>74</v>
      </c>
      <c r="F1200" t="s">
        <v>77</v>
      </c>
      <c r="G1200" t="s">
        <v>52</v>
      </c>
      <c r="H1200" t="s">
        <v>38</v>
      </c>
      <c r="I1200">
        <v>130</v>
      </c>
    </row>
    <row r="1201" spans="1:9" ht="14.5" x14ac:dyDescent="0.35">
      <c r="A1201">
        <v>3</v>
      </c>
      <c r="B1201" t="s">
        <v>47</v>
      </c>
      <c r="C1201" t="s">
        <v>31</v>
      </c>
      <c r="D1201" t="s">
        <v>32</v>
      </c>
      <c r="E1201" t="s">
        <v>33</v>
      </c>
      <c r="F1201" t="s">
        <v>37</v>
      </c>
      <c r="G1201" t="s">
        <v>52</v>
      </c>
      <c r="H1201" t="s">
        <v>38</v>
      </c>
      <c r="I1201">
        <v>130</v>
      </c>
    </row>
    <row r="1202" spans="1:9" ht="14.5" x14ac:dyDescent="0.35">
      <c r="A1202">
        <v>3</v>
      </c>
      <c r="B1202" t="s">
        <v>47</v>
      </c>
      <c r="C1202" t="s">
        <v>31</v>
      </c>
      <c r="D1202" t="s">
        <v>32</v>
      </c>
      <c r="E1202" t="s">
        <v>33</v>
      </c>
      <c r="F1202" t="s">
        <v>39</v>
      </c>
      <c r="G1202" t="s">
        <v>35</v>
      </c>
      <c r="H1202" t="s">
        <v>38</v>
      </c>
      <c r="I1202">
        <v>130</v>
      </c>
    </row>
    <row r="1203" spans="1:9" ht="14.5" x14ac:dyDescent="0.35">
      <c r="A1203">
        <v>3</v>
      </c>
      <c r="B1203" t="s">
        <v>47</v>
      </c>
      <c r="C1203" t="s">
        <v>31</v>
      </c>
      <c r="D1203" t="s">
        <v>53</v>
      </c>
      <c r="E1203" t="s">
        <v>54</v>
      </c>
      <c r="F1203" t="s">
        <v>57</v>
      </c>
      <c r="G1203" t="s">
        <v>52</v>
      </c>
      <c r="H1203" t="s">
        <v>38</v>
      </c>
      <c r="I1203">
        <v>130</v>
      </c>
    </row>
    <row r="1204" spans="1:9" ht="14.5" x14ac:dyDescent="0.35">
      <c r="A1204">
        <v>3</v>
      </c>
      <c r="B1204" t="s">
        <v>47</v>
      </c>
      <c r="C1204" t="s">
        <v>59</v>
      </c>
      <c r="D1204" t="s">
        <v>60</v>
      </c>
      <c r="E1204" t="s">
        <v>61</v>
      </c>
      <c r="F1204" t="s">
        <v>63</v>
      </c>
      <c r="G1204" t="s">
        <v>35</v>
      </c>
      <c r="H1204" t="s">
        <v>38</v>
      </c>
      <c r="I1204">
        <v>130</v>
      </c>
    </row>
    <row r="1205" spans="1:9" ht="14.5" x14ac:dyDescent="0.35">
      <c r="A1205">
        <v>3</v>
      </c>
      <c r="B1205" t="s">
        <v>47</v>
      </c>
      <c r="C1205" t="s">
        <v>59</v>
      </c>
      <c r="D1205" t="s">
        <v>60</v>
      </c>
      <c r="E1205" t="s">
        <v>61</v>
      </c>
      <c r="F1205" t="s">
        <v>64</v>
      </c>
      <c r="G1205" t="s">
        <v>35</v>
      </c>
      <c r="H1205" t="s">
        <v>38</v>
      </c>
      <c r="I1205">
        <v>130</v>
      </c>
    </row>
    <row r="1206" spans="1:9" ht="14.5" x14ac:dyDescent="0.35">
      <c r="A1206">
        <v>3</v>
      </c>
      <c r="B1206" t="s">
        <v>47</v>
      </c>
      <c r="C1206" t="s">
        <v>72</v>
      </c>
      <c r="D1206" t="s">
        <v>79</v>
      </c>
      <c r="E1206" t="s">
        <v>80</v>
      </c>
      <c r="F1206" t="s">
        <v>83</v>
      </c>
      <c r="G1206" t="s">
        <v>35</v>
      </c>
      <c r="H1206" t="s">
        <v>38</v>
      </c>
      <c r="I1206">
        <v>130</v>
      </c>
    </row>
    <row r="1207" spans="1:9" ht="14.5" x14ac:dyDescent="0.35">
      <c r="A1207">
        <v>3</v>
      </c>
      <c r="B1207" t="s">
        <v>48</v>
      </c>
      <c r="C1207" t="s">
        <v>59</v>
      </c>
      <c r="D1207" t="s">
        <v>60</v>
      </c>
      <c r="E1207" t="s">
        <v>61</v>
      </c>
      <c r="F1207" t="s">
        <v>62</v>
      </c>
      <c r="G1207" t="s">
        <v>52</v>
      </c>
      <c r="H1207" t="s">
        <v>38</v>
      </c>
      <c r="I1207">
        <v>130</v>
      </c>
    </row>
    <row r="1208" spans="1:9" ht="14.5" x14ac:dyDescent="0.35">
      <c r="A1208">
        <v>4</v>
      </c>
      <c r="B1208" t="s">
        <v>50</v>
      </c>
      <c r="C1208" t="s">
        <v>31</v>
      </c>
      <c r="D1208" t="s">
        <v>32</v>
      </c>
      <c r="E1208" t="s">
        <v>33</v>
      </c>
      <c r="F1208" t="s">
        <v>40</v>
      </c>
      <c r="G1208" t="s">
        <v>35</v>
      </c>
      <c r="H1208" t="s">
        <v>38</v>
      </c>
      <c r="I1208">
        <v>130</v>
      </c>
    </row>
    <row r="1209" spans="1:9" ht="14.5" x14ac:dyDescent="0.35">
      <c r="A1209">
        <v>4</v>
      </c>
      <c r="B1209" t="s">
        <v>50</v>
      </c>
      <c r="C1209" t="s">
        <v>31</v>
      </c>
      <c r="D1209" t="s">
        <v>32</v>
      </c>
      <c r="E1209" t="s">
        <v>33</v>
      </c>
      <c r="F1209" t="s">
        <v>39</v>
      </c>
      <c r="G1209" t="s">
        <v>35</v>
      </c>
      <c r="H1209" t="s">
        <v>38</v>
      </c>
      <c r="I1209">
        <v>130</v>
      </c>
    </row>
    <row r="1210" spans="1:9" ht="14.5" x14ac:dyDescent="0.35">
      <c r="A1210">
        <v>4</v>
      </c>
      <c r="B1210" t="s">
        <v>50</v>
      </c>
      <c r="C1210" t="s">
        <v>31</v>
      </c>
      <c r="D1210" t="s">
        <v>53</v>
      </c>
      <c r="E1210" t="s">
        <v>54</v>
      </c>
      <c r="F1210" t="s">
        <v>57</v>
      </c>
      <c r="G1210" t="s">
        <v>35</v>
      </c>
      <c r="H1210" t="s">
        <v>38</v>
      </c>
      <c r="I1210">
        <v>130</v>
      </c>
    </row>
    <row r="1211" spans="1:9" ht="14.5" x14ac:dyDescent="0.35">
      <c r="A1211">
        <v>4</v>
      </c>
      <c r="B1211" t="s">
        <v>50</v>
      </c>
      <c r="C1211" t="s">
        <v>85</v>
      </c>
      <c r="D1211" t="s">
        <v>86</v>
      </c>
      <c r="E1211" t="s">
        <v>87</v>
      </c>
      <c r="F1211" t="s">
        <v>89</v>
      </c>
      <c r="G1211" t="s">
        <v>52</v>
      </c>
      <c r="H1211" t="s">
        <v>38</v>
      </c>
      <c r="I1211">
        <v>130</v>
      </c>
    </row>
    <row r="1212" spans="1:9" ht="14.5" x14ac:dyDescent="0.35">
      <c r="A1212">
        <v>4</v>
      </c>
      <c r="B1212" t="s">
        <v>50</v>
      </c>
      <c r="C1212" t="s">
        <v>85</v>
      </c>
      <c r="D1212" t="s">
        <v>92</v>
      </c>
      <c r="E1212" t="s">
        <v>93</v>
      </c>
      <c r="F1212" t="s">
        <v>96</v>
      </c>
      <c r="G1212" t="s">
        <v>35</v>
      </c>
      <c r="H1212" t="s">
        <v>38</v>
      </c>
      <c r="I1212">
        <v>130</v>
      </c>
    </row>
    <row r="1213" spans="1:9" ht="14.5" x14ac:dyDescent="0.35">
      <c r="A1213">
        <v>4</v>
      </c>
      <c r="B1213" t="s">
        <v>50</v>
      </c>
      <c r="C1213" t="s">
        <v>59</v>
      </c>
      <c r="D1213" t="s">
        <v>60</v>
      </c>
      <c r="E1213" t="s">
        <v>61</v>
      </c>
      <c r="F1213" t="s">
        <v>62</v>
      </c>
      <c r="G1213" t="s">
        <v>35</v>
      </c>
      <c r="H1213" t="s">
        <v>38</v>
      </c>
      <c r="I1213">
        <v>130</v>
      </c>
    </row>
    <row r="1214" spans="1:9" ht="14.5" x14ac:dyDescent="0.35">
      <c r="A1214">
        <v>4</v>
      </c>
      <c r="B1214" t="s">
        <v>50</v>
      </c>
      <c r="C1214" t="s">
        <v>59</v>
      </c>
      <c r="D1214" t="s">
        <v>66</v>
      </c>
      <c r="E1214" t="s">
        <v>67</v>
      </c>
      <c r="F1214" t="s">
        <v>69</v>
      </c>
      <c r="G1214" t="s">
        <v>52</v>
      </c>
      <c r="H1214" t="s">
        <v>38</v>
      </c>
      <c r="I1214">
        <v>130</v>
      </c>
    </row>
    <row r="1215" spans="1:9" ht="14.5" x14ac:dyDescent="0.35">
      <c r="A1215">
        <v>4</v>
      </c>
      <c r="B1215" t="s">
        <v>50</v>
      </c>
      <c r="C1215" t="s">
        <v>72</v>
      </c>
      <c r="D1215" t="s">
        <v>73</v>
      </c>
      <c r="E1215" t="s">
        <v>74</v>
      </c>
      <c r="F1215" t="s">
        <v>77</v>
      </c>
      <c r="G1215" t="s">
        <v>52</v>
      </c>
      <c r="H1215" t="s">
        <v>38</v>
      </c>
      <c r="I1215">
        <v>130</v>
      </c>
    </row>
    <row r="1216" spans="1:9" ht="14.5" x14ac:dyDescent="0.35">
      <c r="A1216">
        <v>4</v>
      </c>
      <c r="B1216" t="s">
        <v>50</v>
      </c>
      <c r="C1216" t="s">
        <v>72</v>
      </c>
      <c r="D1216" t="s">
        <v>73</v>
      </c>
      <c r="E1216" t="s">
        <v>74</v>
      </c>
      <c r="F1216" t="s">
        <v>78</v>
      </c>
      <c r="G1216" t="s">
        <v>35</v>
      </c>
      <c r="H1216" t="s">
        <v>38</v>
      </c>
      <c r="I1216">
        <v>130</v>
      </c>
    </row>
    <row r="1217" spans="1:9" ht="14.5" x14ac:dyDescent="0.35">
      <c r="A1217">
        <v>4</v>
      </c>
      <c r="B1217" t="s">
        <v>51</v>
      </c>
      <c r="C1217" t="s">
        <v>31</v>
      </c>
      <c r="D1217" t="s">
        <v>32</v>
      </c>
      <c r="E1217" t="s">
        <v>33</v>
      </c>
      <c r="F1217" t="s">
        <v>40</v>
      </c>
      <c r="G1217" t="s">
        <v>35</v>
      </c>
      <c r="H1217" t="s">
        <v>38</v>
      </c>
      <c r="I1217">
        <v>130</v>
      </c>
    </row>
    <row r="1218" spans="1:9" ht="14.5" x14ac:dyDescent="0.35">
      <c r="A1218">
        <v>4</v>
      </c>
      <c r="B1218" t="s">
        <v>51</v>
      </c>
      <c r="C1218" t="s">
        <v>31</v>
      </c>
      <c r="D1218" t="s">
        <v>53</v>
      </c>
      <c r="E1218" t="s">
        <v>54</v>
      </c>
      <c r="F1218" t="s">
        <v>56</v>
      </c>
      <c r="G1218" t="s">
        <v>35</v>
      </c>
      <c r="H1218" t="s">
        <v>38</v>
      </c>
      <c r="I1218">
        <v>130</v>
      </c>
    </row>
    <row r="1219" spans="1:9" ht="14.5" x14ac:dyDescent="0.35">
      <c r="A1219">
        <v>4</v>
      </c>
      <c r="B1219" t="s">
        <v>51</v>
      </c>
      <c r="C1219" t="s">
        <v>72</v>
      </c>
      <c r="D1219" t="s">
        <v>79</v>
      </c>
      <c r="E1219" t="s">
        <v>80</v>
      </c>
      <c r="F1219" t="s">
        <v>82</v>
      </c>
      <c r="G1219" t="s">
        <v>35</v>
      </c>
      <c r="H1219" t="s">
        <v>38</v>
      </c>
      <c r="I1219">
        <v>130</v>
      </c>
    </row>
    <row r="1220" spans="1:9" ht="14.5" x14ac:dyDescent="0.35">
      <c r="A1220">
        <v>1</v>
      </c>
      <c r="B1220" t="s">
        <v>30</v>
      </c>
      <c r="C1220" t="s">
        <v>85</v>
      </c>
      <c r="D1220" t="s">
        <v>86</v>
      </c>
      <c r="E1220" t="s">
        <v>87</v>
      </c>
      <c r="F1220" t="s">
        <v>91</v>
      </c>
      <c r="G1220" t="s">
        <v>35</v>
      </c>
      <c r="H1220" t="s">
        <v>38</v>
      </c>
      <c r="I1220">
        <v>140</v>
      </c>
    </row>
    <row r="1221" spans="1:9" ht="14.5" x14ac:dyDescent="0.35">
      <c r="A1221">
        <v>1</v>
      </c>
      <c r="B1221" t="s">
        <v>30</v>
      </c>
      <c r="C1221" t="s">
        <v>59</v>
      </c>
      <c r="D1221" t="s">
        <v>60</v>
      </c>
      <c r="E1221" t="s">
        <v>61</v>
      </c>
      <c r="F1221" t="s">
        <v>63</v>
      </c>
      <c r="G1221" t="s">
        <v>52</v>
      </c>
      <c r="H1221" t="s">
        <v>38</v>
      </c>
      <c r="I1221">
        <v>140</v>
      </c>
    </row>
    <row r="1222" spans="1:9" ht="14.5" x14ac:dyDescent="0.35">
      <c r="A1222">
        <v>1</v>
      </c>
      <c r="B1222" t="s">
        <v>30</v>
      </c>
      <c r="C1222" t="s">
        <v>72</v>
      </c>
      <c r="D1222" t="s">
        <v>73</v>
      </c>
      <c r="E1222" t="s">
        <v>74</v>
      </c>
      <c r="F1222" t="s">
        <v>76</v>
      </c>
      <c r="G1222" t="s">
        <v>52</v>
      </c>
      <c r="H1222" t="s">
        <v>38</v>
      </c>
      <c r="I1222">
        <v>140</v>
      </c>
    </row>
    <row r="1223" spans="1:9" ht="14.5" x14ac:dyDescent="0.35">
      <c r="A1223">
        <v>1</v>
      </c>
      <c r="B1223" t="s">
        <v>41</v>
      </c>
      <c r="C1223" t="s">
        <v>31</v>
      </c>
      <c r="D1223" t="s">
        <v>53</v>
      </c>
      <c r="E1223" t="s">
        <v>54</v>
      </c>
      <c r="F1223" t="s">
        <v>56</v>
      </c>
      <c r="G1223" t="s">
        <v>52</v>
      </c>
      <c r="H1223" t="s">
        <v>38</v>
      </c>
      <c r="I1223">
        <v>140</v>
      </c>
    </row>
    <row r="1224" spans="1:9" ht="14.5" x14ac:dyDescent="0.35">
      <c r="A1224">
        <v>1</v>
      </c>
      <c r="B1224" t="s">
        <v>41</v>
      </c>
      <c r="C1224" t="s">
        <v>31</v>
      </c>
      <c r="D1224" t="s">
        <v>53</v>
      </c>
      <c r="E1224" t="s">
        <v>54</v>
      </c>
      <c r="F1224" t="s">
        <v>57</v>
      </c>
      <c r="G1224" t="s">
        <v>52</v>
      </c>
      <c r="H1224" t="s">
        <v>38</v>
      </c>
      <c r="I1224">
        <v>140</v>
      </c>
    </row>
    <row r="1225" spans="1:9" ht="14.5" x14ac:dyDescent="0.35">
      <c r="A1225">
        <v>1</v>
      </c>
      <c r="B1225" t="s">
        <v>41</v>
      </c>
      <c r="C1225" t="s">
        <v>31</v>
      </c>
      <c r="D1225" t="s">
        <v>53</v>
      </c>
      <c r="E1225" t="s">
        <v>54</v>
      </c>
      <c r="F1225" t="s">
        <v>58</v>
      </c>
      <c r="G1225" t="s">
        <v>35</v>
      </c>
      <c r="H1225" t="s">
        <v>38</v>
      </c>
      <c r="I1225">
        <v>140</v>
      </c>
    </row>
    <row r="1226" spans="1:9" ht="14.5" x14ac:dyDescent="0.35">
      <c r="A1226">
        <v>1</v>
      </c>
      <c r="B1226" t="s">
        <v>41</v>
      </c>
      <c r="C1226" t="s">
        <v>85</v>
      </c>
      <c r="D1226" t="s">
        <v>86</v>
      </c>
      <c r="E1226" t="s">
        <v>87</v>
      </c>
      <c r="F1226" t="s">
        <v>91</v>
      </c>
      <c r="G1226" t="s">
        <v>52</v>
      </c>
      <c r="H1226" t="s">
        <v>38</v>
      </c>
      <c r="I1226">
        <v>140</v>
      </c>
    </row>
    <row r="1227" spans="1:9" ht="14.5" x14ac:dyDescent="0.35">
      <c r="A1227">
        <v>1</v>
      </c>
      <c r="B1227" t="s">
        <v>41</v>
      </c>
      <c r="C1227" t="s">
        <v>85</v>
      </c>
      <c r="D1227" t="s">
        <v>92</v>
      </c>
      <c r="E1227" t="s">
        <v>93</v>
      </c>
      <c r="F1227" t="s">
        <v>96</v>
      </c>
      <c r="G1227" t="s">
        <v>35</v>
      </c>
      <c r="H1227" t="s">
        <v>38</v>
      </c>
      <c r="I1227">
        <v>140</v>
      </c>
    </row>
    <row r="1228" spans="1:9" ht="14.5" x14ac:dyDescent="0.35">
      <c r="A1228">
        <v>1</v>
      </c>
      <c r="B1228" t="s">
        <v>41</v>
      </c>
      <c r="C1228" t="s">
        <v>59</v>
      </c>
      <c r="D1228" t="s">
        <v>66</v>
      </c>
      <c r="E1228" t="s">
        <v>67</v>
      </c>
      <c r="F1228" t="s">
        <v>70</v>
      </c>
      <c r="G1228" t="s">
        <v>52</v>
      </c>
      <c r="H1228" t="s">
        <v>38</v>
      </c>
      <c r="I1228">
        <v>140</v>
      </c>
    </row>
    <row r="1229" spans="1:9" ht="14.5" x14ac:dyDescent="0.35">
      <c r="A1229">
        <v>1</v>
      </c>
      <c r="B1229" t="s">
        <v>41</v>
      </c>
      <c r="C1229" t="s">
        <v>59</v>
      </c>
      <c r="D1229" t="s">
        <v>66</v>
      </c>
      <c r="E1229" t="s">
        <v>67</v>
      </c>
      <c r="F1229" t="s">
        <v>71</v>
      </c>
      <c r="G1229" t="s">
        <v>35</v>
      </c>
      <c r="H1229" t="s">
        <v>38</v>
      </c>
      <c r="I1229">
        <v>140</v>
      </c>
    </row>
    <row r="1230" spans="1:9" ht="14.5" x14ac:dyDescent="0.35">
      <c r="A1230">
        <v>1</v>
      </c>
      <c r="B1230" t="s">
        <v>41</v>
      </c>
      <c r="C1230" t="s">
        <v>72</v>
      </c>
      <c r="D1230" t="s">
        <v>73</v>
      </c>
      <c r="E1230" t="s">
        <v>74</v>
      </c>
      <c r="F1230" t="s">
        <v>77</v>
      </c>
      <c r="G1230" t="s">
        <v>52</v>
      </c>
      <c r="H1230" t="s">
        <v>38</v>
      </c>
      <c r="I1230">
        <v>140</v>
      </c>
    </row>
    <row r="1231" spans="1:9" ht="14.5" x14ac:dyDescent="0.35">
      <c r="A1231">
        <v>1</v>
      </c>
      <c r="B1231" t="s">
        <v>41</v>
      </c>
      <c r="C1231" t="s">
        <v>72</v>
      </c>
      <c r="D1231" t="s">
        <v>79</v>
      </c>
      <c r="E1231" t="s">
        <v>80</v>
      </c>
      <c r="F1231" t="s">
        <v>84</v>
      </c>
      <c r="G1231" t="s">
        <v>35</v>
      </c>
      <c r="H1231" t="s">
        <v>38</v>
      </c>
      <c r="I1231">
        <v>140</v>
      </c>
    </row>
    <row r="1232" spans="1:9" ht="14.5" x14ac:dyDescent="0.35">
      <c r="A1232">
        <v>1</v>
      </c>
      <c r="B1232" t="s">
        <v>42</v>
      </c>
      <c r="C1232" t="s">
        <v>31</v>
      </c>
      <c r="D1232" t="s">
        <v>32</v>
      </c>
      <c r="E1232" t="s">
        <v>33</v>
      </c>
      <c r="F1232" t="s">
        <v>39</v>
      </c>
      <c r="G1232" t="s">
        <v>35</v>
      </c>
      <c r="H1232" t="s">
        <v>38</v>
      </c>
      <c r="I1232">
        <v>140</v>
      </c>
    </row>
    <row r="1233" spans="1:9" ht="14.5" x14ac:dyDescent="0.35">
      <c r="A1233">
        <v>1</v>
      </c>
      <c r="B1233" t="s">
        <v>42</v>
      </c>
      <c r="C1233" t="s">
        <v>85</v>
      </c>
      <c r="D1233" t="s">
        <v>86</v>
      </c>
      <c r="E1233" t="s">
        <v>87</v>
      </c>
      <c r="F1233" t="s">
        <v>89</v>
      </c>
      <c r="G1233" t="s">
        <v>35</v>
      </c>
      <c r="H1233" t="s">
        <v>38</v>
      </c>
      <c r="I1233">
        <v>140</v>
      </c>
    </row>
    <row r="1234" spans="1:9" ht="14.5" x14ac:dyDescent="0.35">
      <c r="A1234">
        <v>2</v>
      </c>
      <c r="B1234" t="s">
        <v>43</v>
      </c>
      <c r="C1234" t="s">
        <v>31</v>
      </c>
      <c r="D1234" t="s">
        <v>32</v>
      </c>
      <c r="E1234" t="s">
        <v>33</v>
      </c>
      <c r="F1234" t="s">
        <v>34</v>
      </c>
      <c r="G1234" t="s">
        <v>52</v>
      </c>
      <c r="H1234" t="s">
        <v>38</v>
      </c>
      <c r="I1234">
        <v>140</v>
      </c>
    </row>
    <row r="1235" spans="1:9" ht="14.5" x14ac:dyDescent="0.35">
      <c r="A1235">
        <v>2</v>
      </c>
      <c r="B1235" t="s">
        <v>43</v>
      </c>
      <c r="C1235" t="s">
        <v>31</v>
      </c>
      <c r="D1235" t="s">
        <v>53</v>
      </c>
      <c r="E1235" t="s">
        <v>54</v>
      </c>
      <c r="F1235" t="s">
        <v>56</v>
      </c>
      <c r="G1235" t="s">
        <v>35</v>
      </c>
      <c r="H1235" t="s">
        <v>38</v>
      </c>
      <c r="I1235">
        <v>140</v>
      </c>
    </row>
    <row r="1236" spans="1:9" ht="14.5" x14ac:dyDescent="0.35">
      <c r="A1236">
        <v>2</v>
      </c>
      <c r="B1236" t="s">
        <v>44</v>
      </c>
      <c r="C1236" t="s">
        <v>85</v>
      </c>
      <c r="D1236" t="s">
        <v>86</v>
      </c>
      <c r="E1236" t="s">
        <v>87</v>
      </c>
      <c r="F1236" t="s">
        <v>90</v>
      </c>
      <c r="G1236" t="s">
        <v>52</v>
      </c>
      <c r="H1236" t="s">
        <v>38</v>
      </c>
      <c r="I1236">
        <v>140</v>
      </c>
    </row>
    <row r="1237" spans="1:9" ht="14.5" x14ac:dyDescent="0.35">
      <c r="A1237">
        <v>2</v>
      </c>
      <c r="B1237" t="s">
        <v>44</v>
      </c>
      <c r="C1237" t="s">
        <v>59</v>
      </c>
      <c r="D1237" t="s">
        <v>60</v>
      </c>
      <c r="E1237" t="s">
        <v>61</v>
      </c>
      <c r="F1237" t="s">
        <v>64</v>
      </c>
      <c r="G1237" t="s">
        <v>52</v>
      </c>
      <c r="H1237" t="s">
        <v>38</v>
      </c>
      <c r="I1237">
        <v>140</v>
      </c>
    </row>
    <row r="1238" spans="1:9" ht="14.5" x14ac:dyDescent="0.35">
      <c r="A1238">
        <v>2</v>
      </c>
      <c r="B1238" t="s">
        <v>44</v>
      </c>
      <c r="C1238" t="s">
        <v>72</v>
      </c>
      <c r="D1238" t="s">
        <v>79</v>
      </c>
      <c r="E1238" t="s">
        <v>80</v>
      </c>
      <c r="F1238" t="s">
        <v>82</v>
      </c>
      <c r="G1238" t="s">
        <v>52</v>
      </c>
      <c r="H1238" t="s">
        <v>38</v>
      </c>
      <c r="I1238">
        <v>140</v>
      </c>
    </row>
    <row r="1239" spans="1:9" ht="14.5" x14ac:dyDescent="0.35">
      <c r="A1239">
        <v>2</v>
      </c>
      <c r="B1239" t="s">
        <v>44</v>
      </c>
      <c r="C1239" t="s">
        <v>72</v>
      </c>
      <c r="D1239" t="s">
        <v>79</v>
      </c>
      <c r="E1239" t="s">
        <v>80</v>
      </c>
      <c r="F1239" t="s">
        <v>83</v>
      </c>
      <c r="G1239" t="s">
        <v>52</v>
      </c>
      <c r="H1239" t="s">
        <v>38</v>
      </c>
      <c r="I1239">
        <v>140</v>
      </c>
    </row>
    <row r="1240" spans="1:9" ht="14.5" x14ac:dyDescent="0.35">
      <c r="A1240">
        <v>2</v>
      </c>
      <c r="B1240" t="s">
        <v>45</v>
      </c>
      <c r="C1240" t="s">
        <v>85</v>
      </c>
      <c r="D1240" t="s">
        <v>86</v>
      </c>
      <c r="E1240" t="s">
        <v>87</v>
      </c>
      <c r="F1240" t="s">
        <v>88</v>
      </c>
      <c r="G1240" t="s">
        <v>52</v>
      </c>
      <c r="H1240" t="s">
        <v>38</v>
      </c>
      <c r="I1240">
        <v>140</v>
      </c>
    </row>
    <row r="1241" spans="1:9" ht="14.5" x14ac:dyDescent="0.35">
      <c r="A1241">
        <v>2</v>
      </c>
      <c r="B1241" t="s">
        <v>45</v>
      </c>
      <c r="C1241" t="s">
        <v>59</v>
      </c>
      <c r="D1241" t="s">
        <v>60</v>
      </c>
      <c r="E1241" t="s">
        <v>61</v>
      </c>
      <c r="F1241" t="s">
        <v>64</v>
      </c>
      <c r="G1241" t="s">
        <v>35</v>
      </c>
      <c r="H1241" t="s">
        <v>38</v>
      </c>
      <c r="I1241">
        <v>140</v>
      </c>
    </row>
    <row r="1242" spans="1:9" ht="14.5" x14ac:dyDescent="0.35">
      <c r="A1242">
        <v>2</v>
      </c>
      <c r="B1242" t="s">
        <v>45</v>
      </c>
      <c r="C1242" t="s">
        <v>72</v>
      </c>
      <c r="D1242" t="s">
        <v>79</v>
      </c>
      <c r="E1242" t="s">
        <v>80</v>
      </c>
      <c r="F1242" t="s">
        <v>84</v>
      </c>
      <c r="G1242" t="s">
        <v>52</v>
      </c>
      <c r="H1242" t="s">
        <v>38</v>
      </c>
      <c r="I1242">
        <v>140</v>
      </c>
    </row>
    <row r="1243" spans="1:9" ht="14.5" x14ac:dyDescent="0.35">
      <c r="A1243">
        <v>3</v>
      </c>
      <c r="B1243" t="s">
        <v>46</v>
      </c>
      <c r="C1243" t="s">
        <v>31</v>
      </c>
      <c r="D1243" t="s">
        <v>32</v>
      </c>
      <c r="E1243" t="s">
        <v>33</v>
      </c>
      <c r="F1243" t="s">
        <v>39</v>
      </c>
      <c r="G1243" t="s">
        <v>52</v>
      </c>
      <c r="H1243" t="s">
        <v>38</v>
      </c>
      <c r="I1243">
        <v>140</v>
      </c>
    </row>
    <row r="1244" spans="1:9" ht="14.5" x14ac:dyDescent="0.35">
      <c r="A1244">
        <v>3</v>
      </c>
      <c r="B1244" t="s">
        <v>46</v>
      </c>
      <c r="C1244" t="s">
        <v>31</v>
      </c>
      <c r="D1244" t="s">
        <v>53</v>
      </c>
      <c r="E1244" t="s">
        <v>54</v>
      </c>
      <c r="F1244" t="s">
        <v>56</v>
      </c>
      <c r="G1244" t="s">
        <v>35</v>
      </c>
      <c r="H1244" t="s">
        <v>38</v>
      </c>
      <c r="I1244">
        <v>140</v>
      </c>
    </row>
    <row r="1245" spans="1:9" ht="14.5" x14ac:dyDescent="0.35">
      <c r="A1245">
        <v>3</v>
      </c>
      <c r="B1245" t="s">
        <v>46</v>
      </c>
      <c r="C1245" t="s">
        <v>85</v>
      </c>
      <c r="D1245" t="s">
        <v>86</v>
      </c>
      <c r="E1245" t="s">
        <v>87</v>
      </c>
      <c r="F1245" t="s">
        <v>90</v>
      </c>
      <c r="G1245" t="s">
        <v>52</v>
      </c>
      <c r="H1245" t="s">
        <v>38</v>
      </c>
      <c r="I1245">
        <v>140</v>
      </c>
    </row>
    <row r="1246" spans="1:9" ht="14.5" x14ac:dyDescent="0.35">
      <c r="A1246">
        <v>3</v>
      </c>
      <c r="B1246" t="s">
        <v>46</v>
      </c>
      <c r="C1246" t="s">
        <v>85</v>
      </c>
      <c r="D1246" t="s">
        <v>92</v>
      </c>
      <c r="E1246" t="s">
        <v>93</v>
      </c>
      <c r="F1246" t="s">
        <v>94</v>
      </c>
      <c r="G1246" t="s">
        <v>35</v>
      </c>
      <c r="H1246" t="s">
        <v>38</v>
      </c>
      <c r="I1246">
        <v>140</v>
      </c>
    </row>
    <row r="1247" spans="1:9" ht="14.5" x14ac:dyDescent="0.35">
      <c r="A1247">
        <v>3</v>
      </c>
      <c r="B1247" t="s">
        <v>46</v>
      </c>
      <c r="C1247" t="s">
        <v>72</v>
      </c>
      <c r="D1247" t="s">
        <v>79</v>
      </c>
      <c r="E1247" t="s">
        <v>80</v>
      </c>
      <c r="F1247" t="s">
        <v>83</v>
      </c>
      <c r="G1247" t="s">
        <v>52</v>
      </c>
      <c r="H1247" t="s">
        <v>38</v>
      </c>
      <c r="I1247">
        <v>140</v>
      </c>
    </row>
    <row r="1248" spans="1:9" ht="14.5" x14ac:dyDescent="0.35">
      <c r="A1248">
        <v>3</v>
      </c>
      <c r="B1248" t="s">
        <v>47</v>
      </c>
      <c r="C1248" t="s">
        <v>31</v>
      </c>
      <c r="D1248" t="s">
        <v>32</v>
      </c>
      <c r="E1248" t="s">
        <v>33</v>
      </c>
      <c r="F1248" t="s">
        <v>34</v>
      </c>
      <c r="G1248" t="s">
        <v>52</v>
      </c>
      <c r="H1248" t="s">
        <v>38</v>
      </c>
      <c r="I1248">
        <v>140</v>
      </c>
    </row>
    <row r="1249" spans="1:9" ht="14.5" x14ac:dyDescent="0.35">
      <c r="A1249">
        <v>3</v>
      </c>
      <c r="B1249" t="s">
        <v>47</v>
      </c>
      <c r="C1249" t="s">
        <v>31</v>
      </c>
      <c r="D1249" t="s">
        <v>53</v>
      </c>
      <c r="E1249" t="s">
        <v>54</v>
      </c>
      <c r="F1249" t="s">
        <v>55</v>
      </c>
      <c r="G1249" t="s">
        <v>35</v>
      </c>
      <c r="H1249" t="s">
        <v>38</v>
      </c>
      <c r="I1249">
        <v>140</v>
      </c>
    </row>
    <row r="1250" spans="1:9" ht="14.5" x14ac:dyDescent="0.35">
      <c r="A1250">
        <v>3</v>
      </c>
      <c r="B1250" t="s">
        <v>47</v>
      </c>
      <c r="C1250" t="s">
        <v>85</v>
      </c>
      <c r="D1250" t="s">
        <v>92</v>
      </c>
      <c r="E1250" t="s">
        <v>93</v>
      </c>
      <c r="F1250" t="s">
        <v>94</v>
      </c>
      <c r="G1250" t="s">
        <v>52</v>
      </c>
      <c r="H1250" t="s">
        <v>38</v>
      </c>
      <c r="I1250">
        <v>140</v>
      </c>
    </row>
    <row r="1251" spans="1:9" ht="14.5" x14ac:dyDescent="0.35">
      <c r="A1251">
        <v>3</v>
      </c>
      <c r="B1251" t="s">
        <v>47</v>
      </c>
      <c r="C1251" t="s">
        <v>85</v>
      </c>
      <c r="D1251" t="s">
        <v>92</v>
      </c>
      <c r="E1251" t="s">
        <v>93</v>
      </c>
      <c r="F1251" t="s">
        <v>96</v>
      </c>
      <c r="G1251" t="s">
        <v>52</v>
      </c>
      <c r="H1251" t="s">
        <v>38</v>
      </c>
      <c r="I1251">
        <v>140</v>
      </c>
    </row>
    <row r="1252" spans="1:9" ht="14.5" x14ac:dyDescent="0.35">
      <c r="A1252">
        <v>3</v>
      </c>
      <c r="B1252" t="s">
        <v>47</v>
      </c>
      <c r="C1252" t="s">
        <v>72</v>
      </c>
      <c r="D1252" t="s">
        <v>79</v>
      </c>
      <c r="E1252" t="s">
        <v>80</v>
      </c>
      <c r="F1252" t="s">
        <v>81</v>
      </c>
      <c r="G1252" t="s">
        <v>52</v>
      </c>
      <c r="H1252" t="s">
        <v>38</v>
      </c>
      <c r="I1252">
        <v>140</v>
      </c>
    </row>
    <row r="1253" spans="1:9" ht="14.5" x14ac:dyDescent="0.35">
      <c r="A1253">
        <v>3</v>
      </c>
      <c r="B1253" t="s">
        <v>47</v>
      </c>
      <c r="C1253" t="s">
        <v>72</v>
      </c>
      <c r="D1253" t="s">
        <v>79</v>
      </c>
      <c r="E1253" t="s">
        <v>80</v>
      </c>
      <c r="F1253" t="s">
        <v>83</v>
      </c>
      <c r="G1253" t="s">
        <v>52</v>
      </c>
      <c r="H1253" t="s">
        <v>38</v>
      </c>
      <c r="I1253">
        <v>140</v>
      </c>
    </row>
    <row r="1254" spans="1:9" ht="14.5" x14ac:dyDescent="0.35">
      <c r="A1254">
        <v>3</v>
      </c>
      <c r="B1254" t="s">
        <v>48</v>
      </c>
      <c r="C1254" t="s">
        <v>31</v>
      </c>
      <c r="D1254" t="s">
        <v>32</v>
      </c>
      <c r="E1254" t="s">
        <v>33</v>
      </c>
      <c r="F1254" t="s">
        <v>34</v>
      </c>
      <c r="G1254" t="s">
        <v>52</v>
      </c>
      <c r="H1254" t="s">
        <v>38</v>
      </c>
      <c r="I1254">
        <v>140</v>
      </c>
    </row>
    <row r="1255" spans="1:9" ht="14.5" x14ac:dyDescent="0.35">
      <c r="A1255">
        <v>3</v>
      </c>
      <c r="B1255" t="s">
        <v>48</v>
      </c>
      <c r="C1255" t="s">
        <v>31</v>
      </c>
      <c r="D1255" t="s">
        <v>53</v>
      </c>
      <c r="E1255" t="s">
        <v>54</v>
      </c>
      <c r="F1255" t="s">
        <v>58</v>
      </c>
      <c r="G1255" t="s">
        <v>35</v>
      </c>
      <c r="H1255" t="s">
        <v>38</v>
      </c>
      <c r="I1255">
        <v>140</v>
      </c>
    </row>
    <row r="1256" spans="1:9" ht="14.5" x14ac:dyDescent="0.35">
      <c r="A1256">
        <v>3</v>
      </c>
      <c r="B1256" t="s">
        <v>48</v>
      </c>
      <c r="C1256" t="s">
        <v>85</v>
      </c>
      <c r="D1256" t="s">
        <v>86</v>
      </c>
      <c r="E1256" t="s">
        <v>87</v>
      </c>
      <c r="F1256" t="s">
        <v>88</v>
      </c>
      <c r="G1256" t="s">
        <v>35</v>
      </c>
      <c r="H1256" t="s">
        <v>38</v>
      </c>
      <c r="I1256">
        <v>140</v>
      </c>
    </row>
    <row r="1257" spans="1:9" ht="14.5" x14ac:dyDescent="0.35">
      <c r="A1257">
        <v>3</v>
      </c>
      <c r="B1257" t="s">
        <v>48</v>
      </c>
      <c r="C1257" t="s">
        <v>59</v>
      </c>
      <c r="D1257" t="s">
        <v>60</v>
      </c>
      <c r="E1257" t="s">
        <v>61</v>
      </c>
      <c r="F1257" t="s">
        <v>65</v>
      </c>
      <c r="G1257" t="s">
        <v>35</v>
      </c>
      <c r="H1257" t="s">
        <v>38</v>
      </c>
      <c r="I1257">
        <v>140</v>
      </c>
    </row>
    <row r="1258" spans="1:9" ht="14.5" x14ac:dyDescent="0.35">
      <c r="A1258">
        <v>3</v>
      </c>
      <c r="B1258" t="s">
        <v>48</v>
      </c>
      <c r="C1258" t="s">
        <v>72</v>
      </c>
      <c r="D1258" t="s">
        <v>73</v>
      </c>
      <c r="E1258" t="s">
        <v>74</v>
      </c>
      <c r="F1258" t="s">
        <v>78</v>
      </c>
      <c r="G1258" t="s">
        <v>52</v>
      </c>
      <c r="H1258" t="s">
        <v>38</v>
      </c>
      <c r="I1258">
        <v>140</v>
      </c>
    </row>
    <row r="1259" spans="1:9" ht="14.5" x14ac:dyDescent="0.35">
      <c r="A1259">
        <v>4</v>
      </c>
      <c r="B1259" t="s">
        <v>49</v>
      </c>
      <c r="C1259" t="s">
        <v>31</v>
      </c>
      <c r="D1259" t="s">
        <v>32</v>
      </c>
      <c r="E1259" t="s">
        <v>33</v>
      </c>
      <c r="F1259" t="s">
        <v>37</v>
      </c>
      <c r="G1259" t="s">
        <v>52</v>
      </c>
      <c r="H1259" t="s">
        <v>38</v>
      </c>
      <c r="I1259">
        <v>140</v>
      </c>
    </row>
    <row r="1260" spans="1:9" ht="14.5" x14ac:dyDescent="0.35">
      <c r="A1260">
        <v>4</v>
      </c>
      <c r="B1260" t="s">
        <v>49</v>
      </c>
      <c r="C1260" t="s">
        <v>85</v>
      </c>
      <c r="D1260" t="s">
        <v>92</v>
      </c>
      <c r="E1260" t="s">
        <v>93</v>
      </c>
      <c r="F1260" t="s">
        <v>94</v>
      </c>
      <c r="G1260" t="s">
        <v>52</v>
      </c>
      <c r="H1260" t="s">
        <v>38</v>
      </c>
      <c r="I1260">
        <v>140</v>
      </c>
    </row>
    <row r="1261" spans="1:9" ht="14.5" x14ac:dyDescent="0.35">
      <c r="A1261">
        <v>4</v>
      </c>
      <c r="B1261" t="s">
        <v>49</v>
      </c>
      <c r="C1261" t="s">
        <v>59</v>
      </c>
      <c r="D1261" t="s">
        <v>60</v>
      </c>
      <c r="E1261" t="s">
        <v>61</v>
      </c>
      <c r="F1261" t="s">
        <v>65</v>
      </c>
      <c r="G1261" t="s">
        <v>35</v>
      </c>
      <c r="H1261" t="s">
        <v>38</v>
      </c>
      <c r="I1261">
        <v>140</v>
      </c>
    </row>
    <row r="1262" spans="1:9" ht="14.5" x14ac:dyDescent="0.35">
      <c r="A1262">
        <v>4</v>
      </c>
      <c r="B1262" t="s">
        <v>49</v>
      </c>
      <c r="C1262" t="s">
        <v>59</v>
      </c>
      <c r="D1262" t="s">
        <v>66</v>
      </c>
      <c r="E1262" t="s">
        <v>67</v>
      </c>
      <c r="F1262" t="s">
        <v>71</v>
      </c>
      <c r="G1262" t="s">
        <v>35</v>
      </c>
      <c r="H1262" t="s">
        <v>38</v>
      </c>
      <c r="I1262">
        <v>140</v>
      </c>
    </row>
    <row r="1263" spans="1:9" ht="14.5" x14ac:dyDescent="0.35">
      <c r="A1263">
        <v>4</v>
      </c>
      <c r="B1263" t="s">
        <v>50</v>
      </c>
      <c r="C1263" t="s">
        <v>85</v>
      </c>
      <c r="D1263" t="s">
        <v>86</v>
      </c>
      <c r="E1263" t="s">
        <v>87</v>
      </c>
      <c r="F1263" t="s">
        <v>88</v>
      </c>
      <c r="G1263" t="s">
        <v>35</v>
      </c>
      <c r="H1263" t="s">
        <v>38</v>
      </c>
      <c r="I1263">
        <v>140</v>
      </c>
    </row>
    <row r="1264" spans="1:9" ht="14.5" x14ac:dyDescent="0.35">
      <c r="A1264">
        <v>4</v>
      </c>
      <c r="B1264" t="s">
        <v>50</v>
      </c>
      <c r="C1264" t="s">
        <v>72</v>
      </c>
      <c r="D1264" t="s">
        <v>73</v>
      </c>
      <c r="E1264" t="s">
        <v>74</v>
      </c>
      <c r="F1264" t="s">
        <v>75</v>
      </c>
      <c r="G1264" t="s">
        <v>52</v>
      </c>
      <c r="H1264" t="s">
        <v>38</v>
      </c>
      <c r="I1264">
        <v>140</v>
      </c>
    </row>
    <row r="1265" spans="1:9" ht="14.5" x14ac:dyDescent="0.35">
      <c r="A1265">
        <v>4</v>
      </c>
      <c r="B1265" t="s">
        <v>50</v>
      </c>
      <c r="C1265" t="s">
        <v>72</v>
      </c>
      <c r="D1265" t="s">
        <v>73</v>
      </c>
      <c r="E1265" t="s">
        <v>74</v>
      </c>
      <c r="F1265" t="s">
        <v>78</v>
      </c>
      <c r="G1265" t="s">
        <v>52</v>
      </c>
      <c r="H1265" t="s">
        <v>38</v>
      </c>
      <c r="I1265">
        <v>140</v>
      </c>
    </row>
    <row r="1266" spans="1:9" ht="14.5" x14ac:dyDescent="0.35">
      <c r="A1266">
        <v>4</v>
      </c>
      <c r="B1266" t="s">
        <v>51</v>
      </c>
      <c r="C1266" t="s">
        <v>31</v>
      </c>
      <c r="D1266" t="s">
        <v>53</v>
      </c>
      <c r="E1266" t="s">
        <v>54</v>
      </c>
      <c r="F1266" t="s">
        <v>55</v>
      </c>
      <c r="G1266" t="s">
        <v>52</v>
      </c>
      <c r="H1266" t="s">
        <v>38</v>
      </c>
      <c r="I1266">
        <v>140</v>
      </c>
    </row>
    <row r="1267" spans="1:9" ht="14.5" x14ac:dyDescent="0.35">
      <c r="A1267">
        <v>4</v>
      </c>
      <c r="B1267" t="s">
        <v>51</v>
      </c>
      <c r="C1267" t="s">
        <v>59</v>
      </c>
      <c r="D1267" t="s">
        <v>60</v>
      </c>
      <c r="E1267" t="s">
        <v>61</v>
      </c>
      <c r="F1267" t="s">
        <v>62</v>
      </c>
      <c r="G1267" t="s">
        <v>35</v>
      </c>
      <c r="H1267" t="s">
        <v>38</v>
      </c>
      <c r="I1267">
        <v>140</v>
      </c>
    </row>
    <row r="1268" spans="1:9" ht="14.5" x14ac:dyDescent="0.35">
      <c r="A1268">
        <v>4</v>
      </c>
      <c r="B1268" t="s">
        <v>51</v>
      </c>
      <c r="C1268" t="s">
        <v>59</v>
      </c>
      <c r="D1268" t="s">
        <v>66</v>
      </c>
      <c r="E1268" t="s">
        <v>67</v>
      </c>
      <c r="F1268" t="s">
        <v>68</v>
      </c>
      <c r="G1268" t="s">
        <v>35</v>
      </c>
      <c r="H1268" t="s">
        <v>38</v>
      </c>
      <c r="I1268">
        <v>140</v>
      </c>
    </row>
    <row r="1269" spans="1:9" ht="14.5" x14ac:dyDescent="0.35">
      <c r="A1269">
        <v>4</v>
      </c>
      <c r="B1269" t="s">
        <v>51</v>
      </c>
      <c r="C1269" t="s">
        <v>59</v>
      </c>
      <c r="D1269" t="s">
        <v>66</v>
      </c>
      <c r="E1269" t="s">
        <v>67</v>
      </c>
      <c r="F1269" t="s">
        <v>70</v>
      </c>
      <c r="G1269" t="s">
        <v>35</v>
      </c>
      <c r="H1269" t="s">
        <v>38</v>
      </c>
      <c r="I1269">
        <v>140</v>
      </c>
    </row>
    <row r="1270" spans="1:9" ht="14.5" x14ac:dyDescent="0.35">
      <c r="A1270">
        <v>1</v>
      </c>
      <c r="B1270" t="s">
        <v>30</v>
      </c>
      <c r="C1270" t="s">
        <v>31</v>
      </c>
      <c r="D1270" t="s">
        <v>53</v>
      </c>
      <c r="E1270" t="s">
        <v>54</v>
      </c>
      <c r="F1270" t="s">
        <v>57</v>
      </c>
      <c r="G1270" t="s">
        <v>35</v>
      </c>
      <c r="H1270" t="s">
        <v>38</v>
      </c>
      <c r="I1270">
        <v>150</v>
      </c>
    </row>
    <row r="1271" spans="1:9" ht="14.5" x14ac:dyDescent="0.35">
      <c r="A1271">
        <v>1</v>
      </c>
      <c r="B1271" t="s">
        <v>30</v>
      </c>
      <c r="C1271" t="s">
        <v>59</v>
      </c>
      <c r="D1271" t="s">
        <v>60</v>
      </c>
      <c r="E1271" t="s">
        <v>61</v>
      </c>
      <c r="F1271" t="s">
        <v>62</v>
      </c>
      <c r="G1271" t="s">
        <v>52</v>
      </c>
      <c r="H1271" t="s">
        <v>38</v>
      </c>
      <c r="I1271">
        <v>150</v>
      </c>
    </row>
    <row r="1272" spans="1:9" ht="14.5" x14ac:dyDescent="0.35">
      <c r="A1272">
        <v>1</v>
      </c>
      <c r="B1272" t="s">
        <v>30</v>
      </c>
      <c r="C1272" t="s">
        <v>59</v>
      </c>
      <c r="D1272" t="s">
        <v>66</v>
      </c>
      <c r="E1272" t="s">
        <v>67</v>
      </c>
      <c r="F1272" t="s">
        <v>69</v>
      </c>
      <c r="G1272" t="s">
        <v>35</v>
      </c>
      <c r="H1272" t="s">
        <v>38</v>
      </c>
      <c r="I1272">
        <v>150</v>
      </c>
    </row>
    <row r="1273" spans="1:9" ht="14.5" x14ac:dyDescent="0.35">
      <c r="A1273">
        <v>1</v>
      </c>
      <c r="B1273" t="s">
        <v>30</v>
      </c>
      <c r="C1273" t="s">
        <v>72</v>
      </c>
      <c r="D1273" t="s">
        <v>79</v>
      </c>
      <c r="E1273" t="s">
        <v>80</v>
      </c>
      <c r="F1273" t="s">
        <v>83</v>
      </c>
      <c r="G1273" t="s">
        <v>35</v>
      </c>
      <c r="H1273" t="s">
        <v>38</v>
      </c>
      <c r="I1273">
        <v>150</v>
      </c>
    </row>
    <row r="1274" spans="1:9" ht="14.5" x14ac:dyDescent="0.35">
      <c r="A1274">
        <v>1</v>
      </c>
      <c r="B1274" t="s">
        <v>41</v>
      </c>
      <c r="C1274" t="s">
        <v>59</v>
      </c>
      <c r="D1274" t="s">
        <v>66</v>
      </c>
      <c r="E1274" t="s">
        <v>67</v>
      </c>
      <c r="F1274" t="s">
        <v>69</v>
      </c>
      <c r="G1274" t="s">
        <v>52</v>
      </c>
      <c r="H1274" t="s">
        <v>38</v>
      </c>
      <c r="I1274">
        <v>150</v>
      </c>
    </row>
    <row r="1275" spans="1:9" ht="14.5" x14ac:dyDescent="0.35">
      <c r="A1275">
        <v>1</v>
      </c>
      <c r="B1275" t="s">
        <v>42</v>
      </c>
      <c r="C1275" t="s">
        <v>31</v>
      </c>
      <c r="D1275" t="s">
        <v>53</v>
      </c>
      <c r="E1275" t="s">
        <v>54</v>
      </c>
      <c r="F1275" t="s">
        <v>55</v>
      </c>
      <c r="G1275" t="s">
        <v>35</v>
      </c>
      <c r="H1275" t="s">
        <v>38</v>
      </c>
      <c r="I1275">
        <v>150</v>
      </c>
    </row>
    <row r="1276" spans="1:9" ht="14.5" x14ac:dyDescent="0.35">
      <c r="A1276">
        <v>1</v>
      </c>
      <c r="B1276" t="s">
        <v>42</v>
      </c>
      <c r="C1276" t="s">
        <v>85</v>
      </c>
      <c r="D1276" t="s">
        <v>86</v>
      </c>
      <c r="E1276" t="s">
        <v>87</v>
      </c>
      <c r="F1276" t="s">
        <v>90</v>
      </c>
      <c r="G1276" t="s">
        <v>52</v>
      </c>
      <c r="H1276" t="s">
        <v>38</v>
      </c>
      <c r="I1276">
        <v>150</v>
      </c>
    </row>
    <row r="1277" spans="1:9" ht="14.5" x14ac:dyDescent="0.35">
      <c r="A1277">
        <v>1</v>
      </c>
      <c r="B1277" t="s">
        <v>42</v>
      </c>
      <c r="C1277" t="s">
        <v>85</v>
      </c>
      <c r="D1277" t="s">
        <v>92</v>
      </c>
      <c r="E1277" t="s">
        <v>93</v>
      </c>
      <c r="F1277" t="s">
        <v>96</v>
      </c>
      <c r="G1277" t="s">
        <v>52</v>
      </c>
      <c r="H1277" t="s">
        <v>38</v>
      </c>
      <c r="I1277">
        <v>150</v>
      </c>
    </row>
    <row r="1278" spans="1:9" ht="14.5" x14ac:dyDescent="0.35">
      <c r="A1278">
        <v>1</v>
      </c>
      <c r="B1278" t="s">
        <v>42</v>
      </c>
      <c r="C1278" t="s">
        <v>59</v>
      </c>
      <c r="D1278" t="s">
        <v>66</v>
      </c>
      <c r="E1278" t="s">
        <v>67</v>
      </c>
      <c r="F1278" t="s">
        <v>68</v>
      </c>
      <c r="G1278" t="s">
        <v>52</v>
      </c>
      <c r="H1278" t="s">
        <v>38</v>
      </c>
      <c r="I1278">
        <v>150</v>
      </c>
    </row>
    <row r="1279" spans="1:9" ht="14.5" x14ac:dyDescent="0.35">
      <c r="A1279">
        <v>1</v>
      </c>
      <c r="B1279" t="s">
        <v>42</v>
      </c>
      <c r="C1279" t="s">
        <v>59</v>
      </c>
      <c r="D1279" t="s">
        <v>66</v>
      </c>
      <c r="E1279" t="s">
        <v>67</v>
      </c>
      <c r="F1279" t="s">
        <v>69</v>
      </c>
      <c r="G1279" t="s">
        <v>35</v>
      </c>
      <c r="H1279" t="s">
        <v>38</v>
      </c>
      <c r="I1279">
        <v>150</v>
      </c>
    </row>
    <row r="1280" spans="1:9" ht="14.5" x14ac:dyDescent="0.35">
      <c r="A1280">
        <v>1</v>
      </c>
      <c r="B1280" t="s">
        <v>42</v>
      </c>
      <c r="C1280" t="s">
        <v>59</v>
      </c>
      <c r="D1280" t="s">
        <v>66</v>
      </c>
      <c r="E1280" t="s">
        <v>67</v>
      </c>
      <c r="F1280" t="s">
        <v>69</v>
      </c>
      <c r="G1280" t="s">
        <v>52</v>
      </c>
      <c r="H1280" t="s">
        <v>38</v>
      </c>
      <c r="I1280">
        <v>150</v>
      </c>
    </row>
    <row r="1281" spans="1:9" ht="14.5" x14ac:dyDescent="0.35">
      <c r="A1281">
        <v>1</v>
      </c>
      <c r="B1281" t="s">
        <v>42</v>
      </c>
      <c r="C1281" t="s">
        <v>72</v>
      </c>
      <c r="D1281" t="s">
        <v>79</v>
      </c>
      <c r="E1281" t="s">
        <v>80</v>
      </c>
      <c r="F1281" t="s">
        <v>81</v>
      </c>
      <c r="G1281" t="s">
        <v>35</v>
      </c>
      <c r="H1281" t="s">
        <v>38</v>
      </c>
      <c r="I1281">
        <v>150</v>
      </c>
    </row>
    <row r="1282" spans="1:9" ht="14.5" x14ac:dyDescent="0.35">
      <c r="A1282">
        <v>2</v>
      </c>
      <c r="B1282" t="s">
        <v>43</v>
      </c>
      <c r="C1282" t="s">
        <v>31</v>
      </c>
      <c r="D1282" t="s">
        <v>32</v>
      </c>
      <c r="E1282" t="s">
        <v>33</v>
      </c>
      <c r="F1282" t="s">
        <v>40</v>
      </c>
      <c r="G1282" t="s">
        <v>35</v>
      </c>
      <c r="H1282" t="s">
        <v>38</v>
      </c>
      <c r="I1282">
        <v>150</v>
      </c>
    </row>
    <row r="1283" spans="1:9" ht="14.5" x14ac:dyDescent="0.35">
      <c r="A1283">
        <v>2</v>
      </c>
      <c r="B1283" t="s">
        <v>43</v>
      </c>
      <c r="C1283" t="s">
        <v>85</v>
      </c>
      <c r="D1283" t="s">
        <v>92</v>
      </c>
      <c r="E1283" t="s">
        <v>93</v>
      </c>
      <c r="F1283" t="s">
        <v>94</v>
      </c>
      <c r="G1283" t="s">
        <v>35</v>
      </c>
      <c r="H1283" t="s">
        <v>38</v>
      </c>
      <c r="I1283">
        <v>150</v>
      </c>
    </row>
    <row r="1284" spans="1:9" ht="14.5" x14ac:dyDescent="0.35">
      <c r="A1284">
        <v>2</v>
      </c>
      <c r="B1284" t="s">
        <v>43</v>
      </c>
      <c r="C1284" t="s">
        <v>59</v>
      </c>
      <c r="D1284" t="s">
        <v>66</v>
      </c>
      <c r="E1284" t="s">
        <v>67</v>
      </c>
      <c r="F1284" t="s">
        <v>71</v>
      </c>
      <c r="G1284" t="s">
        <v>35</v>
      </c>
      <c r="H1284" t="s">
        <v>38</v>
      </c>
      <c r="I1284">
        <v>150</v>
      </c>
    </row>
    <row r="1285" spans="1:9" ht="14.5" x14ac:dyDescent="0.35">
      <c r="A1285">
        <v>2</v>
      </c>
      <c r="B1285" t="s">
        <v>44</v>
      </c>
      <c r="C1285" t="s">
        <v>31</v>
      </c>
      <c r="D1285" t="s">
        <v>32</v>
      </c>
      <c r="E1285" t="s">
        <v>33</v>
      </c>
      <c r="F1285" t="s">
        <v>34</v>
      </c>
      <c r="G1285" t="s">
        <v>35</v>
      </c>
      <c r="H1285" t="s">
        <v>38</v>
      </c>
      <c r="I1285">
        <v>150</v>
      </c>
    </row>
    <row r="1286" spans="1:9" ht="14.5" x14ac:dyDescent="0.35">
      <c r="A1286">
        <v>2</v>
      </c>
      <c r="B1286" t="s">
        <v>44</v>
      </c>
      <c r="C1286" t="s">
        <v>31</v>
      </c>
      <c r="D1286" t="s">
        <v>53</v>
      </c>
      <c r="E1286" t="s">
        <v>54</v>
      </c>
      <c r="F1286" t="s">
        <v>56</v>
      </c>
      <c r="G1286" t="s">
        <v>35</v>
      </c>
      <c r="H1286" t="s">
        <v>38</v>
      </c>
      <c r="I1286">
        <v>150</v>
      </c>
    </row>
    <row r="1287" spans="1:9" ht="14.5" x14ac:dyDescent="0.35">
      <c r="A1287">
        <v>2</v>
      </c>
      <c r="B1287" t="s">
        <v>44</v>
      </c>
      <c r="C1287" t="s">
        <v>31</v>
      </c>
      <c r="D1287" t="s">
        <v>53</v>
      </c>
      <c r="E1287" t="s">
        <v>54</v>
      </c>
      <c r="F1287" t="s">
        <v>58</v>
      </c>
      <c r="G1287" t="s">
        <v>35</v>
      </c>
      <c r="H1287" t="s">
        <v>38</v>
      </c>
      <c r="I1287">
        <v>150</v>
      </c>
    </row>
    <row r="1288" spans="1:9" ht="14.5" x14ac:dyDescent="0.35">
      <c r="A1288">
        <v>2</v>
      </c>
      <c r="B1288" t="s">
        <v>44</v>
      </c>
      <c r="C1288" t="s">
        <v>85</v>
      </c>
      <c r="D1288" t="s">
        <v>86</v>
      </c>
      <c r="E1288" t="s">
        <v>87</v>
      </c>
      <c r="F1288" t="s">
        <v>89</v>
      </c>
      <c r="G1288" t="s">
        <v>52</v>
      </c>
      <c r="H1288" t="s">
        <v>38</v>
      </c>
      <c r="I1288">
        <v>150</v>
      </c>
    </row>
    <row r="1289" spans="1:9" ht="14.5" x14ac:dyDescent="0.35">
      <c r="A1289">
        <v>2</v>
      </c>
      <c r="B1289" t="s">
        <v>44</v>
      </c>
      <c r="C1289" t="s">
        <v>85</v>
      </c>
      <c r="D1289" t="s">
        <v>92</v>
      </c>
      <c r="E1289" t="s">
        <v>93</v>
      </c>
      <c r="F1289" t="s">
        <v>94</v>
      </c>
      <c r="G1289" t="s">
        <v>35</v>
      </c>
      <c r="H1289" t="s">
        <v>38</v>
      </c>
      <c r="I1289">
        <v>150</v>
      </c>
    </row>
    <row r="1290" spans="1:9" ht="14.5" x14ac:dyDescent="0.35">
      <c r="A1290">
        <v>2</v>
      </c>
      <c r="B1290" t="s">
        <v>44</v>
      </c>
      <c r="C1290" t="s">
        <v>85</v>
      </c>
      <c r="D1290" t="s">
        <v>92</v>
      </c>
      <c r="E1290" t="s">
        <v>93</v>
      </c>
      <c r="F1290" t="s">
        <v>97</v>
      </c>
      <c r="G1290" t="s">
        <v>35</v>
      </c>
      <c r="H1290" t="s">
        <v>38</v>
      </c>
      <c r="I1290">
        <v>150</v>
      </c>
    </row>
    <row r="1291" spans="1:9" ht="14.5" x14ac:dyDescent="0.35">
      <c r="A1291">
        <v>2</v>
      </c>
      <c r="B1291" t="s">
        <v>44</v>
      </c>
      <c r="C1291" t="s">
        <v>85</v>
      </c>
      <c r="D1291" t="s">
        <v>92</v>
      </c>
      <c r="E1291" t="s">
        <v>93</v>
      </c>
      <c r="F1291" t="s">
        <v>97</v>
      </c>
      <c r="G1291" t="s">
        <v>52</v>
      </c>
      <c r="H1291" t="s">
        <v>38</v>
      </c>
      <c r="I1291">
        <v>150</v>
      </c>
    </row>
    <row r="1292" spans="1:9" ht="14.5" x14ac:dyDescent="0.35">
      <c r="A1292">
        <v>2</v>
      </c>
      <c r="B1292" t="s">
        <v>44</v>
      </c>
      <c r="C1292" t="s">
        <v>72</v>
      </c>
      <c r="D1292" t="s">
        <v>73</v>
      </c>
      <c r="E1292" t="s">
        <v>74</v>
      </c>
      <c r="F1292" t="s">
        <v>78</v>
      </c>
      <c r="G1292" t="s">
        <v>35</v>
      </c>
      <c r="H1292" t="s">
        <v>38</v>
      </c>
      <c r="I1292">
        <v>150</v>
      </c>
    </row>
    <row r="1293" spans="1:9" ht="14.5" x14ac:dyDescent="0.35">
      <c r="A1293">
        <v>2</v>
      </c>
      <c r="B1293" t="s">
        <v>45</v>
      </c>
      <c r="C1293" t="s">
        <v>85</v>
      </c>
      <c r="D1293" t="s">
        <v>92</v>
      </c>
      <c r="E1293" t="s">
        <v>93</v>
      </c>
      <c r="F1293" t="s">
        <v>97</v>
      </c>
      <c r="G1293" t="s">
        <v>52</v>
      </c>
      <c r="H1293" t="s">
        <v>38</v>
      </c>
      <c r="I1293">
        <v>150</v>
      </c>
    </row>
    <row r="1294" spans="1:9" ht="14.5" x14ac:dyDescent="0.35">
      <c r="A1294">
        <v>2</v>
      </c>
      <c r="B1294" t="s">
        <v>45</v>
      </c>
      <c r="C1294" t="s">
        <v>59</v>
      </c>
      <c r="D1294" t="s">
        <v>60</v>
      </c>
      <c r="E1294" t="s">
        <v>61</v>
      </c>
      <c r="F1294" t="s">
        <v>63</v>
      </c>
      <c r="G1294" t="s">
        <v>35</v>
      </c>
      <c r="H1294" t="s">
        <v>38</v>
      </c>
      <c r="I1294">
        <v>150</v>
      </c>
    </row>
    <row r="1295" spans="1:9" ht="14.5" x14ac:dyDescent="0.35">
      <c r="A1295">
        <v>2</v>
      </c>
      <c r="B1295" t="s">
        <v>45</v>
      </c>
      <c r="C1295" t="s">
        <v>59</v>
      </c>
      <c r="D1295" t="s">
        <v>60</v>
      </c>
      <c r="E1295" t="s">
        <v>61</v>
      </c>
      <c r="F1295" t="s">
        <v>63</v>
      </c>
      <c r="G1295" t="s">
        <v>52</v>
      </c>
      <c r="H1295" t="s">
        <v>38</v>
      </c>
      <c r="I1295">
        <v>150</v>
      </c>
    </row>
    <row r="1296" spans="1:9" ht="14.5" x14ac:dyDescent="0.35">
      <c r="A1296">
        <v>2</v>
      </c>
      <c r="B1296" t="s">
        <v>45</v>
      </c>
      <c r="C1296" t="s">
        <v>59</v>
      </c>
      <c r="D1296" t="s">
        <v>60</v>
      </c>
      <c r="E1296" t="s">
        <v>61</v>
      </c>
      <c r="F1296" t="s">
        <v>62</v>
      </c>
      <c r="G1296" t="s">
        <v>52</v>
      </c>
      <c r="H1296" t="s">
        <v>38</v>
      </c>
      <c r="I1296">
        <v>150</v>
      </c>
    </row>
    <row r="1297" spans="1:9" ht="14.5" x14ac:dyDescent="0.35">
      <c r="A1297">
        <v>3</v>
      </c>
      <c r="B1297" t="s">
        <v>46</v>
      </c>
      <c r="C1297" t="s">
        <v>31</v>
      </c>
      <c r="D1297" t="s">
        <v>32</v>
      </c>
      <c r="E1297" t="s">
        <v>33</v>
      </c>
      <c r="F1297" t="s">
        <v>34</v>
      </c>
      <c r="G1297" t="s">
        <v>52</v>
      </c>
      <c r="H1297" t="s">
        <v>38</v>
      </c>
      <c r="I1297">
        <v>150</v>
      </c>
    </row>
    <row r="1298" spans="1:9" ht="14.5" x14ac:dyDescent="0.35">
      <c r="A1298">
        <v>3</v>
      </c>
      <c r="B1298" t="s">
        <v>46</v>
      </c>
      <c r="C1298" t="s">
        <v>85</v>
      </c>
      <c r="D1298" t="s">
        <v>86</v>
      </c>
      <c r="E1298" t="s">
        <v>87</v>
      </c>
      <c r="F1298" t="s">
        <v>89</v>
      </c>
      <c r="G1298" t="s">
        <v>35</v>
      </c>
      <c r="H1298" t="s">
        <v>38</v>
      </c>
      <c r="I1298">
        <v>150</v>
      </c>
    </row>
    <row r="1299" spans="1:9" ht="14.5" x14ac:dyDescent="0.35">
      <c r="A1299">
        <v>3</v>
      </c>
      <c r="B1299" t="s">
        <v>46</v>
      </c>
      <c r="C1299" t="s">
        <v>85</v>
      </c>
      <c r="D1299" t="s">
        <v>86</v>
      </c>
      <c r="E1299" t="s">
        <v>87</v>
      </c>
      <c r="F1299" t="s">
        <v>91</v>
      </c>
      <c r="G1299" t="s">
        <v>35</v>
      </c>
      <c r="H1299" t="s">
        <v>38</v>
      </c>
      <c r="I1299">
        <v>150</v>
      </c>
    </row>
    <row r="1300" spans="1:9" ht="14.5" x14ac:dyDescent="0.35">
      <c r="A1300">
        <v>3</v>
      </c>
      <c r="B1300" t="s">
        <v>46</v>
      </c>
      <c r="C1300" t="s">
        <v>85</v>
      </c>
      <c r="D1300" t="s">
        <v>92</v>
      </c>
      <c r="E1300" t="s">
        <v>93</v>
      </c>
      <c r="F1300" t="s">
        <v>96</v>
      </c>
      <c r="G1300" t="s">
        <v>35</v>
      </c>
      <c r="H1300" t="s">
        <v>38</v>
      </c>
      <c r="I1300">
        <v>150</v>
      </c>
    </row>
    <row r="1301" spans="1:9" ht="14.5" x14ac:dyDescent="0.35">
      <c r="A1301">
        <v>3</v>
      </c>
      <c r="B1301" t="s">
        <v>46</v>
      </c>
      <c r="C1301" t="s">
        <v>59</v>
      </c>
      <c r="D1301" t="s">
        <v>66</v>
      </c>
      <c r="E1301" t="s">
        <v>67</v>
      </c>
      <c r="F1301" t="s">
        <v>70</v>
      </c>
      <c r="G1301" t="s">
        <v>52</v>
      </c>
      <c r="H1301" t="s">
        <v>38</v>
      </c>
      <c r="I1301">
        <v>150</v>
      </c>
    </row>
    <row r="1302" spans="1:9" ht="14.5" x14ac:dyDescent="0.35">
      <c r="A1302">
        <v>3</v>
      </c>
      <c r="B1302" t="s">
        <v>46</v>
      </c>
      <c r="C1302" t="s">
        <v>72</v>
      </c>
      <c r="D1302" t="s">
        <v>73</v>
      </c>
      <c r="E1302" t="s">
        <v>74</v>
      </c>
      <c r="F1302" t="s">
        <v>77</v>
      </c>
      <c r="G1302" t="s">
        <v>35</v>
      </c>
      <c r="H1302" t="s">
        <v>38</v>
      </c>
      <c r="I1302">
        <v>150</v>
      </c>
    </row>
    <row r="1303" spans="1:9" ht="14.5" x14ac:dyDescent="0.35">
      <c r="A1303">
        <v>3</v>
      </c>
      <c r="B1303" t="s">
        <v>47</v>
      </c>
      <c r="C1303" t="s">
        <v>31</v>
      </c>
      <c r="D1303" t="s">
        <v>32</v>
      </c>
      <c r="E1303" t="s">
        <v>33</v>
      </c>
      <c r="F1303" t="s">
        <v>34</v>
      </c>
      <c r="G1303" t="s">
        <v>35</v>
      </c>
      <c r="H1303" t="s">
        <v>38</v>
      </c>
      <c r="I1303">
        <v>150</v>
      </c>
    </row>
    <row r="1304" spans="1:9" ht="14.5" x14ac:dyDescent="0.35">
      <c r="A1304">
        <v>3</v>
      </c>
      <c r="B1304" t="s">
        <v>47</v>
      </c>
      <c r="C1304" t="s">
        <v>85</v>
      </c>
      <c r="D1304" t="s">
        <v>86</v>
      </c>
      <c r="E1304" t="s">
        <v>87</v>
      </c>
      <c r="F1304" t="s">
        <v>89</v>
      </c>
      <c r="G1304" t="s">
        <v>35</v>
      </c>
      <c r="H1304" t="s">
        <v>38</v>
      </c>
      <c r="I1304">
        <v>150</v>
      </c>
    </row>
    <row r="1305" spans="1:9" ht="14.5" x14ac:dyDescent="0.35">
      <c r="A1305">
        <v>3</v>
      </c>
      <c r="B1305" t="s">
        <v>47</v>
      </c>
      <c r="C1305" t="s">
        <v>85</v>
      </c>
      <c r="D1305" t="s">
        <v>86</v>
      </c>
      <c r="E1305" t="s">
        <v>87</v>
      </c>
      <c r="F1305" t="s">
        <v>89</v>
      </c>
      <c r="G1305" t="s">
        <v>52</v>
      </c>
      <c r="H1305" t="s">
        <v>38</v>
      </c>
      <c r="I1305">
        <v>150</v>
      </c>
    </row>
    <row r="1306" spans="1:9" ht="14.5" x14ac:dyDescent="0.35">
      <c r="A1306">
        <v>3</v>
      </c>
      <c r="B1306" t="s">
        <v>47</v>
      </c>
      <c r="C1306" t="s">
        <v>85</v>
      </c>
      <c r="D1306" t="s">
        <v>92</v>
      </c>
      <c r="E1306" t="s">
        <v>93</v>
      </c>
      <c r="F1306" t="s">
        <v>94</v>
      </c>
      <c r="G1306" t="s">
        <v>35</v>
      </c>
      <c r="H1306" t="s">
        <v>38</v>
      </c>
      <c r="I1306">
        <v>150</v>
      </c>
    </row>
    <row r="1307" spans="1:9" ht="14.5" x14ac:dyDescent="0.35">
      <c r="A1307">
        <v>3</v>
      </c>
      <c r="B1307" t="s">
        <v>47</v>
      </c>
      <c r="C1307" t="s">
        <v>59</v>
      </c>
      <c r="D1307" t="s">
        <v>66</v>
      </c>
      <c r="E1307" t="s">
        <v>67</v>
      </c>
      <c r="F1307" t="s">
        <v>71</v>
      </c>
      <c r="G1307" t="s">
        <v>35</v>
      </c>
      <c r="H1307" t="s">
        <v>38</v>
      </c>
      <c r="I1307">
        <v>150</v>
      </c>
    </row>
    <row r="1308" spans="1:9" ht="14.5" x14ac:dyDescent="0.35">
      <c r="A1308">
        <v>3</v>
      </c>
      <c r="B1308" t="s">
        <v>47</v>
      </c>
      <c r="C1308" t="s">
        <v>72</v>
      </c>
      <c r="D1308" t="s">
        <v>73</v>
      </c>
      <c r="E1308" t="s">
        <v>74</v>
      </c>
      <c r="F1308" t="s">
        <v>77</v>
      </c>
      <c r="G1308" t="s">
        <v>52</v>
      </c>
      <c r="H1308" t="s">
        <v>38</v>
      </c>
      <c r="I1308">
        <v>150</v>
      </c>
    </row>
    <row r="1309" spans="1:9" ht="14.5" x14ac:dyDescent="0.35">
      <c r="A1309">
        <v>3</v>
      </c>
      <c r="B1309" t="s">
        <v>47</v>
      </c>
      <c r="C1309" t="s">
        <v>72</v>
      </c>
      <c r="D1309" t="s">
        <v>79</v>
      </c>
      <c r="E1309" t="s">
        <v>80</v>
      </c>
      <c r="F1309" t="s">
        <v>82</v>
      </c>
      <c r="G1309" t="s">
        <v>52</v>
      </c>
      <c r="H1309" t="s">
        <v>38</v>
      </c>
      <c r="I1309">
        <v>150</v>
      </c>
    </row>
    <row r="1310" spans="1:9" ht="14.5" x14ac:dyDescent="0.35">
      <c r="A1310">
        <v>3</v>
      </c>
      <c r="B1310" t="s">
        <v>48</v>
      </c>
      <c r="C1310" t="s">
        <v>31</v>
      </c>
      <c r="D1310" t="s">
        <v>32</v>
      </c>
      <c r="E1310" t="s">
        <v>33</v>
      </c>
      <c r="F1310" t="s">
        <v>40</v>
      </c>
      <c r="G1310" t="s">
        <v>35</v>
      </c>
      <c r="H1310" t="s">
        <v>38</v>
      </c>
      <c r="I1310">
        <v>150</v>
      </c>
    </row>
    <row r="1311" spans="1:9" ht="14.5" x14ac:dyDescent="0.35">
      <c r="A1311">
        <v>3</v>
      </c>
      <c r="B1311" t="s">
        <v>48</v>
      </c>
      <c r="C1311" t="s">
        <v>31</v>
      </c>
      <c r="D1311" t="s">
        <v>53</v>
      </c>
      <c r="E1311" t="s">
        <v>54</v>
      </c>
      <c r="F1311" t="s">
        <v>56</v>
      </c>
      <c r="G1311" t="s">
        <v>52</v>
      </c>
      <c r="H1311" t="s">
        <v>38</v>
      </c>
      <c r="I1311">
        <v>150</v>
      </c>
    </row>
    <row r="1312" spans="1:9" ht="14.5" x14ac:dyDescent="0.35">
      <c r="A1312">
        <v>3</v>
      </c>
      <c r="B1312" t="s">
        <v>48</v>
      </c>
      <c r="C1312" t="s">
        <v>59</v>
      </c>
      <c r="D1312" t="s">
        <v>60</v>
      </c>
      <c r="E1312" t="s">
        <v>61</v>
      </c>
      <c r="F1312" t="s">
        <v>63</v>
      </c>
      <c r="G1312" t="s">
        <v>35</v>
      </c>
      <c r="H1312" t="s">
        <v>38</v>
      </c>
      <c r="I1312">
        <v>150</v>
      </c>
    </row>
    <row r="1313" spans="1:9" ht="14.5" x14ac:dyDescent="0.35">
      <c r="A1313">
        <v>3</v>
      </c>
      <c r="B1313" t="s">
        <v>48</v>
      </c>
      <c r="C1313" t="s">
        <v>72</v>
      </c>
      <c r="D1313" t="s">
        <v>73</v>
      </c>
      <c r="E1313" t="s">
        <v>74</v>
      </c>
      <c r="F1313" t="s">
        <v>76</v>
      </c>
      <c r="G1313" t="s">
        <v>52</v>
      </c>
      <c r="H1313" t="s">
        <v>38</v>
      </c>
      <c r="I1313">
        <v>150</v>
      </c>
    </row>
    <row r="1314" spans="1:9" ht="14.5" x14ac:dyDescent="0.35">
      <c r="A1314">
        <v>3</v>
      </c>
      <c r="B1314" t="s">
        <v>48</v>
      </c>
      <c r="C1314" t="s">
        <v>72</v>
      </c>
      <c r="D1314" t="s">
        <v>79</v>
      </c>
      <c r="E1314" t="s">
        <v>80</v>
      </c>
      <c r="F1314" t="s">
        <v>82</v>
      </c>
      <c r="G1314" t="s">
        <v>52</v>
      </c>
      <c r="H1314" t="s">
        <v>38</v>
      </c>
      <c r="I1314">
        <v>150</v>
      </c>
    </row>
    <row r="1315" spans="1:9" ht="14.5" x14ac:dyDescent="0.35">
      <c r="A1315">
        <v>4</v>
      </c>
      <c r="B1315" t="s">
        <v>49</v>
      </c>
      <c r="C1315" t="s">
        <v>72</v>
      </c>
      <c r="D1315" t="s">
        <v>79</v>
      </c>
      <c r="E1315" t="s">
        <v>80</v>
      </c>
      <c r="F1315" t="s">
        <v>83</v>
      </c>
      <c r="G1315" t="s">
        <v>35</v>
      </c>
      <c r="H1315" t="s">
        <v>38</v>
      </c>
      <c r="I1315">
        <v>150</v>
      </c>
    </row>
    <row r="1316" spans="1:9" ht="14.5" x14ac:dyDescent="0.35">
      <c r="A1316">
        <v>4</v>
      </c>
      <c r="B1316" t="s">
        <v>49</v>
      </c>
      <c r="C1316" t="s">
        <v>72</v>
      </c>
      <c r="D1316" t="s">
        <v>79</v>
      </c>
      <c r="E1316" t="s">
        <v>80</v>
      </c>
      <c r="F1316" t="s">
        <v>83</v>
      </c>
      <c r="G1316" t="s">
        <v>52</v>
      </c>
      <c r="H1316" t="s">
        <v>38</v>
      </c>
      <c r="I1316">
        <v>150</v>
      </c>
    </row>
    <row r="1317" spans="1:9" ht="14.5" x14ac:dyDescent="0.35">
      <c r="A1317">
        <v>4</v>
      </c>
      <c r="B1317" t="s">
        <v>49</v>
      </c>
      <c r="C1317" t="s">
        <v>72</v>
      </c>
      <c r="D1317" t="s">
        <v>79</v>
      </c>
      <c r="E1317" t="s">
        <v>80</v>
      </c>
      <c r="F1317" t="s">
        <v>84</v>
      </c>
      <c r="G1317" t="s">
        <v>52</v>
      </c>
      <c r="H1317" t="s">
        <v>38</v>
      </c>
      <c r="I1317">
        <v>150</v>
      </c>
    </row>
    <row r="1318" spans="1:9" ht="14.5" x14ac:dyDescent="0.35">
      <c r="A1318">
        <v>4</v>
      </c>
      <c r="B1318" t="s">
        <v>50</v>
      </c>
      <c r="C1318" t="s">
        <v>31</v>
      </c>
      <c r="D1318" t="s">
        <v>32</v>
      </c>
      <c r="E1318" t="s">
        <v>33</v>
      </c>
      <c r="F1318" t="s">
        <v>39</v>
      </c>
      <c r="G1318" t="s">
        <v>52</v>
      </c>
      <c r="H1318" t="s">
        <v>38</v>
      </c>
      <c r="I1318">
        <v>150</v>
      </c>
    </row>
    <row r="1319" spans="1:9" ht="14.5" x14ac:dyDescent="0.35">
      <c r="A1319">
        <v>4</v>
      </c>
      <c r="B1319" t="s">
        <v>50</v>
      </c>
      <c r="C1319" t="s">
        <v>85</v>
      </c>
      <c r="D1319" t="s">
        <v>92</v>
      </c>
      <c r="E1319" t="s">
        <v>93</v>
      </c>
      <c r="F1319" t="s">
        <v>95</v>
      </c>
      <c r="G1319" t="s">
        <v>52</v>
      </c>
      <c r="H1319" t="s">
        <v>38</v>
      </c>
      <c r="I1319">
        <v>150</v>
      </c>
    </row>
    <row r="1320" spans="1:9" ht="14.5" x14ac:dyDescent="0.35">
      <c r="A1320">
        <v>4</v>
      </c>
      <c r="B1320" t="s">
        <v>50</v>
      </c>
      <c r="C1320" t="s">
        <v>85</v>
      </c>
      <c r="D1320" t="s">
        <v>92</v>
      </c>
      <c r="E1320" t="s">
        <v>93</v>
      </c>
      <c r="F1320" t="s">
        <v>97</v>
      </c>
      <c r="G1320" t="s">
        <v>52</v>
      </c>
      <c r="H1320" t="s">
        <v>38</v>
      </c>
      <c r="I1320">
        <v>150</v>
      </c>
    </row>
    <row r="1321" spans="1:9" ht="14.5" x14ac:dyDescent="0.35">
      <c r="A1321">
        <v>4</v>
      </c>
      <c r="B1321" t="s">
        <v>50</v>
      </c>
      <c r="C1321" t="s">
        <v>59</v>
      </c>
      <c r="D1321" t="s">
        <v>66</v>
      </c>
      <c r="E1321" t="s">
        <v>67</v>
      </c>
      <c r="F1321" t="s">
        <v>68</v>
      </c>
      <c r="G1321" t="s">
        <v>35</v>
      </c>
      <c r="H1321" t="s">
        <v>38</v>
      </c>
      <c r="I1321">
        <v>150</v>
      </c>
    </row>
    <row r="1322" spans="1:9" ht="14.5" x14ac:dyDescent="0.35">
      <c r="A1322">
        <v>4</v>
      </c>
      <c r="B1322" t="s">
        <v>50</v>
      </c>
      <c r="C1322" t="s">
        <v>59</v>
      </c>
      <c r="D1322" t="s">
        <v>66</v>
      </c>
      <c r="E1322" t="s">
        <v>67</v>
      </c>
      <c r="F1322" t="s">
        <v>68</v>
      </c>
      <c r="G1322" t="s">
        <v>52</v>
      </c>
      <c r="H1322" t="s">
        <v>38</v>
      </c>
      <c r="I1322">
        <v>150</v>
      </c>
    </row>
    <row r="1323" spans="1:9" ht="14.5" x14ac:dyDescent="0.35">
      <c r="A1323">
        <v>4</v>
      </c>
      <c r="B1323" t="s">
        <v>50</v>
      </c>
      <c r="C1323" t="s">
        <v>72</v>
      </c>
      <c r="D1323" t="s">
        <v>73</v>
      </c>
      <c r="E1323" t="s">
        <v>74</v>
      </c>
      <c r="F1323" t="s">
        <v>75</v>
      </c>
      <c r="G1323" t="s">
        <v>35</v>
      </c>
      <c r="H1323" t="s">
        <v>38</v>
      </c>
      <c r="I1323">
        <v>150</v>
      </c>
    </row>
    <row r="1324" spans="1:9" ht="14.5" x14ac:dyDescent="0.35">
      <c r="A1324">
        <v>4</v>
      </c>
      <c r="B1324" t="s">
        <v>51</v>
      </c>
      <c r="C1324" t="s">
        <v>31</v>
      </c>
      <c r="D1324" t="s">
        <v>32</v>
      </c>
      <c r="E1324" t="s">
        <v>33</v>
      </c>
      <c r="F1324" t="s">
        <v>39</v>
      </c>
      <c r="G1324" t="s">
        <v>52</v>
      </c>
      <c r="H1324" t="s">
        <v>38</v>
      </c>
      <c r="I1324">
        <v>150</v>
      </c>
    </row>
    <row r="1325" spans="1:9" ht="14.5" x14ac:dyDescent="0.35">
      <c r="A1325">
        <v>4</v>
      </c>
      <c r="B1325" t="s">
        <v>51</v>
      </c>
      <c r="C1325" t="s">
        <v>85</v>
      </c>
      <c r="D1325" t="s">
        <v>86</v>
      </c>
      <c r="E1325" t="s">
        <v>87</v>
      </c>
      <c r="F1325" t="s">
        <v>88</v>
      </c>
      <c r="G1325" t="s">
        <v>35</v>
      </c>
      <c r="H1325" t="s">
        <v>38</v>
      </c>
      <c r="I1325">
        <v>150</v>
      </c>
    </row>
    <row r="1326" spans="1:9" ht="14.5" x14ac:dyDescent="0.35">
      <c r="A1326">
        <v>4</v>
      </c>
      <c r="B1326" t="s">
        <v>51</v>
      </c>
      <c r="C1326" t="s">
        <v>85</v>
      </c>
      <c r="D1326" t="s">
        <v>86</v>
      </c>
      <c r="E1326" t="s">
        <v>87</v>
      </c>
      <c r="F1326" t="s">
        <v>90</v>
      </c>
      <c r="G1326" t="s">
        <v>52</v>
      </c>
      <c r="H1326" t="s">
        <v>38</v>
      </c>
      <c r="I1326">
        <v>150</v>
      </c>
    </row>
    <row r="1327" spans="1:9" ht="14.5" x14ac:dyDescent="0.35">
      <c r="A1327">
        <v>4</v>
      </c>
      <c r="B1327" t="s">
        <v>51</v>
      </c>
      <c r="C1327" t="s">
        <v>85</v>
      </c>
      <c r="D1327" t="s">
        <v>92</v>
      </c>
      <c r="E1327" t="s">
        <v>93</v>
      </c>
      <c r="F1327" t="s">
        <v>94</v>
      </c>
      <c r="G1327" t="s">
        <v>35</v>
      </c>
      <c r="H1327" t="s">
        <v>38</v>
      </c>
      <c r="I1327">
        <v>150</v>
      </c>
    </row>
    <row r="1328" spans="1:9" ht="14.5" x14ac:dyDescent="0.35">
      <c r="A1328">
        <v>4</v>
      </c>
      <c r="B1328" t="s">
        <v>51</v>
      </c>
      <c r="C1328" t="s">
        <v>72</v>
      </c>
      <c r="D1328" t="s">
        <v>79</v>
      </c>
      <c r="E1328" t="s">
        <v>80</v>
      </c>
      <c r="F1328" t="s">
        <v>83</v>
      </c>
      <c r="G1328" t="s">
        <v>52</v>
      </c>
      <c r="H1328" t="s">
        <v>38</v>
      </c>
      <c r="I1328">
        <v>150</v>
      </c>
    </row>
    <row r="1329" spans="1:9" ht="14.5" x14ac:dyDescent="0.35">
      <c r="A1329">
        <v>1</v>
      </c>
      <c r="B1329" t="s">
        <v>30</v>
      </c>
      <c r="C1329" t="s">
        <v>31</v>
      </c>
      <c r="D1329" t="s">
        <v>32</v>
      </c>
      <c r="E1329" t="s">
        <v>33</v>
      </c>
      <c r="F1329" t="s">
        <v>39</v>
      </c>
      <c r="G1329" t="s">
        <v>35</v>
      </c>
      <c r="H1329" t="s">
        <v>38</v>
      </c>
      <c r="I1329">
        <v>160</v>
      </c>
    </row>
    <row r="1330" spans="1:9" ht="14.5" x14ac:dyDescent="0.35">
      <c r="A1330">
        <v>1</v>
      </c>
      <c r="B1330" t="s">
        <v>30</v>
      </c>
      <c r="C1330" t="s">
        <v>31</v>
      </c>
      <c r="D1330" t="s">
        <v>32</v>
      </c>
      <c r="E1330" t="s">
        <v>33</v>
      </c>
      <c r="F1330" t="s">
        <v>39</v>
      </c>
      <c r="G1330" t="s">
        <v>52</v>
      </c>
      <c r="H1330" t="s">
        <v>38</v>
      </c>
      <c r="I1330">
        <v>160</v>
      </c>
    </row>
    <row r="1331" spans="1:9" ht="14.5" x14ac:dyDescent="0.35">
      <c r="A1331">
        <v>1</v>
      </c>
      <c r="B1331" t="s">
        <v>30</v>
      </c>
      <c r="C1331" t="s">
        <v>85</v>
      </c>
      <c r="D1331" t="s">
        <v>92</v>
      </c>
      <c r="E1331" t="s">
        <v>93</v>
      </c>
      <c r="F1331" t="s">
        <v>97</v>
      </c>
      <c r="G1331" t="s">
        <v>52</v>
      </c>
      <c r="H1331" t="s">
        <v>38</v>
      </c>
      <c r="I1331">
        <v>160</v>
      </c>
    </row>
    <row r="1332" spans="1:9" ht="14.5" x14ac:dyDescent="0.35">
      <c r="A1332">
        <v>1</v>
      </c>
      <c r="B1332" t="s">
        <v>30</v>
      </c>
      <c r="C1332" t="s">
        <v>59</v>
      </c>
      <c r="D1332" t="s">
        <v>60</v>
      </c>
      <c r="E1332" t="s">
        <v>61</v>
      </c>
      <c r="F1332" t="s">
        <v>65</v>
      </c>
      <c r="G1332" t="s">
        <v>35</v>
      </c>
      <c r="H1332" t="s">
        <v>38</v>
      </c>
      <c r="I1332">
        <v>160</v>
      </c>
    </row>
    <row r="1333" spans="1:9" ht="14.5" x14ac:dyDescent="0.35">
      <c r="A1333">
        <v>1</v>
      </c>
      <c r="B1333" t="s">
        <v>30</v>
      </c>
      <c r="C1333" t="s">
        <v>72</v>
      </c>
      <c r="D1333" t="s">
        <v>73</v>
      </c>
      <c r="E1333" t="s">
        <v>74</v>
      </c>
      <c r="F1333" t="s">
        <v>76</v>
      </c>
      <c r="G1333" t="s">
        <v>35</v>
      </c>
      <c r="H1333" t="s">
        <v>38</v>
      </c>
      <c r="I1333">
        <v>160</v>
      </c>
    </row>
    <row r="1334" spans="1:9" ht="14.5" x14ac:dyDescent="0.35">
      <c r="A1334">
        <v>1</v>
      </c>
      <c r="B1334" t="s">
        <v>30</v>
      </c>
      <c r="C1334" t="s">
        <v>72</v>
      </c>
      <c r="D1334" t="s">
        <v>73</v>
      </c>
      <c r="E1334" t="s">
        <v>74</v>
      </c>
      <c r="F1334" t="s">
        <v>77</v>
      </c>
      <c r="G1334" t="s">
        <v>35</v>
      </c>
      <c r="H1334" t="s">
        <v>38</v>
      </c>
      <c r="I1334">
        <v>160</v>
      </c>
    </row>
    <row r="1335" spans="1:9" ht="14.5" x14ac:dyDescent="0.35">
      <c r="A1335">
        <v>1</v>
      </c>
      <c r="B1335" t="s">
        <v>30</v>
      </c>
      <c r="C1335" t="s">
        <v>72</v>
      </c>
      <c r="D1335" t="s">
        <v>73</v>
      </c>
      <c r="E1335" t="s">
        <v>74</v>
      </c>
      <c r="F1335" t="s">
        <v>77</v>
      </c>
      <c r="G1335" t="s">
        <v>52</v>
      </c>
      <c r="H1335" t="s">
        <v>38</v>
      </c>
      <c r="I1335">
        <v>160</v>
      </c>
    </row>
    <row r="1336" spans="1:9" ht="14.5" x14ac:dyDescent="0.35">
      <c r="A1336">
        <v>1</v>
      </c>
      <c r="B1336" t="s">
        <v>30</v>
      </c>
      <c r="C1336" t="s">
        <v>72</v>
      </c>
      <c r="D1336" t="s">
        <v>79</v>
      </c>
      <c r="E1336" t="s">
        <v>80</v>
      </c>
      <c r="F1336" t="s">
        <v>81</v>
      </c>
      <c r="G1336" t="s">
        <v>35</v>
      </c>
      <c r="H1336" t="s">
        <v>38</v>
      </c>
      <c r="I1336">
        <v>160</v>
      </c>
    </row>
    <row r="1337" spans="1:9" ht="14.5" x14ac:dyDescent="0.35">
      <c r="A1337">
        <v>1</v>
      </c>
      <c r="B1337" t="s">
        <v>30</v>
      </c>
      <c r="C1337" t="s">
        <v>72</v>
      </c>
      <c r="D1337" t="s">
        <v>79</v>
      </c>
      <c r="E1337" t="s">
        <v>80</v>
      </c>
      <c r="F1337" t="s">
        <v>82</v>
      </c>
      <c r="G1337" t="s">
        <v>52</v>
      </c>
      <c r="H1337" t="s">
        <v>38</v>
      </c>
      <c r="I1337">
        <v>160</v>
      </c>
    </row>
    <row r="1338" spans="1:9" ht="14.5" x14ac:dyDescent="0.35">
      <c r="A1338">
        <v>1</v>
      </c>
      <c r="B1338" t="s">
        <v>41</v>
      </c>
      <c r="C1338" t="s">
        <v>85</v>
      </c>
      <c r="D1338" t="s">
        <v>92</v>
      </c>
      <c r="E1338" t="s">
        <v>93</v>
      </c>
      <c r="F1338" t="s">
        <v>94</v>
      </c>
      <c r="G1338" t="s">
        <v>52</v>
      </c>
      <c r="H1338" t="s">
        <v>38</v>
      </c>
      <c r="I1338">
        <v>160</v>
      </c>
    </row>
    <row r="1339" spans="1:9" ht="14.5" x14ac:dyDescent="0.35">
      <c r="A1339">
        <v>1</v>
      </c>
      <c r="B1339" t="s">
        <v>41</v>
      </c>
      <c r="C1339" t="s">
        <v>85</v>
      </c>
      <c r="D1339" t="s">
        <v>92</v>
      </c>
      <c r="E1339" t="s">
        <v>93</v>
      </c>
      <c r="F1339" t="s">
        <v>97</v>
      </c>
      <c r="G1339" t="s">
        <v>52</v>
      </c>
      <c r="H1339" t="s">
        <v>38</v>
      </c>
      <c r="I1339">
        <v>160</v>
      </c>
    </row>
    <row r="1340" spans="1:9" ht="14.5" x14ac:dyDescent="0.35">
      <c r="A1340">
        <v>1</v>
      </c>
      <c r="B1340" t="s">
        <v>41</v>
      </c>
      <c r="C1340" t="s">
        <v>59</v>
      </c>
      <c r="D1340" t="s">
        <v>66</v>
      </c>
      <c r="E1340" t="s">
        <v>67</v>
      </c>
      <c r="F1340" t="s">
        <v>69</v>
      </c>
      <c r="G1340" t="s">
        <v>35</v>
      </c>
      <c r="H1340" t="s">
        <v>38</v>
      </c>
      <c r="I1340">
        <v>160</v>
      </c>
    </row>
    <row r="1341" spans="1:9" ht="14.5" x14ac:dyDescent="0.35">
      <c r="A1341">
        <v>1</v>
      </c>
      <c r="B1341" t="s">
        <v>41</v>
      </c>
      <c r="C1341" t="s">
        <v>72</v>
      </c>
      <c r="D1341" t="s">
        <v>73</v>
      </c>
      <c r="E1341" t="s">
        <v>74</v>
      </c>
      <c r="F1341" t="s">
        <v>76</v>
      </c>
      <c r="G1341" t="s">
        <v>35</v>
      </c>
      <c r="H1341" t="s">
        <v>38</v>
      </c>
      <c r="I1341">
        <v>160</v>
      </c>
    </row>
    <row r="1342" spans="1:9" ht="14.5" x14ac:dyDescent="0.35">
      <c r="A1342">
        <v>1</v>
      </c>
      <c r="B1342" t="s">
        <v>42</v>
      </c>
      <c r="C1342" t="s">
        <v>85</v>
      </c>
      <c r="D1342" t="s">
        <v>86</v>
      </c>
      <c r="E1342" t="s">
        <v>87</v>
      </c>
      <c r="F1342" t="s">
        <v>89</v>
      </c>
      <c r="G1342" t="s">
        <v>52</v>
      </c>
      <c r="H1342" t="s">
        <v>38</v>
      </c>
      <c r="I1342">
        <v>160</v>
      </c>
    </row>
    <row r="1343" spans="1:9" ht="14.5" x14ac:dyDescent="0.35">
      <c r="A1343">
        <v>1</v>
      </c>
      <c r="B1343" t="s">
        <v>42</v>
      </c>
      <c r="C1343" t="s">
        <v>85</v>
      </c>
      <c r="D1343" t="s">
        <v>86</v>
      </c>
      <c r="E1343" t="s">
        <v>87</v>
      </c>
      <c r="F1343" t="s">
        <v>91</v>
      </c>
      <c r="G1343" t="s">
        <v>35</v>
      </c>
      <c r="H1343" t="s">
        <v>38</v>
      </c>
      <c r="I1343">
        <v>160</v>
      </c>
    </row>
    <row r="1344" spans="1:9" ht="14.5" x14ac:dyDescent="0.35">
      <c r="A1344">
        <v>1</v>
      </c>
      <c r="B1344" t="s">
        <v>42</v>
      </c>
      <c r="C1344" t="s">
        <v>85</v>
      </c>
      <c r="D1344" t="s">
        <v>86</v>
      </c>
      <c r="E1344" t="s">
        <v>87</v>
      </c>
      <c r="F1344" t="s">
        <v>91</v>
      </c>
      <c r="G1344" t="s">
        <v>52</v>
      </c>
      <c r="H1344" t="s">
        <v>38</v>
      </c>
      <c r="I1344">
        <v>160</v>
      </c>
    </row>
    <row r="1345" spans="1:9" ht="14.5" x14ac:dyDescent="0.35">
      <c r="A1345">
        <v>1</v>
      </c>
      <c r="B1345" t="s">
        <v>42</v>
      </c>
      <c r="C1345" t="s">
        <v>85</v>
      </c>
      <c r="D1345" t="s">
        <v>92</v>
      </c>
      <c r="E1345" t="s">
        <v>93</v>
      </c>
      <c r="F1345" t="s">
        <v>97</v>
      </c>
      <c r="G1345" t="s">
        <v>35</v>
      </c>
      <c r="H1345" t="s">
        <v>38</v>
      </c>
      <c r="I1345">
        <v>160</v>
      </c>
    </row>
    <row r="1346" spans="1:9" ht="14.5" x14ac:dyDescent="0.35">
      <c r="A1346">
        <v>1</v>
      </c>
      <c r="B1346" t="s">
        <v>42</v>
      </c>
      <c r="C1346" t="s">
        <v>59</v>
      </c>
      <c r="D1346" t="s">
        <v>66</v>
      </c>
      <c r="E1346" t="s">
        <v>67</v>
      </c>
      <c r="F1346" t="s">
        <v>68</v>
      </c>
      <c r="G1346" t="s">
        <v>35</v>
      </c>
      <c r="H1346" t="s">
        <v>38</v>
      </c>
      <c r="I1346">
        <v>160</v>
      </c>
    </row>
    <row r="1347" spans="1:9" ht="14.5" x14ac:dyDescent="0.35">
      <c r="A1347">
        <v>2</v>
      </c>
      <c r="B1347" t="s">
        <v>44</v>
      </c>
      <c r="C1347" t="s">
        <v>85</v>
      </c>
      <c r="D1347" t="s">
        <v>92</v>
      </c>
      <c r="E1347" t="s">
        <v>93</v>
      </c>
      <c r="F1347" t="s">
        <v>95</v>
      </c>
      <c r="G1347" t="s">
        <v>52</v>
      </c>
      <c r="H1347" t="s">
        <v>38</v>
      </c>
      <c r="I1347">
        <v>160</v>
      </c>
    </row>
    <row r="1348" spans="1:9" ht="14.5" x14ac:dyDescent="0.35">
      <c r="A1348">
        <v>2</v>
      </c>
      <c r="B1348" t="s">
        <v>45</v>
      </c>
      <c r="C1348" t="s">
        <v>85</v>
      </c>
      <c r="D1348" t="s">
        <v>86</v>
      </c>
      <c r="E1348" t="s">
        <v>87</v>
      </c>
      <c r="F1348" t="s">
        <v>91</v>
      </c>
      <c r="G1348" t="s">
        <v>52</v>
      </c>
      <c r="H1348" t="s">
        <v>38</v>
      </c>
      <c r="I1348">
        <v>160</v>
      </c>
    </row>
    <row r="1349" spans="1:9" ht="14.5" x14ac:dyDescent="0.35">
      <c r="A1349">
        <v>2</v>
      </c>
      <c r="B1349" t="s">
        <v>45</v>
      </c>
      <c r="C1349" t="s">
        <v>85</v>
      </c>
      <c r="D1349" t="s">
        <v>92</v>
      </c>
      <c r="E1349" t="s">
        <v>93</v>
      </c>
      <c r="F1349" t="s">
        <v>95</v>
      </c>
      <c r="G1349" t="s">
        <v>52</v>
      </c>
      <c r="H1349" t="s">
        <v>38</v>
      </c>
      <c r="I1349">
        <v>160</v>
      </c>
    </row>
    <row r="1350" spans="1:9" ht="14.5" x14ac:dyDescent="0.35">
      <c r="A1350">
        <v>2</v>
      </c>
      <c r="B1350" t="s">
        <v>45</v>
      </c>
      <c r="C1350" t="s">
        <v>59</v>
      </c>
      <c r="D1350" t="s">
        <v>60</v>
      </c>
      <c r="E1350" t="s">
        <v>61</v>
      </c>
      <c r="F1350" t="s">
        <v>65</v>
      </c>
      <c r="G1350" t="s">
        <v>52</v>
      </c>
      <c r="H1350" t="s">
        <v>38</v>
      </c>
      <c r="I1350">
        <v>160</v>
      </c>
    </row>
    <row r="1351" spans="1:9" ht="14.5" x14ac:dyDescent="0.35">
      <c r="A1351">
        <v>3</v>
      </c>
      <c r="B1351" t="s">
        <v>46</v>
      </c>
      <c r="C1351" t="s">
        <v>31</v>
      </c>
      <c r="D1351" t="s">
        <v>32</v>
      </c>
      <c r="E1351" t="s">
        <v>33</v>
      </c>
      <c r="F1351" t="s">
        <v>37</v>
      </c>
      <c r="G1351" t="s">
        <v>52</v>
      </c>
      <c r="H1351" t="s">
        <v>38</v>
      </c>
      <c r="I1351">
        <v>160</v>
      </c>
    </row>
    <row r="1352" spans="1:9" ht="14.5" x14ac:dyDescent="0.35">
      <c r="A1352">
        <v>3</v>
      </c>
      <c r="B1352" t="s">
        <v>46</v>
      </c>
      <c r="C1352" t="s">
        <v>59</v>
      </c>
      <c r="D1352" t="s">
        <v>60</v>
      </c>
      <c r="E1352" t="s">
        <v>61</v>
      </c>
      <c r="F1352" t="s">
        <v>65</v>
      </c>
      <c r="G1352" t="s">
        <v>52</v>
      </c>
      <c r="H1352" t="s">
        <v>38</v>
      </c>
      <c r="I1352">
        <v>160</v>
      </c>
    </row>
    <row r="1353" spans="1:9" ht="14.5" x14ac:dyDescent="0.35">
      <c r="A1353">
        <v>3</v>
      </c>
      <c r="B1353" t="s">
        <v>46</v>
      </c>
      <c r="C1353" t="s">
        <v>59</v>
      </c>
      <c r="D1353" t="s">
        <v>66</v>
      </c>
      <c r="E1353" t="s">
        <v>67</v>
      </c>
      <c r="F1353" t="s">
        <v>69</v>
      </c>
      <c r="G1353" t="s">
        <v>35</v>
      </c>
      <c r="H1353" t="s">
        <v>38</v>
      </c>
      <c r="I1353">
        <v>160</v>
      </c>
    </row>
    <row r="1354" spans="1:9" ht="14.5" x14ac:dyDescent="0.35">
      <c r="A1354">
        <v>3</v>
      </c>
      <c r="B1354" t="s">
        <v>46</v>
      </c>
      <c r="C1354" t="s">
        <v>72</v>
      </c>
      <c r="D1354" t="s">
        <v>73</v>
      </c>
      <c r="E1354" t="s">
        <v>74</v>
      </c>
      <c r="F1354" t="s">
        <v>75</v>
      </c>
      <c r="G1354" t="s">
        <v>52</v>
      </c>
      <c r="H1354" t="s">
        <v>38</v>
      </c>
      <c r="I1354">
        <v>160</v>
      </c>
    </row>
    <row r="1355" spans="1:9" ht="14.5" x14ac:dyDescent="0.35">
      <c r="A1355">
        <v>3</v>
      </c>
      <c r="B1355" t="s">
        <v>46</v>
      </c>
      <c r="C1355" t="s">
        <v>72</v>
      </c>
      <c r="D1355" t="s">
        <v>79</v>
      </c>
      <c r="E1355" t="s">
        <v>80</v>
      </c>
      <c r="F1355" t="s">
        <v>81</v>
      </c>
      <c r="G1355" t="s">
        <v>35</v>
      </c>
      <c r="H1355" t="s">
        <v>38</v>
      </c>
      <c r="I1355">
        <v>160</v>
      </c>
    </row>
    <row r="1356" spans="1:9" ht="14.5" x14ac:dyDescent="0.35">
      <c r="A1356">
        <v>3</v>
      </c>
      <c r="B1356" t="s">
        <v>47</v>
      </c>
      <c r="C1356" t="s">
        <v>59</v>
      </c>
      <c r="D1356" t="s">
        <v>60</v>
      </c>
      <c r="E1356" t="s">
        <v>61</v>
      </c>
      <c r="F1356" t="s">
        <v>65</v>
      </c>
      <c r="G1356" t="s">
        <v>52</v>
      </c>
      <c r="H1356" t="s">
        <v>38</v>
      </c>
      <c r="I1356">
        <v>160</v>
      </c>
    </row>
    <row r="1357" spans="1:9" ht="14.5" x14ac:dyDescent="0.35">
      <c r="A1357">
        <v>3</v>
      </c>
      <c r="B1357" t="s">
        <v>47</v>
      </c>
      <c r="C1357" t="s">
        <v>59</v>
      </c>
      <c r="D1357" t="s">
        <v>66</v>
      </c>
      <c r="E1357" t="s">
        <v>67</v>
      </c>
      <c r="F1357" t="s">
        <v>70</v>
      </c>
      <c r="G1357" t="s">
        <v>35</v>
      </c>
      <c r="H1357" t="s">
        <v>38</v>
      </c>
      <c r="I1357">
        <v>160</v>
      </c>
    </row>
    <row r="1358" spans="1:9" ht="14.5" x14ac:dyDescent="0.35">
      <c r="A1358">
        <v>3</v>
      </c>
      <c r="B1358" t="s">
        <v>48</v>
      </c>
      <c r="C1358" t="s">
        <v>59</v>
      </c>
      <c r="D1358" t="s">
        <v>60</v>
      </c>
      <c r="E1358" t="s">
        <v>61</v>
      </c>
      <c r="F1358" t="s">
        <v>64</v>
      </c>
      <c r="G1358" t="s">
        <v>52</v>
      </c>
      <c r="H1358" t="s">
        <v>38</v>
      </c>
      <c r="I1358">
        <v>160</v>
      </c>
    </row>
    <row r="1359" spans="1:9" ht="14.5" x14ac:dyDescent="0.35">
      <c r="A1359">
        <v>4</v>
      </c>
      <c r="B1359" t="s">
        <v>49</v>
      </c>
      <c r="C1359" t="s">
        <v>31</v>
      </c>
      <c r="D1359" t="s">
        <v>53</v>
      </c>
      <c r="E1359" t="s">
        <v>54</v>
      </c>
      <c r="F1359" t="s">
        <v>57</v>
      </c>
      <c r="G1359" t="s">
        <v>35</v>
      </c>
      <c r="H1359" t="s">
        <v>38</v>
      </c>
      <c r="I1359">
        <v>160</v>
      </c>
    </row>
    <row r="1360" spans="1:9" ht="14.5" x14ac:dyDescent="0.35">
      <c r="A1360">
        <v>4</v>
      </c>
      <c r="B1360" t="s">
        <v>49</v>
      </c>
      <c r="C1360" t="s">
        <v>31</v>
      </c>
      <c r="D1360" t="s">
        <v>53</v>
      </c>
      <c r="E1360" t="s">
        <v>54</v>
      </c>
      <c r="F1360" t="s">
        <v>58</v>
      </c>
      <c r="G1360" t="s">
        <v>35</v>
      </c>
      <c r="H1360" t="s">
        <v>38</v>
      </c>
      <c r="I1360">
        <v>160</v>
      </c>
    </row>
    <row r="1361" spans="1:9" ht="14.5" x14ac:dyDescent="0.35">
      <c r="A1361">
        <v>4</v>
      </c>
      <c r="B1361" t="s">
        <v>49</v>
      </c>
      <c r="C1361" t="s">
        <v>85</v>
      </c>
      <c r="D1361" t="s">
        <v>86</v>
      </c>
      <c r="E1361" t="s">
        <v>87</v>
      </c>
      <c r="F1361" t="s">
        <v>89</v>
      </c>
      <c r="G1361" t="s">
        <v>35</v>
      </c>
      <c r="H1361" t="s">
        <v>38</v>
      </c>
      <c r="I1361">
        <v>160</v>
      </c>
    </row>
    <row r="1362" spans="1:9" ht="14.5" x14ac:dyDescent="0.35">
      <c r="A1362">
        <v>4</v>
      </c>
      <c r="B1362" t="s">
        <v>49</v>
      </c>
      <c r="C1362" t="s">
        <v>59</v>
      </c>
      <c r="D1362" t="s">
        <v>66</v>
      </c>
      <c r="E1362" t="s">
        <v>67</v>
      </c>
      <c r="F1362" t="s">
        <v>71</v>
      </c>
      <c r="G1362" t="s">
        <v>52</v>
      </c>
      <c r="H1362" t="s">
        <v>38</v>
      </c>
      <c r="I1362">
        <v>160</v>
      </c>
    </row>
    <row r="1363" spans="1:9" ht="14.5" x14ac:dyDescent="0.35">
      <c r="A1363">
        <v>4</v>
      </c>
      <c r="B1363" t="s">
        <v>49</v>
      </c>
      <c r="C1363" t="s">
        <v>72</v>
      </c>
      <c r="D1363" t="s">
        <v>79</v>
      </c>
      <c r="E1363" t="s">
        <v>80</v>
      </c>
      <c r="F1363" t="s">
        <v>81</v>
      </c>
      <c r="G1363" t="s">
        <v>35</v>
      </c>
      <c r="H1363" t="s">
        <v>38</v>
      </c>
      <c r="I1363">
        <v>160</v>
      </c>
    </row>
    <row r="1364" spans="1:9" ht="14.5" x14ac:dyDescent="0.35">
      <c r="A1364">
        <v>4</v>
      </c>
      <c r="B1364" t="s">
        <v>50</v>
      </c>
      <c r="C1364" t="s">
        <v>59</v>
      </c>
      <c r="D1364" t="s">
        <v>66</v>
      </c>
      <c r="E1364" t="s">
        <v>67</v>
      </c>
      <c r="F1364" t="s">
        <v>71</v>
      </c>
      <c r="G1364" t="s">
        <v>35</v>
      </c>
      <c r="H1364" t="s">
        <v>38</v>
      </c>
      <c r="I1364">
        <v>160</v>
      </c>
    </row>
    <row r="1365" spans="1:9" ht="14.5" x14ac:dyDescent="0.35">
      <c r="A1365">
        <v>4</v>
      </c>
      <c r="B1365" t="s">
        <v>51</v>
      </c>
      <c r="C1365" t="s">
        <v>31</v>
      </c>
      <c r="D1365" t="s">
        <v>53</v>
      </c>
      <c r="E1365" t="s">
        <v>54</v>
      </c>
      <c r="F1365" t="s">
        <v>56</v>
      </c>
      <c r="G1365" t="s">
        <v>52</v>
      </c>
      <c r="H1365" t="s">
        <v>38</v>
      </c>
      <c r="I1365">
        <v>160</v>
      </c>
    </row>
    <row r="1366" spans="1:9" ht="14.5" x14ac:dyDescent="0.35">
      <c r="A1366">
        <v>4</v>
      </c>
      <c r="B1366" t="s">
        <v>51</v>
      </c>
      <c r="C1366" t="s">
        <v>31</v>
      </c>
      <c r="D1366" t="s">
        <v>53</v>
      </c>
      <c r="E1366" t="s">
        <v>54</v>
      </c>
      <c r="F1366" t="s">
        <v>57</v>
      </c>
      <c r="G1366" t="s">
        <v>52</v>
      </c>
      <c r="H1366" t="s">
        <v>38</v>
      </c>
      <c r="I1366">
        <v>160</v>
      </c>
    </row>
    <row r="1367" spans="1:9" ht="14.5" x14ac:dyDescent="0.35">
      <c r="A1367">
        <v>4</v>
      </c>
      <c r="B1367" t="s">
        <v>51</v>
      </c>
      <c r="C1367" t="s">
        <v>85</v>
      </c>
      <c r="D1367" t="s">
        <v>92</v>
      </c>
      <c r="E1367" t="s">
        <v>93</v>
      </c>
      <c r="F1367" t="s">
        <v>95</v>
      </c>
      <c r="G1367" t="s">
        <v>52</v>
      </c>
      <c r="H1367" t="s">
        <v>38</v>
      </c>
      <c r="I1367">
        <v>160</v>
      </c>
    </row>
    <row r="1368" spans="1:9" ht="14.5" x14ac:dyDescent="0.35">
      <c r="A1368">
        <v>1</v>
      </c>
      <c r="B1368" t="s">
        <v>30</v>
      </c>
      <c r="C1368" t="s">
        <v>31</v>
      </c>
      <c r="D1368" t="s">
        <v>32</v>
      </c>
      <c r="E1368" t="s">
        <v>33</v>
      </c>
      <c r="F1368" t="s">
        <v>34</v>
      </c>
      <c r="G1368" t="s">
        <v>35</v>
      </c>
      <c r="H1368" t="s">
        <v>38</v>
      </c>
      <c r="I1368">
        <v>170</v>
      </c>
    </row>
    <row r="1369" spans="1:9" ht="14.5" x14ac:dyDescent="0.35">
      <c r="A1369">
        <v>1</v>
      </c>
      <c r="B1369" t="s">
        <v>30</v>
      </c>
      <c r="C1369" t="s">
        <v>85</v>
      </c>
      <c r="D1369" t="s">
        <v>92</v>
      </c>
      <c r="E1369" t="s">
        <v>93</v>
      </c>
      <c r="F1369" t="s">
        <v>95</v>
      </c>
      <c r="G1369" t="s">
        <v>52</v>
      </c>
      <c r="H1369" t="s">
        <v>38</v>
      </c>
      <c r="I1369">
        <v>170</v>
      </c>
    </row>
    <row r="1370" spans="1:9" ht="14.5" x14ac:dyDescent="0.35">
      <c r="A1370">
        <v>1</v>
      </c>
      <c r="B1370" t="s">
        <v>30</v>
      </c>
      <c r="C1370" t="s">
        <v>59</v>
      </c>
      <c r="D1370" t="s">
        <v>66</v>
      </c>
      <c r="E1370" t="s">
        <v>67</v>
      </c>
      <c r="F1370" t="s">
        <v>70</v>
      </c>
      <c r="G1370" t="s">
        <v>52</v>
      </c>
      <c r="H1370" t="s">
        <v>38</v>
      </c>
      <c r="I1370">
        <v>170</v>
      </c>
    </row>
    <row r="1371" spans="1:9" ht="14.5" x14ac:dyDescent="0.35">
      <c r="A1371">
        <v>1</v>
      </c>
      <c r="B1371" t="s">
        <v>30</v>
      </c>
      <c r="C1371" t="s">
        <v>72</v>
      </c>
      <c r="D1371" t="s">
        <v>73</v>
      </c>
      <c r="E1371" t="s">
        <v>74</v>
      </c>
      <c r="F1371" t="s">
        <v>75</v>
      </c>
      <c r="G1371" t="s">
        <v>52</v>
      </c>
      <c r="H1371" t="s">
        <v>38</v>
      </c>
      <c r="I1371">
        <v>170</v>
      </c>
    </row>
    <row r="1372" spans="1:9" ht="14.5" x14ac:dyDescent="0.35">
      <c r="A1372">
        <v>1</v>
      </c>
      <c r="B1372" t="s">
        <v>30</v>
      </c>
      <c r="C1372" t="s">
        <v>72</v>
      </c>
      <c r="D1372" t="s">
        <v>79</v>
      </c>
      <c r="E1372" t="s">
        <v>80</v>
      </c>
      <c r="F1372" t="s">
        <v>82</v>
      </c>
      <c r="G1372" t="s">
        <v>35</v>
      </c>
      <c r="H1372" t="s">
        <v>38</v>
      </c>
      <c r="I1372">
        <v>170</v>
      </c>
    </row>
    <row r="1373" spans="1:9" ht="14.5" x14ac:dyDescent="0.35">
      <c r="A1373">
        <v>1</v>
      </c>
      <c r="B1373" t="s">
        <v>30</v>
      </c>
      <c r="C1373" t="s">
        <v>72</v>
      </c>
      <c r="D1373" t="s">
        <v>79</v>
      </c>
      <c r="E1373" t="s">
        <v>80</v>
      </c>
      <c r="F1373" t="s">
        <v>83</v>
      </c>
      <c r="G1373" t="s">
        <v>52</v>
      </c>
      <c r="H1373" t="s">
        <v>38</v>
      </c>
      <c r="I1373">
        <v>170</v>
      </c>
    </row>
    <row r="1374" spans="1:9" ht="14.5" x14ac:dyDescent="0.35">
      <c r="A1374">
        <v>1</v>
      </c>
      <c r="B1374" t="s">
        <v>30</v>
      </c>
      <c r="C1374" t="s">
        <v>72</v>
      </c>
      <c r="D1374" t="s">
        <v>79</v>
      </c>
      <c r="E1374" t="s">
        <v>80</v>
      </c>
      <c r="F1374" t="s">
        <v>84</v>
      </c>
      <c r="G1374" t="s">
        <v>35</v>
      </c>
      <c r="H1374" t="s">
        <v>38</v>
      </c>
      <c r="I1374">
        <v>170</v>
      </c>
    </row>
    <row r="1375" spans="1:9" ht="14.5" x14ac:dyDescent="0.35">
      <c r="A1375">
        <v>1</v>
      </c>
      <c r="B1375" t="s">
        <v>41</v>
      </c>
      <c r="C1375" t="s">
        <v>31</v>
      </c>
      <c r="D1375" t="s">
        <v>32</v>
      </c>
      <c r="E1375" t="s">
        <v>33</v>
      </c>
      <c r="F1375" t="s">
        <v>34</v>
      </c>
      <c r="G1375" t="s">
        <v>52</v>
      </c>
      <c r="H1375" t="s">
        <v>38</v>
      </c>
      <c r="I1375">
        <v>170</v>
      </c>
    </row>
    <row r="1376" spans="1:9" ht="14.5" x14ac:dyDescent="0.35">
      <c r="A1376">
        <v>1</v>
      </c>
      <c r="B1376" t="s">
        <v>41</v>
      </c>
      <c r="C1376" t="s">
        <v>31</v>
      </c>
      <c r="D1376" t="s">
        <v>53</v>
      </c>
      <c r="E1376" t="s">
        <v>54</v>
      </c>
      <c r="F1376" t="s">
        <v>55</v>
      </c>
      <c r="G1376" t="s">
        <v>52</v>
      </c>
      <c r="H1376" t="s">
        <v>38</v>
      </c>
      <c r="I1376">
        <v>170</v>
      </c>
    </row>
    <row r="1377" spans="1:9" ht="14.5" x14ac:dyDescent="0.35">
      <c r="A1377">
        <v>1</v>
      </c>
      <c r="B1377" t="s">
        <v>41</v>
      </c>
      <c r="C1377" t="s">
        <v>85</v>
      </c>
      <c r="D1377" t="s">
        <v>86</v>
      </c>
      <c r="E1377" t="s">
        <v>87</v>
      </c>
      <c r="F1377" t="s">
        <v>90</v>
      </c>
      <c r="G1377" t="s">
        <v>35</v>
      </c>
      <c r="H1377" t="s">
        <v>38</v>
      </c>
      <c r="I1377">
        <v>170</v>
      </c>
    </row>
    <row r="1378" spans="1:9" ht="14.5" x14ac:dyDescent="0.35">
      <c r="A1378">
        <v>1</v>
      </c>
      <c r="B1378" t="s">
        <v>41</v>
      </c>
      <c r="C1378" t="s">
        <v>85</v>
      </c>
      <c r="D1378" t="s">
        <v>86</v>
      </c>
      <c r="E1378" t="s">
        <v>87</v>
      </c>
      <c r="F1378" t="s">
        <v>90</v>
      </c>
      <c r="G1378" t="s">
        <v>52</v>
      </c>
      <c r="H1378" t="s">
        <v>38</v>
      </c>
      <c r="I1378">
        <v>170</v>
      </c>
    </row>
    <row r="1379" spans="1:9" ht="14.5" x14ac:dyDescent="0.35">
      <c r="A1379">
        <v>1</v>
      </c>
      <c r="B1379" t="s">
        <v>41</v>
      </c>
      <c r="C1379" t="s">
        <v>59</v>
      </c>
      <c r="D1379" t="s">
        <v>66</v>
      </c>
      <c r="E1379" t="s">
        <v>67</v>
      </c>
      <c r="F1379" t="s">
        <v>68</v>
      </c>
      <c r="G1379" t="s">
        <v>35</v>
      </c>
      <c r="H1379" t="s">
        <v>38</v>
      </c>
      <c r="I1379">
        <v>170</v>
      </c>
    </row>
    <row r="1380" spans="1:9" ht="14.5" x14ac:dyDescent="0.35">
      <c r="A1380">
        <v>1</v>
      </c>
      <c r="B1380" t="s">
        <v>41</v>
      </c>
      <c r="C1380" t="s">
        <v>72</v>
      </c>
      <c r="D1380" t="s">
        <v>79</v>
      </c>
      <c r="E1380" t="s">
        <v>80</v>
      </c>
      <c r="F1380" t="s">
        <v>81</v>
      </c>
      <c r="G1380" t="s">
        <v>52</v>
      </c>
      <c r="H1380" t="s">
        <v>38</v>
      </c>
      <c r="I1380">
        <v>170</v>
      </c>
    </row>
    <row r="1381" spans="1:9" ht="14.5" x14ac:dyDescent="0.35">
      <c r="A1381">
        <v>1</v>
      </c>
      <c r="B1381" t="s">
        <v>41</v>
      </c>
      <c r="C1381" t="s">
        <v>72</v>
      </c>
      <c r="D1381" t="s">
        <v>79</v>
      </c>
      <c r="E1381" t="s">
        <v>80</v>
      </c>
      <c r="F1381" t="s">
        <v>83</v>
      </c>
      <c r="G1381" t="s">
        <v>52</v>
      </c>
      <c r="H1381" t="s">
        <v>38</v>
      </c>
      <c r="I1381">
        <v>170</v>
      </c>
    </row>
    <row r="1382" spans="1:9" ht="14.5" x14ac:dyDescent="0.35">
      <c r="A1382">
        <v>1</v>
      </c>
      <c r="B1382" t="s">
        <v>42</v>
      </c>
      <c r="C1382" t="s">
        <v>31</v>
      </c>
      <c r="D1382" t="s">
        <v>32</v>
      </c>
      <c r="E1382" t="s">
        <v>33</v>
      </c>
      <c r="F1382" t="s">
        <v>34</v>
      </c>
      <c r="G1382" t="s">
        <v>35</v>
      </c>
      <c r="H1382" t="s">
        <v>38</v>
      </c>
      <c r="I1382">
        <v>170</v>
      </c>
    </row>
    <row r="1383" spans="1:9" ht="14.5" x14ac:dyDescent="0.35">
      <c r="A1383">
        <v>1</v>
      </c>
      <c r="B1383" t="s">
        <v>42</v>
      </c>
      <c r="C1383" t="s">
        <v>85</v>
      </c>
      <c r="D1383" t="s">
        <v>92</v>
      </c>
      <c r="E1383" t="s">
        <v>93</v>
      </c>
      <c r="F1383" t="s">
        <v>97</v>
      </c>
      <c r="G1383" t="s">
        <v>52</v>
      </c>
      <c r="H1383" t="s">
        <v>38</v>
      </c>
      <c r="I1383">
        <v>170</v>
      </c>
    </row>
    <row r="1384" spans="1:9" ht="14.5" x14ac:dyDescent="0.35">
      <c r="A1384">
        <v>1</v>
      </c>
      <c r="B1384" t="s">
        <v>42</v>
      </c>
      <c r="C1384" t="s">
        <v>72</v>
      </c>
      <c r="D1384" t="s">
        <v>79</v>
      </c>
      <c r="E1384" t="s">
        <v>80</v>
      </c>
      <c r="F1384" t="s">
        <v>83</v>
      </c>
      <c r="G1384" t="s">
        <v>52</v>
      </c>
      <c r="H1384" t="s">
        <v>38</v>
      </c>
      <c r="I1384">
        <v>170</v>
      </c>
    </row>
    <row r="1385" spans="1:9" ht="14.5" x14ac:dyDescent="0.35">
      <c r="A1385">
        <v>1</v>
      </c>
      <c r="B1385" t="s">
        <v>42</v>
      </c>
      <c r="C1385" t="s">
        <v>72</v>
      </c>
      <c r="D1385" t="s">
        <v>79</v>
      </c>
      <c r="E1385" t="s">
        <v>80</v>
      </c>
      <c r="F1385" t="s">
        <v>84</v>
      </c>
      <c r="G1385" t="s">
        <v>35</v>
      </c>
      <c r="H1385" t="s">
        <v>38</v>
      </c>
      <c r="I1385">
        <v>170</v>
      </c>
    </row>
    <row r="1386" spans="1:9" ht="14.5" x14ac:dyDescent="0.35">
      <c r="A1386">
        <v>1</v>
      </c>
      <c r="B1386" t="s">
        <v>42</v>
      </c>
      <c r="C1386" t="s">
        <v>72</v>
      </c>
      <c r="D1386" t="s">
        <v>79</v>
      </c>
      <c r="E1386" t="s">
        <v>80</v>
      </c>
      <c r="F1386" t="s">
        <v>84</v>
      </c>
      <c r="G1386" t="s">
        <v>52</v>
      </c>
      <c r="H1386" t="s">
        <v>38</v>
      </c>
      <c r="I1386">
        <v>170</v>
      </c>
    </row>
    <row r="1387" spans="1:9" ht="14.5" x14ac:dyDescent="0.35">
      <c r="A1387">
        <v>2</v>
      </c>
      <c r="B1387" t="s">
        <v>43</v>
      </c>
      <c r="C1387" t="s">
        <v>59</v>
      </c>
      <c r="D1387" t="s">
        <v>60</v>
      </c>
      <c r="E1387" t="s">
        <v>61</v>
      </c>
      <c r="F1387" t="s">
        <v>63</v>
      </c>
      <c r="G1387" t="s">
        <v>52</v>
      </c>
      <c r="H1387" t="s">
        <v>38</v>
      </c>
      <c r="I1387">
        <v>170</v>
      </c>
    </row>
    <row r="1388" spans="1:9" ht="14.5" x14ac:dyDescent="0.35">
      <c r="A1388">
        <v>2</v>
      </c>
      <c r="B1388" t="s">
        <v>43</v>
      </c>
      <c r="C1388" t="s">
        <v>59</v>
      </c>
      <c r="D1388" t="s">
        <v>60</v>
      </c>
      <c r="E1388" t="s">
        <v>61</v>
      </c>
      <c r="F1388" t="s">
        <v>64</v>
      </c>
      <c r="G1388" t="s">
        <v>35</v>
      </c>
      <c r="H1388" t="s">
        <v>38</v>
      </c>
      <c r="I1388">
        <v>170</v>
      </c>
    </row>
    <row r="1389" spans="1:9" ht="14.5" x14ac:dyDescent="0.35">
      <c r="A1389">
        <v>2</v>
      </c>
      <c r="B1389" t="s">
        <v>43</v>
      </c>
      <c r="C1389" t="s">
        <v>59</v>
      </c>
      <c r="D1389" t="s">
        <v>60</v>
      </c>
      <c r="E1389" t="s">
        <v>61</v>
      </c>
      <c r="F1389" t="s">
        <v>62</v>
      </c>
      <c r="G1389" t="s">
        <v>35</v>
      </c>
      <c r="H1389" t="s">
        <v>38</v>
      </c>
      <c r="I1389">
        <v>170</v>
      </c>
    </row>
    <row r="1390" spans="1:9" ht="14.5" x14ac:dyDescent="0.35">
      <c r="A1390">
        <v>2</v>
      </c>
      <c r="B1390" t="s">
        <v>43</v>
      </c>
      <c r="C1390" t="s">
        <v>72</v>
      </c>
      <c r="D1390" t="s">
        <v>73</v>
      </c>
      <c r="E1390" t="s">
        <v>74</v>
      </c>
      <c r="F1390" t="s">
        <v>77</v>
      </c>
      <c r="G1390" t="s">
        <v>35</v>
      </c>
      <c r="H1390" t="s">
        <v>38</v>
      </c>
      <c r="I1390">
        <v>170</v>
      </c>
    </row>
    <row r="1391" spans="1:9" ht="14.5" x14ac:dyDescent="0.35">
      <c r="A1391">
        <v>2</v>
      </c>
      <c r="B1391" t="s">
        <v>43</v>
      </c>
      <c r="C1391" t="s">
        <v>72</v>
      </c>
      <c r="D1391" t="s">
        <v>73</v>
      </c>
      <c r="E1391" t="s">
        <v>74</v>
      </c>
      <c r="F1391" t="s">
        <v>78</v>
      </c>
      <c r="G1391" t="s">
        <v>35</v>
      </c>
      <c r="H1391" t="s">
        <v>38</v>
      </c>
      <c r="I1391">
        <v>170</v>
      </c>
    </row>
    <row r="1392" spans="1:9" ht="14.5" x14ac:dyDescent="0.35">
      <c r="A1392">
        <v>2</v>
      </c>
      <c r="B1392" t="s">
        <v>43</v>
      </c>
      <c r="C1392" t="s">
        <v>72</v>
      </c>
      <c r="D1392" t="s">
        <v>79</v>
      </c>
      <c r="E1392" t="s">
        <v>80</v>
      </c>
      <c r="F1392" t="s">
        <v>82</v>
      </c>
      <c r="G1392" t="s">
        <v>35</v>
      </c>
      <c r="H1392" t="s">
        <v>38</v>
      </c>
      <c r="I1392">
        <v>170</v>
      </c>
    </row>
    <row r="1393" spans="1:9" ht="14.5" x14ac:dyDescent="0.35">
      <c r="A1393">
        <v>2</v>
      </c>
      <c r="B1393" t="s">
        <v>44</v>
      </c>
      <c r="C1393" t="s">
        <v>59</v>
      </c>
      <c r="D1393" t="s">
        <v>66</v>
      </c>
      <c r="E1393" t="s">
        <v>67</v>
      </c>
      <c r="F1393" t="s">
        <v>70</v>
      </c>
      <c r="G1393" t="s">
        <v>35</v>
      </c>
      <c r="H1393" t="s">
        <v>38</v>
      </c>
      <c r="I1393">
        <v>170</v>
      </c>
    </row>
    <row r="1394" spans="1:9" ht="14.5" x14ac:dyDescent="0.35">
      <c r="A1394">
        <v>2</v>
      </c>
      <c r="B1394" t="s">
        <v>44</v>
      </c>
      <c r="C1394" t="s">
        <v>72</v>
      </c>
      <c r="D1394" t="s">
        <v>73</v>
      </c>
      <c r="E1394" t="s">
        <v>74</v>
      </c>
      <c r="F1394" t="s">
        <v>78</v>
      </c>
      <c r="G1394" t="s">
        <v>52</v>
      </c>
      <c r="H1394" t="s">
        <v>38</v>
      </c>
      <c r="I1394">
        <v>170</v>
      </c>
    </row>
    <row r="1395" spans="1:9" ht="14.5" x14ac:dyDescent="0.35">
      <c r="A1395">
        <v>2</v>
      </c>
      <c r="B1395" t="s">
        <v>45</v>
      </c>
      <c r="C1395" t="s">
        <v>85</v>
      </c>
      <c r="D1395" t="s">
        <v>92</v>
      </c>
      <c r="E1395" t="s">
        <v>93</v>
      </c>
      <c r="F1395" t="s">
        <v>94</v>
      </c>
      <c r="G1395" t="s">
        <v>52</v>
      </c>
      <c r="H1395" t="s">
        <v>38</v>
      </c>
      <c r="I1395">
        <v>170</v>
      </c>
    </row>
    <row r="1396" spans="1:9" ht="14.5" x14ac:dyDescent="0.35">
      <c r="A1396">
        <v>2</v>
      </c>
      <c r="B1396" t="s">
        <v>45</v>
      </c>
      <c r="C1396" t="s">
        <v>59</v>
      </c>
      <c r="D1396" t="s">
        <v>60</v>
      </c>
      <c r="E1396" t="s">
        <v>61</v>
      </c>
      <c r="F1396" t="s">
        <v>62</v>
      </c>
      <c r="G1396" t="s">
        <v>35</v>
      </c>
      <c r="H1396" t="s">
        <v>38</v>
      </c>
      <c r="I1396">
        <v>170</v>
      </c>
    </row>
    <row r="1397" spans="1:9" ht="14.5" x14ac:dyDescent="0.35">
      <c r="A1397">
        <v>2</v>
      </c>
      <c r="B1397" t="s">
        <v>45</v>
      </c>
      <c r="C1397" t="s">
        <v>72</v>
      </c>
      <c r="D1397" t="s">
        <v>73</v>
      </c>
      <c r="E1397" t="s">
        <v>74</v>
      </c>
      <c r="F1397" t="s">
        <v>78</v>
      </c>
      <c r="G1397" t="s">
        <v>52</v>
      </c>
      <c r="H1397" t="s">
        <v>38</v>
      </c>
      <c r="I1397">
        <v>170</v>
      </c>
    </row>
    <row r="1398" spans="1:9" ht="14.5" x14ac:dyDescent="0.35">
      <c r="A1398">
        <v>3</v>
      </c>
      <c r="B1398" t="s">
        <v>46</v>
      </c>
      <c r="C1398" t="s">
        <v>31</v>
      </c>
      <c r="D1398" t="s">
        <v>53</v>
      </c>
      <c r="E1398" t="s">
        <v>54</v>
      </c>
      <c r="F1398" t="s">
        <v>58</v>
      </c>
      <c r="G1398" t="s">
        <v>52</v>
      </c>
      <c r="H1398" t="s">
        <v>38</v>
      </c>
      <c r="I1398">
        <v>170</v>
      </c>
    </row>
    <row r="1399" spans="1:9" ht="14.5" x14ac:dyDescent="0.35">
      <c r="A1399">
        <v>3</v>
      </c>
      <c r="B1399" t="s">
        <v>46</v>
      </c>
      <c r="C1399" t="s">
        <v>85</v>
      </c>
      <c r="D1399" t="s">
        <v>86</v>
      </c>
      <c r="E1399" t="s">
        <v>87</v>
      </c>
      <c r="F1399" t="s">
        <v>88</v>
      </c>
      <c r="G1399" t="s">
        <v>52</v>
      </c>
      <c r="H1399" t="s">
        <v>38</v>
      </c>
      <c r="I1399">
        <v>170</v>
      </c>
    </row>
    <row r="1400" spans="1:9" ht="14.5" x14ac:dyDescent="0.35">
      <c r="A1400">
        <v>3</v>
      </c>
      <c r="B1400" t="s">
        <v>46</v>
      </c>
      <c r="C1400" t="s">
        <v>85</v>
      </c>
      <c r="D1400" t="s">
        <v>92</v>
      </c>
      <c r="E1400" t="s">
        <v>93</v>
      </c>
      <c r="F1400" t="s">
        <v>95</v>
      </c>
      <c r="G1400" t="s">
        <v>35</v>
      </c>
      <c r="H1400" t="s">
        <v>38</v>
      </c>
      <c r="I1400">
        <v>170</v>
      </c>
    </row>
    <row r="1401" spans="1:9" ht="14.5" x14ac:dyDescent="0.35">
      <c r="A1401">
        <v>3</v>
      </c>
      <c r="B1401" t="s">
        <v>46</v>
      </c>
      <c r="C1401" t="s">
        <v>59</v>
      </c>
      <c r="D1401" t="s">
        <v>60</v>
      </c>
      <c r="E1401" t="s">
        <v>61</v>
      </c>
      <c r="F1401" t="s">
        <v>64</v>
      </c>
      <c r="G1401" t="s">
        <v>52</v>
      </c>
      <c r="H1401" t="s">
        <v>38</v>
      </c>
      <c r="I1401">
        <v>170</v>
      </c>
    </row>
    <row r="1402" spans="1:9" ht="14.5" x14ac:dyDescent="0.35">
      <c r="A1402">
        <v>3</v>
      </c>
      <c r="B1402" t="s">
        <v>46</v>
      </c>
      <c r="C1402" t="s">
        <v>59</v>
      </c>
      <c r="D1402" t="s">
        <v>60</v>
      </c>
      <c r="E1402" t="s">
        <v>61</v>
      </c>
      <c r="F1402" t="s">
        <v>62</v>
      </c>
      <c r="G1402" t="s">
        <v>52</v>
      </c>
      <c r="H1402" t="s">
        <v>38</v>
      </c>
      <c r="I1402">
        <v>170</v>
      </c>
    </row>
    <row r="1403" spans="1:9" ht="14.5" x14ac:dyDescent="0.35">
      <c r="A1403">
        <v>3</v>
      </c>
      <c r="B1403" t="s">
        <v>46</v>
      </c>
      <c r="C1403" t="s">
        <v>59</v>
      </c>
      <c r="D1403" t="s">
        <v>66</v>
      </c>
      <c r="E1403" t="s">
        <v>67</v>
      </c>
      <c r="F1403" t="s">
        <v>69</v>
      </c>
      <c r="G1403" t="s">
        <v>52</v>
      </c>
      <c r="H1403" t="s">
        <v>38</v>
      </c>
      <c r="I1403">
        <v>170</v>
      </c>
    </row>
    <row r="1404" spans="1:9" ht="14.5" x14ac:dyDescent="0.35">
      <c r="A1404">
        <v>3</v>
      </c>
      <c r="B1404" t="s">
        <v>46</v>
      </c>
      <c r="C1404" t="s">
        <v>59</v>
      </c>
      <c r="D1404" t="s">
        <v>66</v>
      </c>
      <c r="E1404" t="s">
        <v>67</v>
      </c>
      <c r="F1404" t="s">
        <v>71</v>
      </c>
      <c r="G1404" t="s">
        <v>52</v>
      </c>
      <c r="H1404" t="s">
        <v>38</v>
      </c>
      <c r="I1404">
        <v>170</v>
      </c>
    </row>
    <row r="1405" spans="1:9" ht="14.5" x14ac:dyDescent="0.35">
      <c r="A1405">
        <v>3</v>
      </c>
      <c r="B1405" t="s">
        <v>47</v>
      </c>
      <c r="C1405" t="s">
        <v>85</v>
      </c>
      <c r="D1405" t="s">
        <v>86</v>
      </c>
      <c r="E1405" t="s">
        <v>87</v>
      </c>
      <c r="F1405" t="s">
        <v>88</v>
      </c>
      <c r="G1405" t="s">
        <v>35</v>
      </c>
      <c r="H1405" t="s">
        <v>38</v>
      </c>
      <c r="I1405">
        <v>170</v>
      </c>
    </row>
    <row r="1406" spans="1:9" ht="14.5" x14ac:dyDescent="0.35">
      <c r="A1406">
        <v>3</v>
      </c>
      <c r="B1406" t="s">
        <v>47</v>
      </c>
      <c r="C1406" t="s">
        <v>59</v>
      </c>
      <c r="D1406" t="s">
        <v>66</v>
      </c>
      <c r="E1406" t="s">
        <v>67</v>
      </c>
      <c r="F1406" t="s">
        <v>71</v>
      </c>
      <c r="G1406" t="s">
        <v>52</v>
      </c>
      <c r="H1406" t="s">
        <v>38</v>
      </c>
      <c r="I1406">
        <v>170</v>
      </c>
    </row>
    <row r="1407" spans="1:9" ht="14.5" x14ac:dyDescent="0.35">
      <c r="A1407">
        <v>3</v>
      </c>
      <c r="B1407" t="s">
        <v>48</v>
      </c>
      <c r="C1407" t="s">
        <v>85</v>
      </c>
      <c r="D1407" t="s">
        <v>86</v>
      </c>
      <c r="E1407" t="s">
        <v>87</v>
      </c>
      <c r="F1407" t="s">
        <v>89</v>
      </c>
      <c r="G1407" t="s">
        <v>52</v>
      </c>
      <c r="H1407" t="s">
        <v>38</v>
      </c>
      <c r="I1407">
        <v>170</v>
      </c>
    </row>
    <row r="1408" spans="1:9" ht="14.5" x14ac:dyDescent="0.35">
      <c r="A1408">
        <v>3</v>
      </c>
      <c r="B1408" t="s">
        <v>48</v>
      </c>
      <c r="C1408" t="s">
        <v>85</v>
      </c>
      <c r="D1408" t="s">
        <v>86</v>
      </c>
      <c r="E1408" t="s">
        <v>87</v>
      </c>
      <c r="F1408" t="s">
        <v>91</v>
      </c>
      <c r="G1408" t="s">
        <v>35</v>
      </c>
      <c r="H1408" t="s">
        <v>38</v>
      </c>
      <c r="I1408">
        <v>170</v>
      </c>
    </row>
    <row r="1409" spans="1:9" ht="14.5" x14ac:dyDescent="0.35">
      <c r="A1409">
        <v>3</v>
      </c>
      <c r="B1409" t="s">
        <v>48</v>
      </c>
      <c r="C1409" t="s">
        <v>85</v>
      </c>
      <c r="D1409" t="s">
        <v>92</v>
      </c>
      <c r="E1409" t="s">
        <v>93</v>
      </c>
      <c r="F1409" t="s">
        <v>95</v>
      </c>
      <c r="G1409" t="s">
        <v>52</v>
      </c>
      <c r="H1409" t="s">
        <v>38</v>
      </c>
      <c r="I1409">
        <v>170</v>
      </c>
    </row>
    <row r="1410" spans="1:9" ht="14.5" x14ac:dyDescent="0.35">
      <c r="A1410">
        <v>3</v>
      </c>
      <c r="B1410" t="s">
        <v>48</v>
      </c>
      <c r="C1410" t="s">
        <v>85</v>
      </c>
      <c r="D1410" t="s">
        <v>92</v>
      </c>
      <c r="E1410" t="s">
        <v>93</v>
      </c>
      <c r="F1410" t="s">
        <v>97</v>
      </c>
      <c r="G1410" t="s">
        <v>35</v>
      </c>
      <c r="H1410" t="s">
        <v>38</v>
      </c>
      <c r="I1410">
        <v>170</v>
      </c>
    </row>
    <row r="1411" spans="1:9" ht="14.5" x14ac:dyDescent="0.35">
      <c r="A1411">
        <v>3</v>
      </c>
      <c r="B1411" t="s">
        <v>48</v>
      </c>
      <c r="C1411" t="s">
        <v>59</v>
      </c>
      <c r="D1411" t="s">
        <v>60</v>
      </c>
      <c r="E1411" t="s">
        <v>61</v>
      </c>
      <c r="F1411" t="s">
        <v>63</v>
      </c>
      <c r="G1411" t="s">
        <v>52</v>
      </c>
      <c r="H1411" t="s">
        <v>38</v>
      </c>
      <c r="I1411">
        <v>170</v>
      </c>
    </row>
    <row r="1412" spans="1:9" ht="14.5" x14ac:dyDescent="0.35">
      <c r="A1412">
        <v>3</v>
      </c>
      <c r="B1412" t="s">
        <v>48</v>
      </c>
      <c r="C1412" t="s">
        <v>59</v>
      </c>
      <c r="D1412" t="s">
        <v>60</v>
      </c>
      <c r="E1412" t="s">
        <v>61</v>
      </c>
      <c r="F1412" t="s">
        <v>65</v>
      </c>
      <c r="G1412" t="s">
        <v>52</v>
      </c>
      <c r="H1412" t="s">
        <v>38</v>
      </c>
      <c r="I1412">
        <v>170</v>
      </c>
    </row>
    <row r="1413" spans="1:9" ht="14.5" x14ac:dyDescent="0.35">
      <c r="A1413">
        <v>3</v>
      </c>
      <c r="B1413" t="s">
        <v>48</v>
      </c>
      <c r="C1413" t="s">
        <v>72</v>
      </c>
      <c r="D1413" t="s">
        <v>73</v>
      </c>
      <c r="E1413" t="s">
        <v>74</v>
      </c>
      <c r="F1413" t="s">
        <v>75</v>
      </c>
      <c r="G1413" t="s">
        <v>35</v>
      </c>
      <c r="H1413" t="s">
        <v>38</v>
      </c>
      <c r="I1413">
        <v>170</v>
      </c>
    </row>
    <row r="1414" spans="1:9" ht="14.5" x14ac:dyDescent="0.35">
      <c r="A1414">
        <v>3</v>
      </c>
      <c r="B1414" t="s">
        <v>48</v>
      </c>
      <c r="C1414" t="s">
        <v>72</v>
      </c>
      <c r="D1414" t="s">
        <v>73</v>
      </c>
      <c r="E1414" t="s">
        <v>74</v>
      </c>
      <c r="F1414" t="s">
        <v>78</v>
      </c>
      <c r="G1414" t="s">
        <v>35</v>
      </c>
      <c r="H1414" t="s">
        <v>38</v>
      </c>
      <c r="I1414">
        <v>170</v>
      </c>
    </row>
    <row r="1415" spans="1:9" ht="14.5" x14ac:dyDescent="0.35">
      <c r="A1415">
        <v>4</v>
      </c>
      <c r="B1415" t="s">
        <v>49</v>
      </c>
      <c r="C1415" t="s">
        <v>85</v>
      </c>
      <c r="D1415" t="s">
        <v>86</v>
      </c>
      <c r="E1415" t="s">
        <v>87</v>
      </c>
      <c r="F1415" t="s">
        <v>88</v>
      </c>
      <c r="G1415" t="s">
        <v>35</v>
      </c>
      <c r="H1415" t="s">
        <v>38</v>
      </c>
      <c r="I1415">
        <v>170</v>
      </c>
    </row>
    <row r="1416" spans="1:9" ht="14.5" x14ac:dyDescent="0.35">
      <c r="A1416">
        <v>4</v>
      </c>
      <c r="B1416" t="s">
        <v>49</v>
      </c>
      <c r="C1416" t="s">
        <v>85</v>
      </c>
      <c r="D1416" t="s">
        <v>92</v>
      </c>
      <c r="E1416" t="s">
        <v>93</v>
      </c>
      <c r="F1416" t="s">
        <v>95</v>
      </c>
      <c r="G1416" t="s">
        <v>35</v>
      </c>
      <c r="H1416" t="s">
        <v>38</v>
      </c>
      <c r="I1416">
        <v>170</v>
      </c>
    </row>
    <row r="1417" spans="1:9" ht="14.5" x14ac:dyDescent="0.35">
      <c r="A1417">
        <v>4</v>
      </c>
      <c r="B1417" t="s">
        <v>50</v>
      </c>
      <c r="C1417" t="s">
        <v>85</v>
      </c>
      <c r="D1417" t="s">
        <v>92</v>
      </c>
      <c r="E1417" t="s">
        <v>93</v>
      </c>
      <c r="F1417" t="s">
        <v>94</v>
      </c>
      <c r="G1417" t="s">
        <v>35</v>
      </c>
      <c r="H1417" t="s">
        <v>38</v>
      </c>
      <c r="I1417">
        <v>170</v>
      </c>
    </row>
    <row r="1418" spans="1:9" ht="14.5" x14ac:dyDescent="0.35">
      <c r="A1418">
        <v>4</v>
      </c>
      <c r="B1418" t="s">
        <v>50</v>
      </c>
      <c r="C1418" t="s">
        <v>59</v>
      </c>
      <c r="D1418" t="s">
        <v>60</v>
      </c>
      <c r="E1418" t="s">
        <v>61</v>
      </c>
      <c r="F1418" t="s">
        <v>63</v>
      </c>
      <c r="G1418" t="s">
        <v>52</v>
      </c>
      <c r="H1418" t="s">
        <v>38</v>
      </c>
      <c r="I1418">
        <v>170</v>
      </c>
    </row>
    <row r="1419" spans="1:9" ht="14.5" x14ac:dyDescent="0.35">
      <c r="A1419">
        <v>4</v>
      </c>
      <c r="B1419" t="s">
        <v>50</v>
      </c>
      <c r="C1419" t="s">
        <v>59</v>
      </c>
      <c r="D1419" t="s">
        <v>66</v>
      </c>
      <c r="E1419" t="s">
        <v>67</v>
      </c>
      <c r="F1419" t="s">
        <v>70</v>
      </c>
      <c r="G1419" t="s">
        <v>35</v>
      </c>
      <c r="H1419" t="s">
        <v>38</v>
      </c>
      <c r="I1419">
        <v>170</v>
      </c>
    </row>
    <row r="1420" spans="1:9" ht="14.5" x14ac:dyDescent="0.35">
      <c r="A1420">
        <v>4</v>
      </c>
      <c r="B1420" t="s">
        <v>50</v>
      </c>
      <c r="C1420" t="s">
        <v>72</v>
      </c>
      <c r="D1420" t="s">
        <v>79</v>
      </c>
      <c r="E1420" t="s">
        <v>80</v>
      </c>
      <c r="F1420" t="s">
        <v>83</v>
      </c>
      <c r="G1420" t="s">
        <v>52</v>
      </c>
      <c r="H1420" t="s">
        <v>38</v>
      </c>
      <c r="I1420">
        <v>170</v>
      </c>
    </row>
    <row r="1421" spans="1:9" ht="14.5" x14ac:dyDescent="0.35">
      <c r="A1421">
        <v>4</v>
      </c>
      <c r="B1421" t="s">
        <v>51</v>
      </c>
      <c r="C1421" t="s">
        <v>31</v>
      </c>
      <c r="D1421" t="s">
        <v>32</v>
      </c>
      <c r="E1421" t="s">
        <v>33</v>
      </c>
      <c r="F1421" t="s">
        <v>39</v>
      </c>
      <c r="G1421" t="s">
        <v>35</v>
      </c>
      <c r="H1421" t="s">
        <v>38</v>
      </c>
      <c r="I1421">
        <v>170</v>
      </c>
    </row>
    <row r="1422" spans="1:9" ht="14.5" x14ac:dyDescent="0.35">
      <c r="A1422">
        <v>4</v>
      </c>
      <c r="B1422" t="s">
        <v>51</v>
      </c>
      <c r="C1422" t="s">
        <v>31</v>
      </c>
      <c r="D1422" t="s">
        <v>53</v>
      </c>
      <c r="E1422" t="s">
        <v>54</v>
      </c>
      <c r="F1422" t="s">
        <v>58</v>
      </c>
      <c r="G1422" t="s">
        <v>35</v>
      </c>
      <c r="H1422" t="s">
        <v>38</v>
      </c>
      <c r="I1422">
        <v>170</v>
      </c>
    </row>
    <row r="1423" spans="1:9" ht="14.5" x14ac:dyDescent="0.35">
      <c r="A1423">
        <v>4</v>
      </c>
      <c r="B1423" t="s">
        <v>51</v>
      </c>
      <c r="C1423" t="s">
        <v>59</v>
      </c>
      <c r="D1423" t="s">
        <v>60</v>
      </c>
      <c r="E1423" t="s">
        <v>61</v>
      </c>
      <c r="F1423" t="s">
        <v>64</v>
      </c>
      <c r="G1423" t="s">
        <v>35</v>
      </c>
      <c r="H1423" t="s">
        <v>38</v>
      </c>
      <c r="I1423">
        <v>170</v>
      </c>
    </row>
    <row r="1424" spans="1:9" ht="14.5" x14ac:dyDescent="0.35">
      <c r="A1424">
        <v>4</v>
      </c>
      <c r="B1424" t="s">
        <v>51</v>
      </c>
      <c r="C1424" t="s">
        <v>72</v>
      </c>
      <c r="D1424" t="s">
        <v>73</v>
      </c>
      <c r="E1424" t="s">
        <v>74</v>
      </c>
      <c r="F1424" t="s">
        <v>78</v>
      </c>
      <c r="G1424" t="s">
        <v>35</v>
      </c>
      <c r="H1424" t="s">
        <v>38</v>
      </c>
      <c r="I1424">
        <v>170</v>
      </c>
    </row>
    <row r="1425" spans="1:9" ht="14.5" x14ac:dyDescent="0.35">
      <c r="A1425">
        <v>4</v>
      </c>
      <c r="B1425" t="s">
        <v>51</v>
      </c>
      <c r="C1425" t="s">
        <v>72</v>
      </c>
      <c r="D1425" t="s">
        <v>79</v>
      </c>
      <c r="E1425" t="s">
        <v>80</v>
      </c>
      <c r="F1425" t="s">
        <v>81</v>
      </c>
      <c r="G1425" t="s">
        <v>35</v>
      </c>
      <c r="H1425" t="s">
        <v>38</v>
      </c>
      <c r="I1425">
        <v>170</v>
      </c>
    </row>
    <row r="1426" spans="1:9" ht="14.5" x14ac:dyDescent="0.35">
      <c r="A1426">
        <v>1</v>
      </c>
      <c r="B1426" t="s">
        <v>30</v>
      </c>
      <c r="C1426" t="s">
        <v>85</v>
      </c>
      <c r="D1426" t="s">
        <v>86</v>
      </c>
      <c r="E1426" t="s">
        <v>87</v>
      </c>
      <c r="F1426" t="s">
        <v>88</v>
      </c>
      <c r="G1426" t="s">
        <v>35</v>
      </c>
      <c r="H1426" t="s">
        <v>38</v>
      </c>
      <c r="I1426">
        <v>180</v>
      </c>
    </row>
    <row r="1427" spans="1:9" ht="14.5" x14ac:dyDescent="0.35">
      <c r="A1427">
        <v>1</v>
      </c>
      <c r="B1427" t="s">
        <v>30</v>
      </c>
      <c r="C1427" t="s">
        <v>59</v>
      </c>
      <c r="D1427" t="s">
        <v>66</v>
      </c>
      <c r="E1427" t="s">
        <v>67</v>
      </c>
      <c r="F1427" t="s">
        <v>71</v>
      </c>
      <c r="G1427" t="s">
        <v>52</v>
      </c>
      <c r="H1427" t="s">
        <v>38</v>
      </c>
      <c r="I1427">
        <v>180</v>
      </c>
    </row>
    <row r="1428" spans="1:9" ht="14.5" x14ac:dyDescent="0.35">
      <c r="A1428">
        <v>1</v>
      </c>
      <c r="B1428" t="s">
        <v>41</v>
      </c>
      <c r="C1428" t="s">
        <v>85</v>
      </c>
      <c r="D1428" t="s">
        <v>86</v>
      </c>
      <c r="E1428" t="s">
        <v>87</v>
      </c>
      <c r="F1428" t="s">
        <v>88</v>
      </c>
      <c r="G1428" t="s">
        <v>35</v>
      </c>
      <c r="H1428" t="s">
        <v>38</v>
      </c>
      <c r="I1428">
        <v>180</v>
      </c>
    </row>
    <row r="1429" spans="1:9" ht="14.5" x14ac:dyDescent="0.35">
      <c r="A1429">
        <v>1</v>
      </c>
      <c r="B1429" t="s">
        <v>41</v>
      </c>
      <c r="C1429" t="s">
        <v>59</v>
      </c>
      <c r="D1429" t="s">
        <v>60</v>
      </c>
      <c r="E1429" t="s">
        <v>61</v>
      </c>
      <c r="F1429" t="s">
        <v>63</v>
      </c>
      <c r="G1429" t="s">
        <v>35</v>
      </c>
      <c r="H1429" t="s">
        <v>38</v>
      </c>
      <c r="I1429">
        <v>180</v>
      </c>
    </row>
    <row r="1430" spans="1:9" ht="14.5" x14ac:dyDescent="0.35">
      <c r="A1430">
        <v>1</v>
      </c>
      <c r="B1430" t="s">
        <v>41</v>
      </c>
      <c r="C1430" t="s">
        <v>59</v>
      </c>
      <c r="D1430" t="s">
        <v>66</v>
      </c>
      <c r="E1430" t="s">
        <v>67</v>
      </c>
      <c r="F1430" t="s">
        <v>68</v>
      </c>
      <c r="G1430" t="s">
        <v>52</v>
      </c>
      <c r="H1430" t="s">
        <v>38</v>
      </c>
      <c r="I1430">
        <v>180</v>
      </c>
    </row>
    <row r="1431" spans="1:9" ht="14.5" x14ac:dyDescent="0.35">
      <c r="A1431">
        <v>1</v>
      </c>
      <c r="B1431" t="s">
        <v>41</v>
      </c>
      <c r="C1431" t="s">
        <v>59</v>
      </c>
      <c r="D1431" t="s">
        <v>66</v>
      </c>
      <c r="E1431" t="s">
        <v>67</v>
      </c>
      <c r="F1431" t="s">
        <v>70</v>
      </c>
      <c r="G1431" t="s">
        <v>35</v>
      </c>
      <c r="H1431" t="s">
        <v>38</v>
      </c>
      <c r="I1431">
        <v>180</v>
      </c>
    </row>
    <row r="1432" spans="1:9" ht="14.5" x14ac:dyDescent="0.35">
      <c r="A1432">
        <v>1</v>
      </c>
      <c r="B1432" t="s">
        <v>41</v>
      </c>
      <c r="C1432" t="s">
        <v>72</v>
      </c>
      <c r="D1432" t="s">
        <v>73</v>
      </c>
      <c r="E1432" t="s">
        <v>74</v>
      </c>
      <c r="F1432" t="s">
        <v>78</v>
      </c>
      <c r="G1432" t="s">
        <v>35</v>
      </c>
      <c r="H1432" t="s">
        <v>38</v>
      </c>
      <c r="I1432">
        <v>180</v>
      </c>
    </row>
    <row r="1433" spans="1:9" ht="14.5" x14ac:dyDescent="0.35">
      <c r="A1433">
        <v>1</v>
      </c>
      <c r="B1433" t="s">
        <v>41</v>
      </c>
      <c r="C1433" t="s">
        <v>72</v>
      </c>
      <c r="D1433" t="s">
        <v>79</v>
      </c>
      <c r="E1433" t="s">
        <v>80</v>
      </c>
      <c r="F1433" t="s">
        <v>81</v>
      </c>
      <c r="G1433" t="s">
        <v>35</v>
      </c>
      <c r="H1433" t="s">
        <v>38</v>
      </c>
      <c r="I1433">
        <v>180</v>
      </c>
    </row>
    <row r="1434" spans="1:9" ht="14.5" x14ac:dyDescent="0.35">
      <c r="A1434">
        <v>1</v>
      </c>
      <c r="B1434" t="s">
        <v>41</v>
      </c>
      <c r="C1434" t="s">
        <v>72</v>
      </c>
      <c r="D1434" t="s">
        <v>79</v>
      </c>
      <c r="E1434" t="s">
        <v>80</v>
      </c>
      <c r="F1434" t="s">
        <v>82</v>
      </c>
      <c r="G1434" t="s">
        <v>52</v>
      </c>
      <c r="H1434" t="s">
        <v>38</v>
      </c>
      <c r="I1434">
        <v>180</v>
      </c>
    </row>
    <row r="1435" spans="1:9" ht="14.5" x14ac:dyDescent="0.35">
      <c r="A1435">
        <v>1</v>
      </c>
      <c r="B1435" t="s">
        <v>42</v>
      </c>
      <c r="C1435" t="s">
        <v>31</v>
      </c>
      <c r="D1435" t="s">
        <v>53</v>
      </c>
      <c r="E1435" t="s">
        <v>54</v>
      </c>
      <c r="F1435" t="s">
        <v>57</v>
      </c>
      <c r="G1435" t="s">
        <v>35</v>
      </c>
      <c r="H1435" t="s">
        <v>38</v>
      </c>
      <c r="I1435">
        <v>180</v>
      </c>
    </row>
    <row r="1436" spans="1:9" ht="14.5" x14ac:dyDescent="0.35">
      <c r="A1436">
        <v>1</v>
      </c>
      <c r="B1436" t="s">
        <v>42</v>
      </c>
      <c r="C1436" t="s">
        <v>85</v>
      </c>
      <c r="D1436" t="s">
        <v>92</v>
      </c>
      <c r="E1436" t="s">
        <v>93</v>
      </c>
      <c r="F1436" t="s">
        <v>96</v>
      </c>
      <c r="G1436" t="s">
        <v>35</v>
      </c>
      <c r="H1436" t="s">
        <v>38</v>
      </c>
      <c r="I1436">
        <v>180</v>
      </c>
    </row>
    <row r="1437" spans="1:9" ht="14.5" x14ac:dyDescent="0.35">
      <c r="A1437">
        <v>1</v>
      </c>
      <c r="B1437" t="s">
        <v>42</v>
      </c>
      <c r="C1437" t="s">
        <v>59</v>
      </c>
      <c r="D1437" t="s">
        <v>60</v>
      </c>
      <c r="E1437" t="s">
        <v>61</v>
      </c>
      <c r="F1437" t="s">
        <v>63</v>
      </c>
      <c r="G1437" t="s">
        <v>35</v>
      </c>
      <c r="H1437" t="s">
        <v>38</v>
      </c>
      <c r="I1437">
        <v>180</v>
      </c>
    </row>
    <row r="1438" spans="1:9" ht="14.5" x14ac:dyDescent="0.35">
      <c r="A1438">
        <v>1</v>
      </c>
      <c r="B1438" t="s">
        <v>42</v>
      </c>
      <c r="C1438" t="s">
        <v>59</v>
      </c>
      <c r="D1438" t="s">
        <v>60</v>
      </c>
      <c r="E1438" t="s">
        <v>61</v>
      </c>
      <c r="F1438" t="s">
        <v>65</v>
      </c>
      <c r="G1438" t="s">
        <v>35</v>
      </c>
      <c r="H1438" t="s">
        <v>38</v>
      </c>
      <c r="I1438">
        <v>180</v>
      </c>
    </row>
    <row r="1439" spans="1:9" ht="14.5" x14ac:dyDescent="0.35">
      <c r="A1439">
        <v>1</v>
      </c>
      <c r="B1439" t="s">
        <v>42</v>
      </c>
      <c r="C1439" t="s">
        <v>72</v>
      </c>
      <c r="D1439" t="s">
        <v>73</v>
      </c>
      <c r="E1439" t="s">
        <v>74</v>
      </c>
      <c r="F1439" t="s">
        <v>77</v>
      </c>
      <c r="G1439" t="s">
        <v>52</v>
      </c>
      <c r="H1439" t="s">
        <v>38</v>
      </c>
      <c r="I1439">
        <v>180</v>
      </c>
    </row>
    <row r="1440" spans="1:9" ht="14.5" x14ac:dyDescent="0.35">
      <c r="A1440">
        <v>1</v>
      </c>
      <c r="B1440" t="s">
        <v>42</v>
      </c>
      <c r="C1440" t="s">
        <v>72</v>
      </c>
      <c r="D1440" t="s">
        <v>79</v>
      </c>
      <c r="E1440" t="s">
        <v>80</v>
      </c>
      <c r="F1440" t="s">
        <v>82</v>
      </c>
      <c r="G1440" t="s">
        <v>35</v>
      </c>
      <c r="H1440" t="s">
        <v>38</v>
      </c>
      <c r="I1440">
        <v>180</v>
      </c>
    </row>
    <row r="1441" spans="1:9" ht="14.5" x14ac:dyDescent="0.35">
      <c r="A1441">
        <v>2</v>
      </c>
      <c r="B1441" t="s">
        <v>43</v>
      </c>
      <c r="C1441" t="s">
        <v>59</v>
      </c>
      <c r="D1441" t="s">
        <v>66</v>
      </c>
      <c r="E1441" t="s">
        <v>67</v>
      </c>
      <c r="F1441" t="s">
        <v>69</v>
      </c>
      <c r="G1441" t="s">
        <v>35</v>
      </c>
      <c r="H1441" t="s">
        <v>38</v>
      </c>
      <c r="I1441">
        <v>180</v>
      </c>
    </row>
    <row r="1442" spans="1:9" ht="14.5" x14ac:dyDescent="0.35">
      <c r="A1442">
        <v>2</v>
      </c>
      <c r="B1442" t="s">
        <v>44</v>
      </c>
      <c r="C1442" t="s">
        <v>59</v>
      </c>
      <c r="D1442" t="s">
        <v>66</v>
      </c>
      <c r="E1442" t="s">
        <v>67</v>
      </c>
      <c r="F1442" t="s">
        <v>69</v>
      </c>
      <c r="G1442" t="s">
        <v>35</v>
      </c>
      <c r="H1442" t="s">
        <v>38</v>
      </c>
      <c r="I1442">
        <v>180</v>
      </c>
    </row>
    <row r="1443" spans="1:9" ht="14.5" x14ac:dyDescent="0.35">
      <c r="A1443">
        <v>2</v>
      </c>
      <c r="B1443" t="s">
        <v>44</v>
      </c>
      <c r="C1443" t="s">
        <v>59</v>
      </c>
      <c r="D1443" t="s">
        <v>66</v>
      </c>
      <c r="E1443" t="s">
        <v>67</v>
      </c>
      <c r="F1443" t="s">
        <v>69</v>
      </c>
      <c r="G1443" t="s">
        <v>52</v>
      </c>
      <c r="H1443" t="s">
        <v>38</v>
      </c>
      <c r="I1443">
        <v>180</v>
      </c>
    </row>
    <row r="1444" spans="1:9" ht="14.5" x14ac:dyDescent="0.35">
      <c r="A1444">
        <v>2</v>
      </c>
      <c r="B1444" t="s">
        <v>44</v>
      </c>
      <c r="C1444" t="s">
        <v>72</v>
      </c>
      <c r="D1444" t="s">
        <v>73</v>
      </c>
      <c r="E1444" t="s">
        <v>74</v>
      </c>
      <c r="F1444" t="s">
        <v>76</v>
      </c>
      <c r="G1444" t="s">
        <v>35</v>
      </c>
      <c r="H1444" t="s">
        <v>38</v>
      </c>
      <c r="I1444">
        <v>180</v>
      </c>
    </row>
    <row r="1445" spans="1:9" ht="14.5" x14ac:dyDescent="0.35">
      <c r="A1445">
        <v>2</v>
      </c>
      <c r="B1445" t="s">
        <v>44</v>
      </c>
      <c r="C1445" t="s">
        <v>72</v>
      </c>
      <c r="D1445" t="s">
        <v>73</v>
      </c>
      <c r="E1445" t="s">
        <v>74</v>
      </c>
      <c r="F1445" t="s">
        <v>77</v>
      </c>
      <c r="G1445" t="s">
        <v>35</v>
      </c>
      <c r="H1445" t="s">
        <v>38</v>
      </c>
      <c r="I1445">
        <v>180</v>
      </c>
    </row>
    <row r="1446" spans="1:9" ht="14.5" x14ac:dyDescent="0.35">
      <c r="A1446">
        <v>2</v>
      </c>
      <c r="B1446" t="s">
        <v>45</v>
      </c>
      <c r="C1446" t="s">
        <v>31</v>
      </c>
      <c r="D1446" t="s">
        <v>32</v>
      </c>
      <c r="E1446" t="s">
        <v>33</v>
      </c>
      <c r="F1446" t="s">
        <v>37</v>
      </c>
      <c r="G1446" t="s">
        <v>52</v>
      </c>
      <c r="H1446" t="s">
        <v>38</v>
      </c>
      <c r="I1446">
        <v>180</v>
      </c>
    </row>
    <row r="1447" spans="1:9" ht="14.5" x14ac:dyDescent="0.35">
      <c r="A1447">
        <v>2</v>
      </c>
      <c r="B1447" t="s">
        <v>45</v>
      </c>
      <c r="C1447" t="s">
        <v>59</v>
      </c>
      <c r="D1447" t="s">
        <v>60</v>
      </c>
      <c r="E1447" t="s">
        <v>61</v>
      </c>
      <c r="F1447" t="s">
        <v>65</v>
      </c>
      <c r="G1447" t="s">
        <v>35</v>
      </c>
      <c r="H1447" t="s">
        <v>38</v>
      </c>
      <c r="I1447">
        <v>180</v>
      </c>
    </row>
    <row r="1448" spans="1:9" ht="14.5" x14ac:dyDescent="0.35">
      <c r="A1448">
        <v>2</v>
      </c>
      <c r="B1448" t="s">
        <v>45</v>
      </c>
      <c r="C1448" t="s">
        <v>72</v>
      </c>
      <c r="D1448" t="s">
        <v>73</v>
      </c>
      <c r="E1448" t="s">
        <v>74</v>
      </c>
      <c r="F1448" t="s">
        <v>75</v>
      </c>
      <c r="G1448" t="s">
        <v>35</v>
      </c>
      <c r="H1448" t="s">
        <v>38</v>
      </c>
      <c r="I1448">
        <v>180</v>
      </c>
    </row>
    <row r="1449" spans="1:9" ht="14.5" x14ac:dyDescent="0.35">
      <c r="A1449">
        <v>2</v>
      </c>
      <c r="B1449" t="s">
        <v>45</v>
      </c>
      <c r="C1449" t="s">
        <v>72</v>
      </c>
      <c r="D1449" t="s">
        <v>73</v>
      </c>
      <c r="E1449" t="s">
        <v>74</v>
      </c>
      <c r="F1449" t="s">
        <v>75</v>
      </c>
      <c r="G1449" t="s">
        <v>52</v>
      </c>
      <c r="H1449" t="s">
        <v>38</v>
      </c>
      <c r="I1449">
        <v>180</v>
      </c>
    </row>
    <row r="1450" spans="1:9" ht="14.5" x14ac:dyDescent="0.35">
      <c r="A1450">
        <v>2</v>
      </c>
      <c r="B1450" t="s">
        <v>45</v>
      </c>
      <c r="C1450" t="s">
        <v>72</v>
      </c>
      <c r="D1450" t="s">
        <v>79</v>
      </c>
      <c r="E1450" t="s">
        <v>80</v>
      </c>
      <c r="F1450" t="s">
        <v>83</v>
      </c>
      <c r="G1450" t="s">
        <v>52</v>
      </c>
      <c r="H1450" t="s">
        <v>38</v>
      </c>
      <c r="I1450">
        <v>180</v>
      </c>
    </row>
    <row r="1451" spans="1:9" ht="14.5" x14ac:dyDescent="0.35">
      <c r="A1451">
        <v>2</v>
      </c>
      <c r="B1451" t="s">
        <v>45</v>
      </c>
      <c r="C1451" t="s">
        <v>72</v>
      </c>
      <c r="D1451" t="s">
        <v>79</v>
      </c>
      <c r="E1451" t="s">
        <v>80</v>
      </c>
      <c r="F1451" t="s">
        <v>84</v>
      </c>
      <c r="G1451" t="s">
        <v>35</v>
      </c>
      <c r="H1451" t="s">
        <v>38</v>
      </c>
      <c r="I1451">
        <v>180</v>
      </c>
    </row>
    <row r="1452" spans="1:9" ht="14.5" x14ac:dyDescent="0.35">
      <c r="A1452">
        <v>3</v>
      </c>
      <c r="B1452" t="s">
        <v>46</v>
      </c>
      <c r="C1452" t="s">
        <v>31</v>
      </c>
      <c r="D1452" t="s">
        <v>32</v>
      </c>
      <c r="E1452" t="s">
        <v>33</v>
      </c>
      <c r="F1452" t="s">
        <v>37</v>
      </c>
      <c r="G1452" t="s">
        <v>35</v>
      </c>
      <c r="H1452" t="s">
        <v>38</v>
      </c>
      <c r="I1452">
        <v>180</v>
      </c>
    </row>
    <row r="1453" spans="1:9" ht="14.5" x14ac:dyDescent="0.35">
      <c r="A1453">
        <v>3</v>
      </c>
      <c r="B1453" t="s">
        <v>46</v>
      </c>
      <c r="C1453" t="s">
        <v>85</v>
      </c>
      <c r="D1453" t="s">
        <v>86</v>
      </c>
      <c r="E1453" t="s">
        <v>87</v>
      </c>
      <c r="F1453" t="s">
        <v>91</v>
      </c>
      <c r="G1453" t="s">
        <v>52</v>
      </c>
      <c r="H1453" t="s">
        <v>38</v>
      </c>
      <c r="I1453">
        <v>180</v>
      </c>
    </row>
    <row r="1454" spans="1:9" ht="14.5" x14ac:dyDescent="0.35">
      <c r="A1454">
        <v>3</v>
      </c>
      <c r="B1454" t="s">
        <v>46</v>
      </c>
      <c r="C1454" t="s">
        <v>85</v>
      </c>
      <c r="D1454" t="s">
        <v>92</v>
      </c>
      <c r="E1454" t="s">
        <v>93</v>
      </c>
      <c r="F1454" t="s">
        <v>97</v>
      </c>
      <c r="G1454" t="s">
        <v>35</v>
      </c>
      <c r="H1454" t="s">
        <v>38</v>
      </c>
      <c r="I1454">
        <v>180</v>
      </c>
    </row>
    <row r="1455" spans="1:9" ht="14.5" x14ac:dyDescent="0.35">
      <c r="A1455">
        <v>3</v>
      </c>
      <c r="B1455" t="s">
        <v>46</v>
      </c>
      <c r="C1455" t="s">
        <v>59</v>
      </c>
      <c r="D1455" t="s">
        <v>60</v>
      </c>
      <c r="E1455" t="s">
        <v>61</v>
      </c>
      <c r="F1455" t="s">
        <v>63</v>
      </c>
      <c r="G1455" t="s">
        <v>52</v>
      </c>
      <c r="H1455" t="s">
        <v>38</v>
      </c>
      <c r="I1455">
        <v>180</v>
      </c>
    </row>
    <row r="1456" spans="1:9" ht="14.5" x14ac:dyDescent="0.35">
      <c r="A1456">
        <v>3</v>
      </c>
      <c r="B1456" t="s">
        <v>46</v>
      </c>
      <c r="C1456" t="s">
        <v>59</v>
      </c>
      <c r="D1456" t="s">
        <v>66</v>
      </c>
      <c r="E1456" t="s">
        <v>67</v>
      </c>
      <c r="F1456" t="s">
        <v>68</v>
      </c>
      <c r="G1456" t="s">
        <v>52</v>
      </c>
      <c r="H1456" t="s">
        <v>38</v>
      </c>
      <c r="I1456">
        <v>180</v>
      </c>
    </row>
    <row r="1457" spans="1:9" ht="14.5" x14ac:dyDescent="0.35">
      <c r="A1457">
        <v>3</v>
      </c>
      <c r="B1457" t="s">
        <v>47</v>
      </c>
      <c r="C1457" t="s">
        <v>31</v>
      </c>
      <c r="D1457" t="s">
        <v>53</v>
      </c>
      <c r="E1457" t="s">
        <v>54</v>
      </c>
      <c r="F1457" t="s">
        <v>58</v>
      </c>
      <c r="G1457" t="s">
        <v>35</v>
      </c>
      <c r="H1457" t="s">
        <v>38</v>
      </c>
      <c r="I1457">
        <v>180</v>
      </c>
    </row>
    <row r="1458" spans="1:9" ht="14.5" x14ac:dyDescent="0.35">
      <c r="A1458">
        <v>3</v>
      </c>
      <c r="B1458" t="s">
        <v>47</v>
      </c>
      <c r="C1458" t="s">
        <v>85</v>
      </c>
      <c r="D1458" t="s">
        <v>86</v>
      </c>
      <c r="E1458" t="s">
        <v>87</v>
      </c>
      <c r="F1458" t="s">
        <v>88</v>
      </c>
      <c r="G1458" t="s">
        <v>52</v>
      </c>
      <c r="H1458" t="s">
        <v>38</v>
      </c>
      <c r="I1458">
        <v>180</v>
      </c>
    </row>
    <row r="1459" spans="1:9" ht="14.5" x14ac:dyDescent="0.35">
      <c r="A1459">
        <v>3</v>
      </c>
      <c r="B1459" t="s">
        <v>47</v>
      </c>
      <c r="C1459" t="s">
        <v>85</v>
      </c>
      <c r="D1459" t="s">
        <v>92</v>
      </c>
      <c r="E1459" t="s">
        <v>93</v>
      </c>
      <c r="F1459" t="s">
        <v>95</v>
      </c>
      <c r="G1459" t="s">
        <v>35</v>
      </c>
      <c r="H1459" t="s">
        <v>38</v>
      </c>
      <c r="I1459">
        <v>180</v>
      </c>
    </row>
    <row r="1460" spans="1:9" ht="14.5" x14ac:dyDescent="0.35">
      <c r="A1460">
        <v>3</v>
      </c>
      <c r="B1460" t="s">
        <v>47</v>
      </c>
      <c r="C1460" t="s">
        <v>59</v>
      </c>
      <c r="D1460" t="s">
        <v>66</v>
      </c>
      <c r="E1460" t="s">
        <v>67</v>
      </c>
      <c r="F1460" t="s">
        <v>69</v>
      </c>
      <c r="G1460" t="s">
        <v>35</v>
      </c>
      <c r="H1460" t="s">
        <v>38</v>
      </c>
      <c r="I1460">
        <v>180</v>
      </c>
    </row>
    <row r="1461" spans="1:9" ht="14.5" x14ac:dyDescent="0.35">
      <c r="A1461">
        <v>3</v>
      </c>
      <c r="B1461" t="s">
        <v>47</v>
      </c>
      <c r="C1461" t="s">
        <v>72</v>
      </c>
      <c r="D1461" t="s">
        <v>73</v>
      </c>
      <c r="E1461" t="s">
        <v>74</v>
      </c>
      <c r="F1461" t="s">
        <v>77</v>
      </c>
      <c r="G1461" t="s">
        <v>35</v>
      </c>
      <c r="H1461" t="s">
        <v>38</v>
      </c>
      <c r="I1461">
        <v>180</v>
      </c>
    </row>
    <row r="1462" spans="1:9" ht="14.5" x14ac:dyDescent="0.35">
      <c r="A1462">
        <v>3</v>
      </c>
      <c r="B1462" t="s">
        <v>47</v>
      </c>
      <c r="C1462" t="s">
        <v>72</v>
      </c>
      <c r="D1462" t="s">
        <v>79</v>
      </c>
      <c r="E1462" t="s">
        <v>80</v>
      </c>
      <c r="F1462" t="s">
        <v>81</v>
      </c>
      <c r="G1462" t="s">
        <v>35</v>
      </c>
      <c r="H1462" t="s">
        <v>38</v>
      </c>
      <c r="I1462">
        <v>180</v>
      </c>
    </row>
    <row r="1463" spans="1:9" ht="14.5" x14ac:dyDescent="0.35">
      <c r="A1463">
        <v>3</v>
      </c>
      <c r="B1463" t="s">
        <v>48</v>
      </c>
      <c r="C1463" t="s">
        <v>31</v>
      </c>
      <c r="D1463" t="s">
        <v>53</v>
      </c>
      <c r="E1463" t="s">
        <v>54</v>
      </c>
      <c r="F1463" t="s">
        <v>55</v>
      </c>
      <c r="G1463" t="s">
        <v>52</v>
      </c>
      <c r="H1463" t="s">
        <v>38</v>
      </c>
      <c r="I1463">
        <v>180</v>
      </c>
    </row>
    <row r="1464" spans="1:9" ht="14.5" x14ac:dyDescent="0.35">
      <c r="A1464">
        <v>3</v>
      </c>
      <c r="B1464" t="s">
        <v>48</v>
      </c>
      <c r="C1464" t="s">
        <v>85</v>
      </c>
      <c r="D1464" t="s">
        <v>86</v>
      </c>
      <c r="E1464" t="s">
        <v>87</v>
      </c>
      <c r="F1464" t="s">
        <v>88</v>
      </c>
      <c r="G1464" t="s">
        <v>52</v>
      </c>
      <c r="H1464" t="s">
        <v>38</v>
      </c>
      <c r="I1464">
        <v>180</v>
      </c>
    </row>
    <row r="1465" spans="1:9" ht="14.5" x14ac:dyDescent="0.35">
      <c r="A1465">
        <v>3</v>
      </c>
      <c r="B1465" t="s">
        <v>48</v>
      </c>
      <c r="C1465" t="s">
        <v>59</v>
      </c>
      <c r="D1465" t="s">
        <v>66</v>
      </c>
      <c r="E1465" t="s">
        <v>67</v>
      </c>
      <c r="F1465" t="s">
        <v>69</v>
      </c>
      <c r="G1465" t="s">
        <v>52</v>
      </c>
      <c r="H1465" t="s">
        <v>38</v>
      </c>
      <c r="I1465">
        <v>180</v>
      </c>
    </row>
    <row r="1466" spans="1:9" ht="14.5" x14ac:dyDescent="0.35">
      <c r="A1466">
        <v>4</v>
      </c>
      <c r="B1466" t="s">
        <v>49</v>
      </c>
      <c r="C1466" t="s">
        <v>31</v>
      </c>
      <c r="D1466" t="s">
        <v>53</v>
      </c>
      <c r="E1466" t="s">
        <v>54</v>
      </c>
      <c r="F1466" t="s">
        <v>56</v>
      </c>
      <c r="G1466" t="s">
        <v>35</v>
      </c>
      <c r="H1466" t="s">
        <v>38</v>
      </c>
      <c r="I1466">
        <v>180</v>
      </c>
    </row>
    <row r="1467" spans="1:9" ht="14.5" x14ac:dyDescent="0.35">
      <c r="A1467">
        <v>4</v>
      </c>
      <c r="B1467" t="s">
        <v>49</v>
      </c>
      <c r="C1467" t="s">
        <v>31</v>
      </c>
      <c r="D1467" t="s">
        <v>53</v>
      </c>
      <c r="E1467" t="s">
        <v>54</v>
      </c>
      <c r="F1467" t="s">
        <v>58</v>
      </c>
      <c r="G1467" t="s">
        <v>52</v>
      </c>
      <c r="H1467" t="s">
        <v>38</v>
      </c>
      <c r="I1467">
        <v>180</v>
      </c>
    </row>
    <row r="1468" spans="1:9" ht="14.5" x14ac:dyDescent="0.35">
      <c r="A1468">
        <v>4</v>
      </c>
      <c r="B1468" t="s">
        <v>49</v>
      </c>
      <c r="C1468" t="s">
        <v>85</v>
      </c>
      <c r="D1468" t="s">
        <v>92</v>
      </c>
      <c r="E1468" t="s">
        <v>93</v>
      </c>
      <c r="F1468" t="s">
        <v>94</v>
      </c>
      <c r="G1468" t="s">
        <v>35</v>
      </c>
      <c r="H1468" t="s">
        <v>38</v>
      </c>
      <c r="I1468">
        <v>180</v>
      </c>
    </row>
    <row r="1469" spans="1:9" ht="14.5" x14ac:dyDescent="0.35">
      <c r="A1469">
        <v>4</v>
      </c>
      <c r="B1469" t="s">
        <v>49</v>
      </c>
      <c r="C1469" t="s">
        <v>72</v>
      </c>
      <c r="D1469" t="s">
        <v>73</v>
      </c>
      <c r="E1469" t="s">
        <v>74</v>
      </c>
      <c r="F1469" t="s">
        <v>77</v>
      </c>
      <c r="G1469" t="s">
        <v>35</v>
      </c>
      <c r="H1469" t="s">
        <v>38</v>
      </c>
      <c r="I1469">
        <v>180</v>
      </c>
    </row>
    <row r="1470" spans="1:9" ht="14.5" x14ac:dyDescent="0.35">
      <c r="A1470">
        <v>4</v>
      </c>
      <c r="B1470" t="s">
        <v>49</v>
      </c>
      <c r="C1470" t="s">
        <v>72</v>
      </c>
      <c r="D1470" t="s">
        <v>79</v>
      </c>
      <c r="E1470" t="s">
        <v>80</v>
      </c>
      <c r="F1470" t="s">
        <v>82</v>
      </c>
      <c r="G1470" t="s">
        <v>52</v>
      </c>
      <c r="H1470" t="s">
        <v>38</v>
      </c>
      <c r="I1470">
        <v>180</v>
      </c>
    </row>
    <row r="1471" spans="1:9" ht="14.5" x14ac:dyDescent="0.35">
      <c r="A1471">
        <v>4</v>
      </c>
      <c r="B1471" t="s">
        <v>50</v>
      </c>
      <c r="C1471" t="s">
        <v>31</v>
      </c>
      <c r="D1471" t="s">
        <v>53</v>
      </c>
      <c r="E1471" t="s">
        <v>54</v>
      </c>
      <c r="F1471" t="s">
        <v>55</v>
      </c>
      <c r="G1471" t="s">
        <v>52</v>
      </c>
      <c r="H1471" t="s">
        <v>38</v>
      </c>
      <c r="I1471">
        <v>180</v>
      </c>
    </row>
    <row r="1472" spans="1:9" ht="14.5" x14ac:dyDescent="0.35">
      <c r="A1472">
        <v>4</v>
      </c>
      <c r="B1472" t="s">
        <v>50</v>
      </c>
      <c r="C1472" t="s">
        <v>31</v>
      </c>
      <c r="D1472" t="s">
        <v>53</v>
      </c>
      <c r="E1472" t="s">
        <v>54</v>
      </c>
      <c r="F1472" t="s">
        <v>58</v>
      </c>
      <c r="G1472" t="s">
        <v>35</v>
      </c>
      <c r="H1472" t="s">
        <v>38</v>
      </c>
      <c r="I1472">
        <v>180</v>
      </c>
    </row>
    <row r="1473" spans="1:9" ht="14.5" x14ac:dyDescent="0.35">
      <c r="A1473">
        <v>4</v>
      </c>
      <c r="B1473" t="s">
        <v>50</v>
      </c>
      <c r="C1473" t="s">
        <v>59</v>
      </c>
      <c r="D1473" t="s">
        <v>60</v>
      </c>
      <c r="E1473" t="s">
        <v>61</v>
      </c>
      <c r="F1473" t="s">
        <v>65</v>
      </c>
      <c r="G1473" t="s">
        <v>35</v>
      </c>
      <c r="H1473" t="s">
        <v>38</v>
      </c>
      <c r="I1473">
        <v>180</v>
      </c>
    </row>
    <row r="1474" spans="1:9" ht="14.5" x14ac:dyDescent="0.35">
      <c r="A1474">
        <v>4</v>
      </c>
      <c r="B1474" t="s">
        <v>50</v>
      </c>
      <c r="C1474" t="s">
        <v>59</v>
      </c>
      <c r="D1474" t="s">
        <v>66</v>
      </c>
      <c r="E1474" t="s">
        <v>67</v>
      </c>
      <c r="F1474" t="s">
        <v>70</v>
      </c>
      <c r="G1474" t="s">
        <v>52</v>
      </c>
      <c r="H1474" t="s">
        <v>38</v>
      </c>
      <c r="I1474">
        <v>180</v>
      </c>
    </row>
    <row r="1475" spans="1:9" ht="14.5" x14ac:dyDescent="0.35">
      <c r="A1475">
        <v>4</v>
      </c>
      <c r="B1475" t="s">
        <v>50</v>
      </c>
      <c r="C1475" t="s">
        <v>72</v>
      </c>
      <c r="D1475" t="s">
        <v>73</v>
      </c>
      <c r="E1475" t="s">
        <v>74</v>
      </c>
      <c r="F1475" t="s">
        <v>76</v>
      </c>
      <c r="G1475" t="s">
        <v>35</v>
      </c>
      <c r="H1475" t="s">
        <v>38</v>
      </c>
      <c r="I1475">
        <v>180</v>
      </c>
    </row>
    <row r="1476" spans="1:9" ht="14.5" x14ac:dyDescent="0.35">
      <c r="A1476">
        <v>4</v>
      </c>
      <c r="B1476" t="s">
        <v>50</v>
      </c>
      <c r="C1476" t="s">
        <v>72</v>
      </c>
      <c r="D1476" t="s">
        <v>79</v>
      </c>
      <c r="E1476" t="s">
        <v>80</v>
      </c>
      <c r="F1476" t="s">
        <v>84</v>
      </c>
      <c r="G1476" t="s">
        <v>52</v>
      </c>
      <c r="H1476" t="s">
        <v>38</v>
      </c>
      <c r="I1476">
        <v>180</v>
      </c>
    </row>
    <row r="1477" spans="1:9" ht="14.5" x14ac:dyDescent="0.35">
      <c r="A1477">
        <v>4</v>
      </c>
      <c r="B1477" t="s">
        <v>51</v>
      </c>
      <c r="C1477" t="s">
        <v>85</v>
      </c>
      <c r="D1477" t="s">
        <v>86</v>
      </c>
      <c r="E1477" t="s">
        <v>87</v>
      </c>
      <c r="F1477" t="s">
        <v>89</v>
      </c>
      <c r="G1477" t="s">
        <v>35</v>
      </c>
      <c r="H1477" t="s">
        <v>38</v>
      </c>
      <c r="I1477">
        <v>180</v>
      </c>
    </row>
    <row r="1478" spans="1:9" ht="14.5" x14ac:dyDescent="0.35">
      <c r="A1478">
        <v>4</v>
      </c>
      <c r="B1478" t="s">
        <v>51</v>
      </c>
      <c r="C1478" t="s">
        <v>85</v>
      </c>
      <c r="D1478" t="s">
        <v>92</v>
      </c>
      <c r="E1478" t="s">
        <v>93</v>
      </c>
      <c r="F1478" t="s">
        <v>95</v>
      </c>
      <c r="G1478" t="s">
        <v>35</v>
      </c>
      <c r="H1478" t="s">
        <v>38</v>
      </c>
      <c r="I1478">
        <v>180</v>
      </c>
    </row>
    <row r="1479" spans="1:9" ht="14.5" x14ac:dyDescent="0.35">
      <c r="A1479">
        <v>4</v>
      </c>
      <c r="B1479" t="s">
        <v>51</v>
      </c>
      <c r="C1479" t="s">
        <v>59</v>
      </c>
      <c r="D1479" t="s">
        <v>60</v>
      </c>
      <c r="E1479" t="s">
        <v>61</v>
      </c>
      <c r="F1479" t="s">
        <v>65</v>
      </c>
      <c r="G1479" t="s">
        <v>35</v>
      </c>
      <c r="H1479" t="s">
        <v>38</v>
      </c>
      <c r="I1479">
        <v>180</v>
      </c>
    </row>
    <row r="1480" spans="1:9" ht="14.5" x14ac:dyDescent="0.35">
      <c r="A1480">
        <v>4</v>
      </c>
      <c r="B1480" t="s">
        <v>51</v>
      </c>
      <c r="C1480" t="s">
        <v>59</v>
      </c>
      <c r="D1480" t="s">
        <v>66</v>
      </c>
      <c r="E1480" t="s">
        <v>67</v>
      </c>
      <c r="F1480" t="s">
        <v>69</v>
      </c>
      <c r="G1480" t="s">
        <v>52</v>
      </c>
      <c r="H1480" t="s">
        <v>38</v>
      </c>
      <c r="I1480">
        <v>180</v>
      </c>
    </row>
    <row r="1481" spans="1:9" ht="14.5" x14ac:dyDescent="0.35">
      <c r="A1481">
        <v>4</v>
      </c>
      <c r="B1481" t="s">
        <v>51</v>
      </c>
      <c r="C1481" t="s">
        <v>72</v>
      </c>
      <c r="D1481" t="s">
        <v>73</v>
      </c>
      <c r="E1481" t="s">
        <v>74</v>
      </c>
      <c r="F1481" t="s">
        <v>76</v>
      </c>
      <c r="G1481" t="s">
        <v>35</v>
      </c>
      <c r="H1481" t="s">
        <v>38</v>
      </c>
      <c r="I1481">
        <v>180</v>
      </c>
    </row>
    <row r="1482" spans="1:9" ht="14.5" x14ac:dyDescent="0.35">
      <c r="A1482">
        <v>1</v>
      </c>
      <c r="B1482" t="s">
        <v>30</v>
      </c>
      <c r="C1482" t="s">
        <v>31</v>
      </c>
      <c r="D1482" t="s">
        <v>32</v>
      </c>
      <c r="E1482" t="s">
        <v>33</v>
      </c>
      <c r="F1482" t="s">
        <v>40</v>
      </c>
      <c r="G1482" t="s">
        <v>35</v>
      </c>
      <c r="H1482" t="s">
        <v>38</v>
      </c>
      <c r="I1482">
        <v>190</v>
      </c>
    </row>
    <row r="1483" spans="1:9" ht="14.5" x14ac:dyDescent="0.35">
      <c r="A1483">
        <v>1</v>
      </c>
      <c r="B1483" t="s">
        <v>30</v>
      </c>
      <c r="C1483" t="s">
        <v>31</v>
      </c>
      <c r="D1483" t="s">
        <v>32</v>
      </c>
      <c r="E1483" t="s">
        <v>33</v>
      </c>
      <c r="F1483" t="s">
        <v>40</v>
      </c>
      <c r="G1483" t="s">
        <v>52</v>
      </c>
      <c r="H1483" t="s">
        <v>38</v>
      </c>
      <c r="I1483">
        <v>190</v>
      </c>
    </row>
    <row r="1484" spans="1:9" ht="14.5" x14ac:dyDescent="0.35">
      <c r="A1484">
        <v>1</v>
      </c>
      <c r="B1484" t="s">
        <v>30</v>
      </c>
      <c r="C1484" t="s">
        <v>31</v>
      </c>
      <c r="D1484" t="s">
        <v>53</v>
      </c>
      <c r="E1484" t="s">
        <v>54</v>
      </c>
      <c r="F1484" t="s">
        <v>55</v>
      </c>
      <c r="G1484" t="s">
        <v>35</v>
      </c>
      <c r="H1484" t="s">
        <v>38</v>
      </c>
      <c r="I1484">
        <v>190</v>
      </c>
    </row>
    <row r="1485" spans="1:9" ht="14.5" x14ac:dyDescent="0.35">
      <c r="A1485">
        <v>1</v>
      </c>
      <c r="B1485" t="s">
        <v>30</v>
      </c>
      <c r="C1485" t="s">
        <v>85</v>
      </c>
      <c r="D1485" t="s">
        <v>92</v>
      </c>
      <c r="E1485" t="s">
        <v>93</v>
      </c>
      <c r="F1485" t="s">
        <v>94</v>
      </c>
      <c r="G1485" t="s">
        <v>52</v>
      </c>
      <c r="H1485" t="s">
        <v>38</v>
      </c>
      <c r="I1485">
        <v>190</v>
      </c>
    </row>
    <row r="1486" spans="1:9" ht="14.5" x14ac:dyDescent="0.35">
      <c r="A1486">
        <v>1</v>
      </c>
      <c r="B1486" t="s">
        <v>30</v>
      </c>
      <c r="C1486" t="s">
        <v>59</v>
      </c>
      <c r="D1486" t="s">
        <v>66</v>
      </c>
      <c r="E1486" t="s">
        <v>67</v>
      </c>
      <c r="F1486" t="s">
        <v>71</v>
      </c>
      <c r="G1486" t="s">
        <v>35</v>
      </c>
      <c r="H1486" t="s">
        <v>38</v>
      </c>
      <c r="I1486">
        <v>190</v>
      </c>
    </row>
    <row r="1487" spans="1:9" ht="14.5" x14ac:dyDescent="0.35">
      <c r="A1487">
        <v>1</v>
      </c>
      <c r="B1487" t="s">
        <v>41</v>
      </c>
      <c r="C1487" t="s">
        <v>31</v>
      </c>
      <c r="D1487" t="s">
        <v>32</v>
      </c>
      <c r="E1487" t="s">
        <v>33</v>
      </c>
      <c r="F1487" t="s">
        <v>40</v>
      </c>
      <c r="G1487" t="s">
        <v>35</v>
      </c>
      <c r="H1487" t="s">
        <v>38</v>
      </c>
      <c r="I1487">
        <v>190</v>
      </c>
    </row>
    <row r="1488" spans="1:9" ht="14.5" x14ac:dyDescent="0.35">
      <c r="A1488">
        <v>1</v>
      </c>
      <c r="B1488" t="s">
        <v>41</v>
      </c>
      <c r="C1488" t="s">
        <v>31</v>
      </c>
      <c r="D1488" t="s">
        <v>32</v>
      </c>
      <c r="E1488" t="s">
        <v>33</v>
      </c>
      <c r="F1488" t="s">
        <v>40</v>
      </c>
      <c r="G1488" t="s">
        <v>52</v>
      </c>
      <c r="H1488" t="s">
        <v>38</v>
      </c>
      <c r="I1488">
        <v>190</v>
      </c>
    </row>
    <row r="1489" spans="1:9" ht="14.5" x14ac:dyDescent="0.35">
      <c r="A1489">
        <v>1</v>
      </c>
      <c r="B1489" t="s">
        <v>41</v>
      </c>
      <c r="C1489" t="s">
        <v>85</v>
      </c>
      <c r="D1489" t="s">
        <v>86</v>
      </c>
      <c r="E1489" t="s">
        <v>87</v>
      </c>
      <c r="F1489" t="s">
        <v>88</v>
      </c>
      <c r="G1489" t="s">
        <v>52</v>
      </c>
      <c r="H1489" t="s">
        <v>38</v>
      </c>
      <c r="I1489">
        <v>190</v>
      </c>
    </row>
    <row r="1490" spans="1:9" ht="14.5" x14ac:dyDescent="0.35">
      <c r="A1490">
        <v>1</v>
      </c>
      <c r="B1490" t="s">
        <v>41</v>
      </c>
      <c r="C1490" t="s">
        <v>72</v>
      </c>
      <c r="D1490" t="s">
        <v>73</v>
      </c>
      <c r="E1490" t="s">
        <v>74</v>
      </c>
      <c r="F1490" t="s">
        <v>75</v>
      </c>
      <c r="G1490" t="s">
        <v>35</v>
      </c>
      <c r="H1490" t="s">
        <v>38</v>
      </c>
      <c r="I1490">
        <v>190</v>
      </c>
    </row>
    <row r="1491" spans="1:9" ht="14.5" x14ac:dyDescent="0.35">
      <c r="A1491">
        <v>1</v>
      </c>
      <c r="B1491" t="s">
        <v>42</v>
      </c>
      <c r="C1491" t="s">
        <v>85</v>
      </c>
      <c r="D1491" t="s">
        <v>92</v>
      </c>
      <c r="E1491" t="s">
        <v>93</v>
      </c>
      <c r="F1491" t="s">
        <v>95</v>
      </c>
      <c r="G1491" t="s">
        <v>52</v>
      </c>
      <c r="H1491" t="s">
        <v>38</v>
      </c>
      <c r="I1491">
        <v>190</v>
      </c>
    </row>
    <row r="1492" spans="1:9" ht="14.5" x14ac:dyDescent="0.35">
      <c r="A1492">
        <v>1</v>
      </c>
      <c r="B1492" t="s">
        <v>42</v>
      </c>
      <c r="C1492" t="s">
        <v>59</v>
      </c>
      <c r="D1492" t="s">
        <v>66</v>
      </c>
      <c r="E1492" t="s">
        <v>67</v>
      </c>
      <c r="F1492" t="s">
        <v>71</v>
      </c>
      <c r="G1492" t="s">
        <v>52</v>
      </c>
      <c r="H1492" t="s">
        <v>38</v>
      </c>
      <c r="I1492">
        <v>190</v>
      </c>
    </row>
    <row r="1493" spans="1:9" ht="14.5" x14ac:dyDescent="0.35">
      <c r="A1493">
        <v>2</v>
      </c>
      <c r="B1493" t="s">
        <v>43</v>
      </c>
      <c r="C1493" t="s">
        <v>31</v>
      </c>
      <c r="D1493" t="s">
        <v>32</v>
      </c>
      <c r="E1493" t="s">
        <v>33</v>
      </c>
      <c r="F1493" t="s">
        <v>39</v>
      </c>
      <c r="G1493" t="s">
        <v>52</v>
      </c>
      <c r="H1493" t="s">
        <v>38</v>
      </c>
      <c r="I1493">
        <v>190</v>
      </c>
    </row>
    <row r="1494" spans="1:9" ht="14.5" x14ac:dyDescent="0.35">
      <c r="A1494">
        <v>2</v>
      </c>
      <c r="B1494" t="s">
        <v>43</v>
      </c>
      <c r="C1494" t="s">
        <v>31</v>
      </c>
      <c r="D1494" t="s">
        <v>53</v>
      </c>
      <c r="E1494" t="s">
        <v>54</v>
      </c>
      <c r="F1494" t="s">
        <v>55</v>
      </c>
      <c r="G1494" t="s">
        <v>52</v>
      </c>
      <c r="H1494" t="s">
        <v>38</v>
      </c>
      <c r="I1494">
        <v>190</v>
      </c>
    </row>
    <row r="1495" spans="1:9" ht="14.5" x14ac:dyDescent="0.35">
      <c r="A1495">
        <v>2</v>
      </c>
      <c r="B1495" t="s">
        <v>43</v>
      </c>
      <c r="C1495" t="s">
        <v>85</v>
      </c>
      <c r="D1495" t="s">
        <v>86</v>
      </c>
      <c r="E1495" t="s">
        <v>87</v>
      </c>
      <c r="F1495" t="s">
        <v>88</v>
      </c>
      <c r="G1495" t="s">
        <v>35</v>
      </c>
      <c r="H1495" t="s">
        <v>38</v>
      </c>
      <c r="I1495">
        <v>190</v>
      </c>
    </row>
    <row r="1496" spans="1:9" ht="14.5" x14ac:dyDescent="0.35">
      <c r="A1496">
        <v>2</v>
      </c>
      <c r="B1496" t="s">
        <v>43</v>
      </c>
      <c r="C1496" t="s">
        <v>85</v>
      </c>
      <c r="D1496" t="s">
        <v>86</v>
      </c>
      <c r="E1496" t="s">
        <v>87</v>
      </c>
      <c r="F1496" t="s">
        <v>88</v>
      </c>
      <c r="G1496" t="s">
        <v>52</v>
      </c>
      <c r="H1496" t="s">
        <v>38</v>
      </c>
      <c r="I1496">
        <v>190</v>
      </c>
    </row>
    <row r="1497" spans="1:9" ht="14.5" x14ac:dyDescent="0.35">
      <c r="A1497">
        <v>2</v>
      </c>
      <c r="B1497" t="s">
        <v>43</v>
      </c>
      <c r="C1497" t="s">
        <v>85</v>
      </c>
      <c r="D1497" t="s">
        <v>92</v>
      </c>
      <c r="E1497" t="s">
        <v>93</v>
      </c>
      <c r="F1497" t="s">
        <v>95</v>
      </c>
      <c r="G1497" t="s">
        <v>52</v>
      </c>
      <c r="H1497" t="s">
        <v>38</v>
      </c>
      <c r="I1497">
        <v>190</v>
      </c>
    </row>
    <row r="1498" spans="1:9" ht="14.5" x14ac:dyDescent="0.35">
      <c r="A1498">
        <v>2</v>
      </c>
      <c r="B1498" t="s">
        <v>43</v>
      </c>
      <c r="C1498" t="s">
        <v>59</v>
      </c>
      <c r="D1498" t="s">
        <v>60</v>
      </c>
      <c r="E1498" t="s">
        <v>61</v>
      </c>
      <c r="F1498" t="s">
        <v>63</v>
      </c>
      <c r="G1498" t="s">
        <v>35</v>
      </c>
      <c r="H1498" t="s">
        <v>38</v>
      </c>
      <c r="I1498">
        <v>190</v>
      </c>
    </row>
    <row r="1499" spans="1:9" ht="14.5" x14ac:dyDescent="0.35">
      <c r="A1499">
        <v>2</v>
      </c>
      <c r="B1499" t="s">
        <v>44</v>
      </c>
      <c r="C1499" t="s">
        <v>31</v>
      </c>
      <c r="D1499" t="s">
        <v>53</v>
      </c>
      <c r="E1499" t="s">
        <v>54</v>
      </c>
      <c r="F1499" t="s">
        <v>55</v>
      </c>
      <c r="G1499" t="s">
        <v>52</v>
      </c>
      <c r="H1499" t="s">
        <v>38</v>
      </c>
      <c r="I1499">
        <v>190</v>
      </c>
    </row>
    <row r="1500" spans="1:9" ht="14.5" x14ac:dyDescent="0.35">
      <c r="A1500">
        <v>2</v>
      </c>
      <c r="B1500" t="s">
        <v>44</v>
      </c>
      <c r="C1500" t="s">
        <v>31</v>
      </c>
      <c r="D1500" t="s">
        <v>53</v>
      </c>
      <c r="E1500" t="s">
        <v>54</v>
      </c>
      <c r="F1500" t="s">
        <v>57</v>
      </c>
      <c r="G1500" t="s">
        <v>35</v>
      </c>
      <c r="H1500" t="s">
        <v>38</v>
      </c>
      <c r="I1500">
        <v>190</v>
      </c>
    </row>
    <row r="1501" spans="1:9" ht="14.5" x14ac:dyDescent="0.35">
      <c r="A1501">
        <v>2</v>
      </c>
      <c r="B1501" t="s">
        <v>44</v>
      </c>
      <c r="C1501" t="s">
        <v>72</v>
      </c>
      <c r="D1501" t="s">
        <v>73</v>
      </c>
      <c r="E1501" t="s">
        <v>74</v>
      </c>
      <c r="F1501" t="s">
        <v>77</v>
      </c>
      <c r="G1501" t="s">
        <v>52</v>
      </c>
      <c r="H1501" t="s">
        <v>38</v>
      </c>
      <c r="I1501">
        <v>190</v>
      </c>
    </row>
    <row r="1502" spans="1:9" ht="14.5" x14ac:dyDescent="0.35">
      <c r="A1502">
        <v>2</v>
      </c>
      <c r="B1502" t="s">
        <v>45</v>
      </c>
      <c r="C1502" t="s">
        <v>31</v>
      </c>
      <c r="D1502" t="s">
        <v>32</v>
      </c>
      <c r="E1502" t="s">
        <v>33</v>
      </c>
      <c r="F1502" t="s">
        <v>40</v>
      </c>
      <c r="G1502" t="s">
        <v>35</v>
      </c>
      <c r="H1502" t="s">
        <v>38</v>
      </c>
      <c r="I1502">
        <v>190</v>
      </c>
    </row>
    <row r="1503" spans="1:9" ht="14.5" x14ac:dyDescent="0.35">
      <c r="A1503">
        <v>2</v>
      </c>
      <c r="B1503" t="s">
        <v>45</v>
      </c>
      <c r="C1503" t="s">
        <v>31</v>
      </c>
      <c r="D1503" t="s">
        <v>53</v>
      </c>
      <c r="E1503" t="s">
        <v>54</v>
      </c>
      <c r="F1503" t="s">
        <v>55</v>
      </c>
      <c r="G1503" t="s">
        <v>52</v>
      </c>
      <c r="H1503" t="s">
        <v>38</v>
      </c>
      <c r="I1503">
        <v>190</v>
      </c>
    </row>
    <row r="1504" spans="1:9" ht="14.5" x14ac:dyDescent="0.35">
      <c r="A1504">
        <v>2</v>
      </c>
      <c r="B1504" t="s">
        <v>45</v>
      </c>
      <c r="C1504" t="s">
        <v>31</v>
      </c>
      <c r="D1504" t="s">
        <v>53</v>
      </c>
      <c r="E1504" t="s">
        <v>54</v>
      </c>
      <c r="F1504" t="s">
        <v>56</v>
      </c>
      <c r="G1504" t="s">
        <v>52</v>
      </c>
      <c r="H1504" t="s">
        <v>38</v>
      </c>
      <c r="I1504">
        <v>190</v>
      </c>
    </row>
    <row r="1505" spans="1:9" ht="14.5" x14ac:dyDescent="0.35">
      <c r="A1505">
        <v>2</v>
      </c>
      <c r="B1505" t="s">
        <v>45</v>
      </c>
      <c r="C1505" t="s">
        <v>85</v>
      </c>
      <c r="D1505" t="s">
        <v>92</v>
      </c>
      <c r="E1505" t="s">
        <v>93</v>
      </c>
      <c r="F1505" t="s">
        <v>96</v>
      </c>
      <c r="G1505" t="s">
        <v>52</v>
      </c>
      <c r="H1505" t="s">
        <v>38</v>
      </c>
      <c r="I1505">
        <v>190</v>
      </c>
    </row>
    <row r="1506" spans="1:9" ht="14.5" x14ac:dyDescent="0.35">
      <c r="A1506">
        <v>2</v>
      </c>
      <c r="B1506" t="s">
        <v>45</v>
      </c>
      <c r="C1506" t="s">
        <v>59</v>
      </c>
      <c r="D1506" t="s">
        <v>60</v>
      </c>
      <c r="E1506" t="s">
        <v>61</v>
      </c>
      <c r="F1506" t="s">
        <v>64</v>
      </c>
      <c r="G1506" t="s">
        <v>52</v>
      </c>
      <c r="H1506" t="s">
        <v>38</v>
      </c>
      <c r="I1506">
        <v>190</v>
      </c>
    </row>
    <row r="1507" spans="1:9" ht="14.5" x14ac:dyDescent="0.35">
      <c r="A1507">
        <v>2</v>
      </c>
      <c r="B1507" t="s">
        <v>45</v>
      </c>
      <c r="C1507" t="s">
        <v>59</v>
      </c>
      <c r="D1507" t="s">
        <v>66</v>
      </c>
      <c r="E1507" t="s">
        <v>67</v>
      </c>
      <c r="F1507" t="s">
        <v>70</v>
      </c>
      <c r="G1507" t="s">
        <v>52</v>
      </c>
      <c r="H1507" t="s">
        <v>38</v>
      </c>
      <c r="I1507">
        <v>190</v>
      </c>
    </row>
    <row r="1508" spans="1:9" ht="14.5" x14ac:dyDescent="0.35">
      <c r="A1508">
        <v>3</v>
      </c>
      <c r="B1508" t="s">
        <v>46</v>
      </c>
      <c r="C1508" t="s">
        <v>31</v>
      </c>
      <c r="D1508" t="s">
        <v>53</v>
      </c>
      <c r="E1508" t="s">
        <v>54</v>
      </c>
      <c r="F1508" t="s">
        <v>55</v>
      </c>
      <c r="G1508" t="s">
        <v>52</v>
      </c>
      <c r="H1508" t="s">
        <v>38</v>
      </c>
      <c r="I1508">
        <v>190</v>
      </c>
    </row>
    <row r="1509" spans="1:9" ht="14.5" x14ac:dyDescent="0.35">
      <c r="A1509">
        <v>3</v>
      </c>
      <c r="B1509" t="s">
        <v>46</v>
      </c>
      <c r="C1509" t="s">
        <v>85</v>
      </c>
      <c r="D1509" t="s">
        <v>86</v>
      </c>
      <c r="E1509" t="s">
        <v>87</v>
      </c>
      <c r="F1509" t="s">
        <v>90</v>
      </c>
      <c r="G1509" t="s">
        <v>35</v>
      </c>
      <c r="H1509" t="s">
        <v>38</v>
      </c>
      <c r="I1509">
        <v>190</v>
      </c>
    </row>
    <row r="1510" spans="1:9" ht="14.5" x14ac:dyDescent="0.35">
      <c r="A1510">
        <v>3</v>
      </c>
      <c r="B1510" t="s">
        <v>46</v>
      </c>
      <c r="C1510" t="s">
        <v>59</v>
      </c>
      <c r="D1510" t="s">
        <v>66</v>
      </c>
      <c r="E1510" t="s">
        <v>67</v>
      </c>
      <c r="F1510" t="s">
        <v>68</v>
      </c>
      <c r="G1510" t="s">
        <v>35</v>
      </c>
      <c r="H1510" t="s">
        <v>38</v>
      </c>
      <c r="I1510">
        <v>190</v>
      </c>
    </row>
    <row r="1511" spans="1:9" ht="14.5" x14ac:dyDescent="0.35">
      <c r="A1511">
        <v>3</v>
      </c>
      <c r="B1511" t="s">
        <v>47</v>
      </c>
      <c r="C1511" t="s">
        <v>85</v>
      </c>
      <c r="D1511" t="s">
        <v>92</v>
      </c>
      <c r="E1511" t="s">
        <v>93</v>
      </c>
      <c r="F1511" t="s">
        <v>95</v>
      </c>
      <c r="G1511" t="s">
        <v>52</v>
      </c>
      <c r="H1511" t="s">
        <v>38</v>
      </c>
      <c r="I1511">
        <v>190</v>
      </c>
    </row>
    <row r="1512" spans="1:9" ht="14.5" x14ac:dyDescent="0.35">
      <c r="A1512">
        <v>3</v>
      </c>
      <c r="B1512" t="s">
        <v>47</v>
      </c>
      <c r="C1512" t="s">
        <v>85</v>
      </c>
      <c r="D1512" t="s">
        <v>92</v>
      </c>
      <c r="E1512" t="s">
        <v>93</v>
      </c>
      <c r="F1512" t="s">
        <v>97</v>
      </c>
      <c r="G1512" t="s">
        <v>35</v>
      </c>
      <c r="H1512" t="s">
        <v>38</v>
      </c>
      <c r="I1512">
        <v>190</v>
      </c>
    </row>
    <row r="1513" spans="1:9" ht="14.5" x14ac:dyDescent="0.35">
      <c r="A1513">
        <v>3</v>
      </c>
      <c r="B1513" t="s">
        <v>47</v>
      </c>
      <c r="C1513" t="s">
        <v>59</v>
      </c>
      <c r="D1513" t="s">
        <v>66</v>
      </c>
      <c r="E1513" t="s">
        <v>67</v>
      </c>
      <c r="F1513" t="s">
        <v>69</v>
      </c>
      <c r="G1513" t="s">
        <v>52</v>
      </c>
      <c r="H1513" t="s">
        <v>38</v>
      </c>
      <c r="I1513">
        <v>190</v>
      </c>
    </row>
    <row r="1514" spans="1:9" ht="14.5" x14ac:dyDescent="0.35">
      <c r="A1514">
        <v>3</v>
      </c>
      <c r="B1514" t="s">
        <v>48</v>
      </c>
      <c r="C1514" t="s">
        <v>31</v>
      </c>
      <c r="D1514" t="s">
        <v>53</v>
      </c>
      <c r="E1514" t="s">
        <v>54</v>
      </c>
      <c r="F1514" t="s">
        <v>55</v>
      </c>
      <c r="G1514" t="s">
        <v>35</v>
      </c>
      <c r="H1514" t="s">
        <v>38</v>
      </c>
      <c r="I1514">
        <v>190</v>
      </c>
    </row>
    <row r="1515" spans="1:9" ht="14.5" x14ac:dyDescent="0.35">
      <c r="A1515">
        <v>3</v>
      </c>
      <c r="B1515" t="s">
        <v>48</v>
      </c>
      <c r="C1515" t="s">
        <v>85</v>
      </c>
      <c r="D1515" t="s">
        <v>92</v>
      </c>
      <c r="E1515" t="s">
        <v>93</v>
      </c>
      <c r="F1515" t="s">
        <v>96</v>
      </c>
      <c r="G1515" t="s">
        <v>52</v>
      </c>
      <c r="H1515" t="s">
        <v>38</v>
      </c>
      <c r="I1515">
        <v>190</v>
      </c>
    </row>
    <row r="1516" spans="1:9" ht="14.5" x14ac:dyDescent="0.35">
      <c r="A1516">
        <v>3</v>
      </c>
      <c r="B1516" t="s">
        <v>48</v>
      </c>
      <c r="C1516" t="s">
        <v>72</v>
      </c>
      <c r="D1516" t="s">
        <v>73</v>
      </c>
      <c r="E1516" t="s">
        <v>74</v>
      </c>
      <c r="F1516" t="s">
        <v>77</v>
      </c>
      <c r="G1516" t="s">
        <v>52</v>
      </c>
      <c r="H1516" t="s">
        <v>38</v>
      </c>
      <c r="I1516">
        <v>190</v>
      </c>
    </row>
    <row r="1517" spans="1:9" ht="14.5" x14ac:dyDescent="0.35">
      <c r="A1517">
        <v>4</v>
      </c>
      <c r="B1517" t="s">
        <v>49</v>
      </c>
      <c r="C1517" t="s">
        <v>31</v>
      </c>
      <c r="D1517" t="s">
        <v>32</v>
      </c>
      <c r="E1517" t="s">
        <v>33</v>
      </c>
      <c r="F1517" t="s">
        <v>37</v>
      </c>
      <c r="G1517" t="s">
        <v>35</v>
      </c>
      <c r="H1517" t="s">
        <v>38</v>
      </c>
      <c r="I1517">
        <v>190</v>
      </c>
    </row>
    <row r="1518" spans="1:9" ht="14.5" x14ac:dyDescent="0.35">
      <c r="A1518">
        <v>4</v>
      </c>
      <c r="B1518" t="s">
        <v>49</v>
      </c>
      <c r="C1518" t="s">
        <v>31</v>
      </c>
      <c r="D1518" t="s">
        <v>32</v>
      </c>
      <c r="E1518" t="s">
        <v>33</v>
      </c>
      <c r="F1518" t="s">
        <v>34</v>
      </c>
      <c r="G1518" t="s">
        <v>35</v>
      </c>
      <c r="H1518" t="s">
        <v>38</v>
      </c>
      <c r="I1518">
        <v>190</v>
      </c>
    </row>
    <row r="1519" spans="1:9" ht="14.5" x14ac:dyDescent="0.35">
      <c r="A1519">
        <v>4</v>
      </c>
      <c r="B1519" t="s">
        <v>49</v>
      </c>
      <c r="C1519" t="s">
        <v>31</v>
      </c>
      <c r="D1519" t="s">
        <v>53</v>
      </c>
      <c r="E1519" t="s">
        <v>54</v>
      </c>
      <c r="F1519" t="s">
        <v>56</v>
      </c>
      <c r="G1519" t="s">
        <v>52</v>
      </c>
      <c r="H1519" t="s">
        <v>38</v>
      </c>
      <c r="I1519">
        <v>190</v>
      </c>
    </row>
    <row r="1520" spans="1:9" ht="14.5" x14ac:dyDescent="0.35">
      <c r="A1520">
        <v>4</v>
      </c>
      <c r="B1520" t="s">
        <v>49</v>
      </c>
      <c r="C1520" t="s">
        <v>85</v>
      </c>
      <c r="D1520" t="s">
        <v>92</v>
      </c>
      <c r="E1520" t="s">
        <v>93</v>
      </c>
      <c r="F1520" t="s">
        <v>96</v>
      </c>
      <c r="G1520" t="s">
        <v>35</v>
      </c>
      <c r="H1520" t="s">
        <v>38</v>
      </c>
      <c r="I1520">
        <v>190</v>
      </c>
    </row>
    <row r="1521" spans="1:9" ht="14.5" x14ac:dyDescent="0.35">
      <c r="A1521">
        <v>4</v>
      </c>
      <c r="B1521" t="s">
        <v>49</v>
      </c>
      <c r="C1521" t="s">
        <v>85</v>
      </c>
      <c r="D1521" t="s">
        <v>92</v>
      </c>
      <c r="E1521" t="s">
        <v>93</v>
      </c>
      <c r="F1521" t="s">
        <v>97</v>
      </c>
      <c r="G1521" t="s">
        <v>35</v>
      </c>
      <c r="H1521" t="s">
        <v>38</v>
      </c>
      <c r="I1521">
        <v>190</v>
      </c>
    </row>
    <row r="1522" spans="1:9" ht="14.5" x14ac:dyDescent="0.35">
      <c r="A1522">
        <v>4</v>
      </c>
      <c r="B1522" t="s">
        <v>49</v>
      </c>
      <c r="C1522" t="s">
        <v>59</v>
      </c>
      <c r="D1522" t="s">
        <v>60</v>
      </c>
      <c r="E1522" t="s">
        <v>61</v>
      </c>
      <c r="F1522" t="s">
        <v>62</v>
      </c>
      <c r="G1522" t="s">
        <v>52</v>
      </c>
      <c r="H1522" t="s">
        <v>38</v>
      </c>
      <c r="I1522">
        <v>190</v>
      </c>
    </row>
    <row r="1523" spans="1:9" ht="14.5" x14ac:dyDescent="0.35">
      <c r="A1523">
        <v>4</v>
      </c>
      <c r="B1523" t="s">
        <v>49</v>
      </c>
      <c r="C1523" t="s">
        <v>59</v>
      </c>
      <c r="D1523" t="s">
        <v>66</v>
      </c>
      <c r="E1523" t="s">
        <v>67</v>
      </c>
      <c r="F1523" t="s">
        <v>68</v>
      </c>
      <c r="G1523" t="s">
        <v>52</v>
      </c>
      <c r="H1523" t="s">
        <v>38</v>
      </c>
      <c r="I1523">
        <v>190</v>
      </c>
    </row>
    <row r="1524" spans="1:9" ht="14.5" x14ac:dyDescent="0.35">
      <c r="A1524">
        <v>4</v>
      </c>
      <c r="B1524" t="s">
        <v>49</v>
      </c>
      <c r="C1524" t="s">
        <v>72</v>
      </c>
      <c r="D1524" t="s">
        <v>73</v>
      </c>
      <c r="E1524" t="s">
        <v>74</v>
      </c>
      <c r="F1524" t="s">
        <v>76</v>
      </c>
      <c r="G1524" t="s">
        <v>35</v>
      </c>
      <c r="H1524" t="s">
        <v>38</v>
      </c>
      <c r="I1524">
        <v>190</v>
      </c>
    </row>
    <row r="1525" spans="1:9" ht="14.5" x14ac:dyDescent="0.35">
      <c r="A1525">
        <v>4</v>
      </c>
      <c r="B1525" t="s">
        <v>50</v>
      </c>
      <c r="C1525" t="s">
        <v>59</v>
      </c>
      <c r="D1525" t="s">
        <v>60</v>
      </c>
      <c r="E1525" t="s">
        <v>61</v>
      </c>
      <c r="F1525" t="s">
        <v>64</v>
      </c>
      <c r="G1525" t="s">
        <v>52</v>
      </c>
      <c r="H1525" t="s">
        <v>38</v>
      </c>
      <c r="I1525">
        <v>190</v>
      </c>
    </row>
    <row r="1526" spans="1:9" ht="14.5" x14ac:dyDescent="0.35">
      <c r="A1526">
        <v>4</v>
      </c>
      <c r="B1526" t="s">
        <v>50</v>
      </c>
      <c r="C1526" t="s">
        <v>59</v>
      </c>
      <c r="D1526" t="s">
        <v>66</v>
      </c>
      <c r="E1526" t="s">
        <v>67</v>
      </c>
      <c r="F1526" t="s">
        <v>71</v>
      </c>
      <c r="G1526" t="s">
        <v>52</v>
      </c>
      <c r="H1526" t="s">
        <v>38</v>
      </c>
      <c r="I1526">
        <v>190</v>
      </c>
    </row>
    <row r="1527" spans="1:9" ht="14.5" x14ac:dyDescent="0.35">
      <c r="A1527">
        <v>4</v>
      </c>
      <c r="B1527" t="s">
        <v>51</v>
      </c>
      <c r="C1527" t="s">
        <v>59</v>
      </c>
      <c r="D1527" t="s">
        <v>66</v>
      </c>
      <c r="E1527" t="s">
        <v>67</v>
      </c>
      <c r="F1527" t="s">
        <v>70</v>
      </c>
      <c r="G1527" t="s">
        <v>52</v>
      </c>
      <c r="H1527" t="s">
        <v>38</v>
      </c>
      <c r="I1527">
        <v>190</v>
      </c>
    </row>
    <row r="1528" spans="1:9" ht="14.5" x14ac:dyDescent="0.35">
      <c r="A1528">
        <v>4</v>
      </c>
      <c r="B1528" t="s">
        <v>51</v>
      </c>
      <c r="C1528" t="s">
        <v>72</v>
      </c>
      <c r="D1528" t="s">
        <v>79</v>
      </c>
      <c r="E1528" t="s">
        <v>80</v>
      </c>
      <c r="F1528" t="s">
        <v>84</v>
      </c>
      <c r="G1528" t="s">
        <v>52</v>
      </c>
      <c r="H1528" t="s">
        <v>38</v>
      </c>
      <c r="I1528">
        <v>190</v>
      </c>
    </row>
    <row r="1529" spans="1:9" ht="14.5" x14ac:dyDescent="0.35">
      <c r="A1529">
        <v>1</v>
      </c>
      <c r="B1529" t="s">
        <v>42</v>
      </c>
      <c r="C1529" t="s">
        <v>31</v>
      </c>
      <c r="D1529" t="s">
        <v>53</v>
      </c>
      <c r="E1529" t="s">
        <v>54</v>
      </c>
      <c r="F1529" t="s">
        <v>58</v>
      </c>
      <c r="G1529" t="s">
        <v>52</v>
      </c>
      <c r="H1529" t="s">
        <v>38</v>
      </c>
      <c r="I1529">
        <v>200</v>
      </c>
    </row>
    <row r="1530" spans="1:9" ht="14.5" x14ac:dyDescent="0.35">
      <c r="A1530">
        <v>1</v>
      </c>
      <c r="B1530" t="s">
        <v>42</v>
      </c>
      <c r="C1530" t="s">
        <v>59</v>
      </c>
      <c r="D1530" t="s">
        <v>60</v>
      </c>
      <c r="E1530" t="s">
        <v>61</v>
      </c>
      <c r="F1530" t="s">
        <v>62</v>
      </c>
      <c r="G1530" t="s">
        <v>35</v>
      </c>
      <c r="H1530" t="s">
        <v>38</v>
      </c>
      <c r="I1530">
        <v>200</v>
      </c>
    </row>
    <row r="1531" spans="1:9" ht="14.5" x14ac:dyDescent="0.35">
      <c r="A1531">
        <v>1</v>
      </c>
      <c r="B1531" t="s">
        <v>42</v>
      </c>
      <c r="C1531" t="s">
        <v>72</v>
      </c>
      <c r="D1531" t="s">
        <v>73</v>
      </c>
      <c r="E1531" t="s">
        <v>74</v>
      </c>
      <c r="F1531" t="s">
        <v>75</v>
      </c>
      <c r="G1531" t="s">
        <v>35</v>
      </c>
      <c r="H1531" t="s">
        <v>38</v>
      </c>
      <c r="I1531">
        <v>200</v>
      </c>
    </row>
    <row r="1532" spans="1:9" ht="14.5" x14ac:dyDescent="0.35">
      <c r="A1532">
        <v>2</v>
      </c>
      <c r="B1532" t="s">
        <v>44</v>
      </c>
      <c r="C1532" t="s">
        <v>85</v>
      </c>
      <c r="D1532" t="s">
        <v>86</v>
      </c>
      <c r="E1532" t="s">
        <v>87</v>
      </c>
      <c r="F1532" t="s">
        <v>88</v>
      </c>
      <c r="G1532" t="s">
        <v>52</v>
      </c>
      <c r="H1532" t="s">
        <v>38</v>
      </c>
      <c r="I1532">
        <v>200</v>
      </c>
    </row>
    <row r="1533" spans="1:9" ht="14.5" x14ac:dyDescent="0.35">
      <c r="A1533">
        <v>2</v>
      </c>
      <c r="B1533" t="s">
        <v>44</v>
      </c>
      <c r="C1533" t="s">
        <v>72</v>
      </c>
      <c r="D1533" t="s">
        <v>79</v>
      </c>
      <c r="E1533" t="s">
        <v>80</v>
      </c>
      <c r="F1533" t="s">
        <v>84</v>
      </c>
      <c r="G1533" t="s">
        <v>52</v>
      </c>
      <c r="H1533" t="s">
        <v>38</v>
      </c>
      <c r="I1533">
        <v>200</v>
      </c>
    </row>
    <row r="1534" spans="1:9" ht="14.5" x14ac:dyDescent="0.35">
      <c r="A1534">
        <v>2</v>
      </c>
      <c r="B1534" t="s">
        <v>45</v>
      </c>
      <c r="C1534" t="s">
        <v>85</v>
      </c>
      <c r="D1534" t="s">
        <v>92</v>
      </c>
      <c r="E1534" t="s">
        <v>93</v>
      </c>
      <c r="F1534" t="s">
        <v>94</v>
      </c>
      <c r="G1534" t="s">
        <v>35</v>
      </c>
      <c r="H1534" t="s">
        <v>38</v>
      </c>
      <c r="I1534">
        <v>200</v>
      </c>
    </row>
    <row r="1535" spans="1:9" ht="14.5" x14ac:dyDescent="0.35">
      <c r="A1535">
        <v>3</v>
      </c>
      <c r="B1535" t="s">
        <v>46</v>
      </c>
      <c r="C1535" t="s">
        <v>72</v>
      </c>
      <c r="D1535" t="s">
        <v>73</v>
      </c>
      <c r="E1535" t="s">
        <v>74</v>
      </c>
      <c r="F1535" t="s">
        <v>75</v>
      </c>
      <c r="G1535" t="s">
        <v>35</v>
      </c>
      <c r="H1535" t="s">
        <v>38</v>
      </c>
      <c r="I1535">
        <v>200</v>
      </c>
    </row>
    <row r="1536" spans="1:9" ht="14.5" x14ac:dyDescent="0.35">
      <c r="A1536">
        <v>3</v>
      </c>
      <c r="B1536" t="s">
        <v>47</v>
      </c>
      <c r="C1536" t="s">
        <v>59</v>
      </c>
      <c r="D1536" t="s">
        <v>66</v>
      </c>
      <c r="E1536" t="s">
        <v>67</v>
      </c>
      <c r="F1536" t="s">
        <v>68</v>
      </c>
      <c r="G1536" t="s">
        <v>35</v>
      </c>
      <c r="H1536" t="s">
        <v>38</v>
      </c>
      <c r="I1536">
        <v>200</v>
      </c>
    </row>
    <row r="1537" spans="1:9" ht="14.5" x14ac:dyDescent="0.35">
      <c r="A1537">
        <v>3</v>
      </c>
      <c r="B1537" t="s">
        <v>47</v>
      </c>
      <c r="C1537" t="s">
        <v>72</v>
      </c>
      <c r="D1537" t="s">
        <v>73</v>
      </c>
      <c r="E1537" t="s">
        <v>74</v>
      </c>
      <c r="F1537" t="s">
        <v>78</v>
      </c>
      <c r="G1537" t="s">
        <v>35</v>
      </c>
      <c r="H1537" t="s">
        <v>38</v>
      </c>
      <c r="I1537">
        <v>200</v>
      </c>
    </row>
  </sheetData>
  <autoFilter ref="A1:I1537" xr:uid="{A95A3DB0-24AF-4E6F-8FED-53E5B4CF85C8}">
    <sortState xmlns:xlrd2="http://schemas.microsoft.com/office/spreadsheetml/2017/richdata2" ref="A2:I1537">
      <sortCondition ref="H1:H1537"/>
    </sortState>
  </autoFilter>
  <pageMargins left="0.75" right="0.75" top="1" bottom="1" header="0.5" footer="0.5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AF7E0-4969-4313-9A82-0AE5486E4C6E}">
  <dimension ref="B1:M18"/>
  <sheetViews>
    <sheetView zoomScale="130" zoomScaleNormal="130" workbookViewId="0">
      <selection activeCell="I3" sqref="I3:I14"/>
    </sheetView>
  </sheetViews>
  <sheetFormatPr defaultRowHeight="14.5" x14ac:dyDescent="0.35"/>
  <cols>
    <col min="5" max="5" width="10.7265625" bestFit="1" customWidth="1"/>
    <col min="10" max="10" width="11.54296875" bestFit="1" customWidth="1"/>
    <col min="12" max="12" width="12.26953125" bestFit="1" customWidth="1"/>
  </cols>
  <sheetData>
    <row r="1" spans="2:13" ht="29" x14ac:dyDescent="0.35">
      <c r="B1" s="46" t="s">
        <v>223</v>
      </c>
      <c r="C1" s="46" t="s">
        <v>223</v>
      </c>
      <c r="D1" s="46" t="s">
        <v>224</v>
      </c>
      <c r="E1" s="46" t="s">
        <v>225</v>
      </c>
      <c r="F1" s="46" t="s">
        <v>224</v>
      </c>
      <c r="G1" s="46" t="s">
        <v>224</v>
      </c>
      <c r="H1" s="46" t="s">
        <v>224</v>
      </c>
      <c r="I1" s="46" t="s">
        <v>225</v>
      </c>
      <c r="J1" s="46" t="s">
        <v>226</v>
      </c>
      <c r="L1" s="5" t="s">
        <v>0</v>
      </c>
      <c r="M1" s="5"/>
    </row>
    <row r="2" spans="2:13" x14ac:dyDescent="0.35">
      <c r="L2" t="s">
        <v>227</v>
      </c>
    </row>
    <row r="3" spans="2:13" x14ac:dyDescent="0.35">
      <c r="B3" t="s">
        <v>30</v>
      </c>
      <c r="C3" t="s">
        <v>228</v>
      </c>
      <c r="D3">
        <v>1</v>
      </c>
      <c r="E3" s="28">
        <v>45442</v>
      </c>
      <c r="F3" t="s">
        <v>229</v>
      </c>
      <c r="G3" t="s">
        <v>230</v>
      </c>
      <c r="H3" t="s">
        <v>231</v>
      </c>
      <c r="I3" t="s">
        <v>59</v>
      </c>
      <c r="J3" s="31">
        <v>29483</v>
      </c>
      <c r="L3" t="s">
        <v>232</v>
      </c>
    </row>
    <row r="4" spans="2:13" x14ac:dyDescent="0.35">
      <c r="B4" t="s">
        <v>41</v>
      </c>
      <c r="C4" t="s">
        <v>1459</v>
      </c>
      <c r="D4">
        <v>1</v>
      </c>
      <c r="E4" s="28">
        <v>45443</v>
      </c>
      <c r="F4" t="s">
        <v>1465</v>
      </c>
      <c r="G4" t="s">
        <v>1476</v>
      </c>
      <c r="H4" t="s">
        <v>1479</v>
      </c>
      <c r="I4" t="s">
        <v>72</v>
      </c>
      <c r="J4">
        <v>28228</v>
      </c>
    </row>
    <row r="5" spans="2:13" x14ac:dyDescent="0.35">
      <c r="B5" t="s">
        <v>42</v>
      </c>
      <c r="C5" t="s">
        <v>1460</v>
      </c>
      <c r="D5">
        <v>1</v>
      </c>
      <c r="E5" s="28">
        <v>45444</v>
      </c>
      <c r="F5" t="s">
        <v>1466</v>
      </c>
      <c r="G5" t="s">
        <v>1477</v>
      </c>
      <c r="H5" t="s">
        <v>1480</v>
      </c>
      <c r="I5" t="s">
        <v>31</v>
      </c>
      <c r="J5">
        <v>28650</v>
      </c>
    </row>
    <row r="6" spans="2:13" x14ac:dyDescent="0.35">
      <c r="B6" t="s">
        <v>43</v>
      </c>
      <c r="C6" t="s">
        <v>1461</v>
      </c>
      <c r="D6">
        <v>1</v>
      </c>
      <c r="E6" s="28">
        <v>45445</v>
      </c>
      <c r="F6" t="s">
        <v>1467</v>
      </c>
      <c r="G6" t="s">
        <v>1478</v>
      </c>
      <c r="H6" t="s">
        <v>1481</v>
      </c>
      <c r="I6" t="s">
        <v>85</v>
      </c>
      <c r="J6">
        <v>19777</v>
      </c>
    </row>
    <row r="7" spans="2:13" x14ac:dyDescent="0.35">
      <c r="B7" t="s">
        <v>44</v>
      </c>
      <c r="C7" t="s">
        <v>1462</v>
      </c>
      <c r="D7">
        <v>1</v>
      </c>
      <c r="E7" s="28">
        <v>45446</v>
      </c>
      <c r="F7" t="s">
        <v>1468</v>
      </c>
      <c r="G7" t="s">
        <v>230</v>
      </c>
      <c r="H7" t="s">
        <v>1482</v>
      </c>
      <c r="I7" t="s">
        <v>59</v>
      </c>
      <c r="J7">
        <v>22373</v>
      </c>
    </row>
    <row r="8" spans="2:13" x14ac:dyDescent="0.35">
      <c r="B8" t="s">
        <v>45</v>
      </c>
      <c r="C8" t="s">
        <v>1463</v>
      </c>
      <c r="D8">
        <v>1</v>
      </c>
      <c r="E8" s="28">
        <v>45447</v>
      </c>
      <c r="F8" t="s">
        <v>1469</v>
      </c>
      <c r="G8" t="s">
        <v>1476</v>
      </c>
      <c r="H8" t="s">
        <v>1483</v>
      </c>
      <c r="I8" t="s">
        <v>72</v>
      </c>
      <c r="J8">
        <v>25501</v>
      </c>
    </row>
    <row r="9" spans="2:13" x14ac:dyDescent="0.35">
      <c r="B9" t="s">
        <v>46</v>
      </c>
      <c r="C9" t="s">
        <v>1464</v>
      </c>
      <c r="D9">
        <v>1</v>
      </c>
      <c r="E9" s="28">
        <v>45448</v>
      </c>
      <c r="F9" t="s">
        <v>1470</v>
      </c>
      <c r="G9" t="s">
        <v>1477</v>
      </c>
      <c r="H9" t="s">
        <v>1484</v>
      </c>
      <c r="I9" t="s">
        <v>31</v>
      </c>
      <c r="J9">
        <v>12334</v>
      </c>
    </row>
    <row r="10" spans="2:13" x14ac:dyDescent="0.35">
      <c r="B10" t="s">
        <v>47</v>
      </c>
      <c r="D10">
        <v>1</v>
      </c>
      <c r="E10" s="28">
        <v>45449</v>
      </c>
      <c r="F10" t="s">
        <v>1471</v>
      </c>
      <c r="G10" t="s">
        <v>1478</v>
      </c>
      <c r="H10" t="s">
        <v>1485</v>
      </c>
      <c r="I10" t="s">
        <v>85</v>
      </c>
      <c r="J10">
        <v>11872</v>
      </c>
    </row>
    <row r="11" spans="2:13" x14ac:dyDescent="0.35">
      <c r="B11" t="s">
        <v>48</v>
      </c>
      <c r="D11">
        <v>1</v>
      </c>
      <c r="E11" s="28">
        <v>45450</v>
      </c>
      <c r="F11" t="s">
        <v>1472</v>
      </c>
      <c r="G11" t="s">
        <v>230</v>
      </c>
      <c r="H11" t="s">
        <v>1486</v>
      </c>
      <c r="I11" t="s">
        <v>59</v>
      </c>
      <c r="J11">
        <v>16269</v>
      </c>
    </row>
    <row r="12" spans="2:13" x14ac:dyDescent="0.35">
      <c r="B12" t="s">
        <v>49</v>
      </c>
      <c r="D12">
        <v>1</v>
      </c>
      <c r="E12" s="28">
        <v>45451</v>
      </c>
      <c r="F12" t="s">
        <v>1473</v>
      </c>
      <c r="G12" t="s">
        <v>1476</v>
      </c>
      <c r="H12" t="s">
        <v>1487</v>
      </c>
      <c r="I12" t="s">
        <v>72</v>
      </c>
      <c r="J12">
        <v>15713</v>
      </c>
    </row>
    <row r="13" spans="2:13" x14ac:dyDescent="0.35">
      <c r="B13" t="s">
        <v>50</v>
      </c>
      <c r="D13">
        <v>1</v>
      </c>
      <c r="E13" s="28">
        <v>45452</v>
      </c>
      <c r="F13" t="s">
        <v>1474</v>
      </c>
      <c r="G13" t="s">
        <v>1477</v>
      </c>
      <c r="H13" t="s">
        <v>1488</v>
      </c>
      <c r="I13" t="s">
        <v>31</v>
      </c>
      <c r="J13">
        <v>20681</v>
      </c>
    </row>
    <row r="14" spans="2:13" x14ac:dyDescent="0.35">
      <c r="B14" t="s">
        <v>51</v>
      </c>
      <c r="D14">
        <v>1</v>
      </c>
      <c r="E14" s="28">
        <v>45453</v>
      </c>
      <c r="F14" t="s">
        <v>1475</v>
      </c>
      <c r="G14" t="s">
        <v>1478</v>
      </c>
      <c r="H14" t="s">
        <v>1489</v>
      </c>
      <c r="I14" t="s">
        <v>85</v>
      </c>
      <c r="J14">
        <v>22299</v>
      </c>
    </row>
    <row r="16" spans="2:13" x14ac:dyDescent="0.35">
      <c r="E16" s="28"/>
      <c r="J16" s="31"/>
    </row>
    <row r="17" spans="2:10" x14ac:dyDescent="0.35">
      <c r="J17" s="31"/>
    </row>
    <row r="18" spans="2:10" ht="17.5" x14ac:dyDescent="0.35">
      <c r="B18" s="47"/>
    </row>
  </sheetData>
  <phoneticPr fontId="19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D10F0-1CBC-4DD9-A569-3AB59654232B}">
  <dimension ref="A1:L25"/>
  <sheetViews>
    <sheetView topLeftCell="A4" zoomScale="130" zoomScaleNormal="160" workbookViewId="0">
      <selection activeCell="H2" sqref="H2"/>
    </sheetView>
  </sheetViews>
  <sheetFormatPr defaultRowHeight="14.5" x14ac:dyDescent="0.35"/>
  <cols>
    <col min="2" max="2" width="10.81640625" bestFit="1" customWidth="1"/>
  </cols>
  <sheetData>
    <row r="1" spans="1:12" x14ac:dyDescent="0.35">
      <c r="A1" s="111" t="s">
        <v>233</v>
      </c>
      <c r="B1" s="111"/>
      <c r="C1" s="112"/>
      <c r="D1" s="6"/>
      <c r="E1" s="7"/>
      <c r="F1" s="6"/>
      <c r="G1" s="6"/>
      <c r="H1" s="5" t="s">
        <v>0</v>
      </c>
      <c r="I1" s="8"/>
      <c r="J1" s="8"/>
      <c r="K1" s="8"/>
      <c r="L1" s="8"/>
    </row>
    <row r="2" spans="1:12" x14ac:dyDescent="0.35">
      <c r="A2" s="66"/>
      <c r="B2" s="66"/>
      <c r="C2" s="66"/>
      <c r="D2" s="6"/>
      <c r="E2" s="7"/>
      <c r="F2" s="6"/>
      <c r="G2" s="6"/>
      <c r="H2" t="s">
        <v>234</v>
      </c>
      <c r="I2" s="6"/>
      <c r="J2" s="6"/>
      <c r="K2" s="6"/>
      <c r="L2" s="6"/>
    </row>
    <row r="3" spans="1:12" x14ac:dyDescent="0.35">
      <c r="A3" s="9" t="s">
        <v>233</v>
      </c>
      <c r="B3" s="10" t="s">
        <v>235</v>
      </c>
      <c r="C3" s="11" t="s">
        <v>236</v>
      </c>
      <c r="D3" s="6"/>
      <c r="E3" s="6"/>
      <c r="F3" s="12"/>
      <c r="G3" s="13"/>
      <c r="H3" t="s">
        <v>237</v>
      </c>
      <c r="I3" s="6"/>
      <c r="J3" s="6"/>
      <c r="K3" s="6"/>
      <c r="L3" s="6"/>
    </row>
    <row r="4" spans="1:12" x14ac:dyDescent="0.35">
      <c r="A4" s="9" t="s">
        <v>238</v>
      </c>
      <c r="B4" s="14" t="s">
        <v>239</v>
      </c>
      <c r="C4" s="15" t="s">
        <v>240</v>
      </c>
      <c r="D4" s="6"/>
      <c r="E4" s="6"/>
      <c r="F4" s="12"/>
      <c r="G4" s="16"/>
      <c r="H4" s="16"/>
      <c r="I4" s="6"/>
      <c r="J4" s="6"/>
      <c r="K4" s="6"/>
      <c r="L4" s="6"/>
    </row>
    <row r="5" spans="1:12" x14ac:dyDescent="0.35">
      <c r="A5" s="9" t="s">
        <v>241</v>
      </c>
      <c r="B5" s="14" t="s">
        <v>239</v>
      </c>
      <c r="C5" s="15" t="s">
        <v>242</v>
      </c>
      <c r="D5" s="6"/>
      <c r="E5" s="6"/>
      <c r="F5" s="12"/>
      <c r="G5" s="16"/>
      <c r="H5" s="16"/>
      <c r="I5" s="6"/>
      <c r="J5" s="6"/>
      <c r="K5" s="6"/>
      <c r="L5" s="6"/>
    </row>
    <row r="6" spans="1:12" x14ac:dyDescent="0.35">
      <c r="A6" s="9" t="s">
        <v>243</v>
      </c>
      <c r="B6" s="14" t="s">
        <v>239</v>
      </c>
      <c r="C6" s="15" t="s">
        <v>244</v>
      </c>
      <c r="D6" s="6"/>
      <c r="E6" s="6"/>
      <c r="F6" s="12"/>
      <c r="G6" s="16"/>
      <c r="H6" s="16"/>
      <c r="I6" s="6"/>
      <c r="J6" s="6"/>
      <c r="K6" s="6"/>
      <c r="L6" s="6"/>
    </row>
    <row r="7" spans="1:12" x14ac:dyDescent="0.35">
      <c r="A7" s="17" t="s">
        <v>245</v>
      </c>
      <c r="B7" s="14" t="s">
        <v>239</v>
      </c>
      <c r="C7" s="15" t="s">
        <v>246</v>
      </c>
      <c r="D7" s="6"/>
      <c r="E7" s="6"/>
      <c r="F7" s="12"/>
      <c r="G7" s="16"/>
      <c r="H7" s="16"/>
      <c r="I7" s="6"/>
      <c r="J7" s="6"/>
      <c r="K7" s="6"/>
      <c r="L7" s="6"/>
    </row>
    <row r="8" spans="1:12" x14ac:dyDescent="0.35">
      <c r="A8" s="17" t="s">
        <v>247</v>
      </c>
      <c r="B8" s="14" t="s">
        <v>239</v>
      </c>
      <c r="C8" s="15" t="s">
        <v>248</v>
      </c>
      <c r="D8" s="6"/>
      <c r="E8" s="6"/>
      <c r="F8" s="12"/>
      <c r="G8" s="16"/>
      <c r="H8" s="6"/>
      <c r="I8" s="6"/>
      <c r="J8" s="6"/>
      <c r="K8" s="6"/>
      <c r="L8" s="6"/>
    </row>
    <row r="9" spans="1:12" x14ac:dyDescent="0.35">
      <c r="A9" s="17" t="s">
        <v>249</v>
      </c>
      <c r="B9" s="14" t="s">
        <v>239</v>
      </c>
      <c r="C9" s="15" t="s">
        <v>250</v>
      </c>
      <c r="D9" s="6"/>
      <c r="E9" s="6"/>
      <c r="F9" s="12"/>
      <c r="G9" s="16"/>
      <c r="H9" s="16"/>
      <c r="I9" s="6"/>
      <c r="J9" s="6"/>
      <c r="K9" s="6"/>
      <c r="L9" s="6"/>
    </row>
    <row r="10" spans="1:12" x14ac:dyDescent="0.35">
      <c r="A10" s="17" t="s">
        <v>251</v>
      </c>
      <c r="B10" s="14" t="s">
        <v>252</v>
      </c>
      <c r="C10" s="15" t="s">
        <v>253</v>
      </c>
      <c r="D10" s="6"/>
      <c r="E10" s="6"/>
      <c r="F10" s="12"/>
      <c r="G10" s="16"/>
      <c r="H10" s="16"/>
      <c r="I10" s="6"/>
      <c r="J10" s="6"/>
      <c r="K10" s="6"/>
      <c r="L10" s="6"/>
    </row>
    <row r="11" spans="1:12" x14ac:dyDescent="0.35">
      <c r="A11" s="9" t="s">
        <v>254</v>
      </c>
      <c r="B11" s="14" t="s">
        <v>252</v>
      </c>
      <c r="C11" s="15" t="s">
        <v>255</v>
      </c>
      <c r="D11" s="6"/>
      <c r="E11" s="6"/>
      <c r="F11" s="12"/>
      <c r="G11" s="16"/>
      <c r="H11" s="16"/>
      <c r="I11" s="6"/>
      <c r="J11" s="6"/>
      <c r="K11" s="6"/>
      <c r="L11" s="6"/>
    </row>
    <row r="12" spans="1:12" x14ac:dyDescent="0.35">
      <c r="A12" s="9" t="s">
        <v>256</v>
      </c>
      <c r="B12" s="14" t="s">
        <v>252</v>
      </c>
      <c r="C12" s="15" t="s">
        <v>257</v>
      </c>
      <c r="D12" s="6"/>
      <c r="E12" s="6"/>
      <c r="F12" s="12"/>
      <c r="G12" s="16"/>
      <c r="H12" s="16"/>
      <c r="I12" s="6"/>
      <c r="J12" s="6"/>
      <c r="K12" s="6"/>
      <c r="L12" s="6"/>
    </row>
    <row r="13" spans="1:12" x14ac:dyDescent="0.35">
      <c r="A13" s="9" t="s">
        <v>258</v>
      </c>
      <c r="B13" s="14" t="s">
        <v>252</v>
      </c>
      <c r="C13" s="15" t="s">
        <v>259</v>
      </c>
      <c r="D13" s="6"/>
      <c r="E13" s="6"/>
      <c r="F13" s="12"/>
      <c r="G13" s="16"/>
      <c r="H13" s="16"/>
      <c r="I13" s="6"/>
      <c r="J13" s="6"/>
      <c r="K13" s="6"/>
      <c r="L13" s="6"/>
    </row>
    <row r="14" spans="1:12" x14ac:dyDescent="0.35">
      <c r="A14" s="9" t="s">
        <v>260</v>
      </c>
      <c r="B14" s="14" t="s">
        <v>252</v>
      </c>
      <c r="C14" s="15" t="s">
        <v>261</v>
      </c>
      <c r="D14" s="6"/>
      <c r="E14" s="6"/>
      <c r="F14" s="6"/>
      <c r="G14" s="6"/>
      <c r="H14" s="6"/>
      <c r="I14" s="6"/>
      <c r="J14" s="6"/>
      <c r="K14" s="6"/>
      <c r="L14" s="6"/>
    </row>
    <row r="15" spans="1:12" x14ac:dyDescent="0.35">
      <c r="A15" s="9" t="s">
        <v>262</v>
      </c>
      <c r="B15" s="14" t="s">
        <v>252</v>
      </c>
      <c r="C15" s="15" t="s">
        <v>263</v>
      </c>
      <c r="D15" s="6"/>
      <c r="E15" s="6"/>
      <c r="F15" s="6"/>
      <c r="G15" s="6"/>
      <c r="H15" s="6"/>
      <c r="I15" s="6"/>
      <c r="J15" s="6"/>
      <c r="K15" s="6"/>
      <c r="L15" s="6"/>
    </row>
    <row r="16" spans="1:12" x14ac:dyDescent="0.35">
      <c r="A16" s="9" t="s">
        <v>264</v>
      </c>
      <c r="B16" s="14" t="s">
        <v>265</v>
      </c>
      <c r="C16" s="18" t="s">
        <v>266</v>
      </c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35">
      <c r="A17" s="9" t="s">
        <v>267</v>
      </c>
      <c r="B17" s="14" t="s">
        <v>265</v>
      </c>
      <c r="C17" s="18" t="s">
        <v>268</v>
      </c>
      <c r="D17" s="6"/>
      <c r="E17" s="6"/>
      <c r="F17" s="6"/>
      <c r="G17" s="6"/>
      <c r="H17" s="6"/>
      <c r="I17" s="6"/>
      <c r="J17" s="6"/>
      <c r="K17" s="6"/>
      <c r="L17" s="6"/>
    </row>
    <row r="18" spans="1:12" x14ac:dyDescent="0.35">
      <c r="A18" s="19" t="s">
        <v>269</v>
      </c>
      <c r="B18" s="14" t="s">
        <v>265</v>
      </c>
      <c r="C18" s="15" t="s">
        <v>270</v>
      </c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35">
      <c r="A19" s="19" t="s">
        <v>271</v>
      </c>
      <c r="B19" s="14" t="s">
        <v>272</v>
      </c>
      <c r="C19" s="18" t="s">
        <v>273</v>
      </c>
      <c r="D19" s="6"/>
      <c r="E19" s="6"/>
      <c r="F19" s="6"/>
      <c r="G19" s="6"/>
      <c r="H19" s="6"/>
      <c r="I19" s="6"/>
      <c r="J19" s="6"/>
      <c r="K19" s="6"/>
      <c r="L19" s="6"/>
    </row>
    <row r="20" spans="1:12" x14ac:dyDescent="0.35">
      <c r="A20" s="19" t="s">
        <v>274</v>
      </c>
      <c r="B20" s="14" t="s">
        <v>239</v>
      </c>
      <c r="C20" s="15" t="s">
        <v>275</v>
      </c>
      <c r="D20" s="6"/>
      <c r="E20" s="6"/>
      <c r="F20" s="6"/>
      <c r="G20" s="6"/>
      <c r="H20" s="6"/>
      <c r="I20" s="6"/>
      <c r="J20" s="6"/>
      <c r="K20" s="6"/>
      <c r="L20" s="6"/>
    </row>
    <row r="21" spans="1:12" x14ac:dyDescent="0.35">
      <c r="A21" s="19" t="s">
        <v>276</v>
      </c>
      <c r="B21" s="14" t="s">
        <v>277</v>
      </c>
      <c r="C21" s="15" t="s">
        <v>278</v>
      </c>
      <c r="D21" s="6"/>
      <c r="E21" s="6"/>
      <c r="F21" s="6"/>
      <c r="G21" s="6"/>
      <c r="H21" s="6"/>
      <c r="I21" s="6"/>
      <c r="J21" s="6"/>
      <c r="K21" s="6"/>
      <c r="L21" s="6"/>
    </row>
    <row r="24" spans="1:12" x14ac:dyDescent="0.35">
      <c r="A24" s="19"/>
      <c r="B24" s="14"/>
    </row>
    <row r="25" spans="1:12" x14ac:dyDescent="0.35">
      <c r="A25" s="19"/>
      <c r="B25" s="14"/>
    </row>
  </sheetData>
  <mergeCells count="1">
    <mergeCell ref="A1:C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A107B-2369-495A-ADB5-5497A28E945E}">
  <dimension ref="B1:K51"/>
  <sheetViews>
    <sheetView topLeftCell="A40" zoomScale="108" zoomScaleNormal="150" workbookViewId="0">
      <selection activeCell="J43" sqref="J43"/>
    </sheetView>
  </sheetViews>
  <sheetFormatPr defaultRowHeight="15.5" x14ac:dyDescent="0.35"/>
  <cols>
    <col min="1" max="1" width="4.1796875" customWidth="1"/>
    <col min="2" max="2" width="8.81640625" style="70"/>
    <col min="3" max="3" width="8.453125" style="70" bestFit="1" customWidth="1"/>
    <col min="4" max="4" width="11.7265625" style="70" bestFit="1" customWidth="1"/>
    <col min="5" max="7" width="9.90625" bestFit="1" customWidth="1"/>
    <col min="8" max="8" width="17.1796875" bestFit="1" customWidth="1"/>
  </cols>
  <sheetData>
    <row r="1" spans="2:11" x14ac:dyDescent="0.35">
      <c r="B1" s="72" t="s">
        <v>279</v>
      </c>
      <c r="C1" s="72"/>
      <c r="D1" s="72"/>
      <c r="H1" s="5" t="s">
        <v>0</v>
      </c>
      <c r="K1" s="60"/>
    </row>
    <row r="2" spans="2:11" x14ac:dyDescent="0.35">
      <c r="H2" t="s">
        <v>279</v>
      </c>
    </row>
    <row r="3" spans="2:11" x14ac:dyDescent="0.35">
      <c r="B3" s="69" t="s">
        <v>280</v>
      </c>
      <c r="C3" s="69" t="s">
        <v>281</v>
      </c>
      <c r="D3" s="69" t="s">
        <v>282</v>
      </c>
      <c r="H3" t="s">
        <v>283</v>
      </c>
    </row>
    <row r="4" spans="2:11" x14ac:dyDescent="0.35">
      <c r="B4" s="67" t="s">
        <v>284</v>
      </c>
      <c r="C4" s="71">
        <v>68670</v>
      </c>
      <c r="D4" s="103">
        <f>C4*3%</f>
        <v>2060.1</v>
      </c>
      <c r="H4" t="s">
        <v>285</v>
      </c>
    </row>
    <row r="5" spans="2:11" x14ac:dyDescent="0.35">
      <c r="B5" s="67" t="s">
        <v>286</v>
      </c>
      <c r="C5" s="71">
        <v>67443</v>
      </c>
      <c r="D5" s="103">
        <f t="shared" ref="D5:D15" si="0">C5*3%</f>
        <v>2023.29</v>
      </c>
    </row>
    <row r="6" spans="2:11" x14ac:dyDescent="0.35">
      <c r="B6" s="67" t="s">
        <v>287</v>
      </c>
      <c r="C6" s="71">
        <v>62088</v>
      </c>
      <c r="D6" s="103">
        <f t="shared" si="0"/>
        <v>1862.6399999999999</v>
      </c>
    </row>
    <row r="7" spans="2:11" x14ac:dyDescent="0.35">
      <c r="B7" s="67" t="s">
        <v>288</v>
      </c>
      <c r="C7" s="71">
        <v>58572</v>
      </c>
      <c r="D7" s="103">
        <f t="shared" si="0"/>
        <v>1757.1599999999999</v>
      </c>
    </row>
    <row r="8" spans="2:11" x14ac:dyDescent="0.35">
      <c r="B8" s="67" t="s">
        <v>44</v>
      </c>
      <c r="C8" s="71">
        <v>60254</v>
      </c>
      <c r="D8" s="103">
        <f t="shared" si="0"/>
        <v>1807.62</v>
      </c>
    </row>
    <row r="9" spans="2:11" x14ac:dyDescent="0.35">
      <c r="B9" s="67" t="s">
        <v>289</v>
      </c>
      <c r="C9" s="71">
        <v>52163</v>
      </c>
      <c r="D9" s="103">
        <f t="shared" si="0"/>
        <v>1564.8899999999999</v>
      </c>
    </row>
    <row r="10" spans="2:11" x14ac:dyDescent="0.35">
      <c r="B10" s="67" t="s">
        <v>290</v>
      </c>
      <c r="C10" s="71">
        <v>54914</v>
      </c>
      <c r="D10" s="103">
        <f t="shared" si="0"/>
        <v>1647.4199999999998</v>
      </c>
    </row>
    <row r="11" spans="2:11" x14ac:dyDescent="0.35">
      <c r="B11" s="67" t="s">
        <v>291</v>
      </c>
      <c r="C11" s="71">
        <v>67539</v>
      </c>
      <c r="D11" s="103">
        <f t="shared" si="0"/>
        <v>2026.1699999999998</v>
      </c>
    </row>
    <row r="12" spans="2:11" x14ac:dyDescent="0.35">
      <c r="B12" s="67" t="s">
        <v>292</v>
      </c>
      <c r="C12" s="71">
        <v>61871</v>
      </c>
      <c r="D12" s="103">
        <f t="shared" si="0"/>
        <v>1856.1299999999999</v>
      </c>
    </row>
    <row r="13" spans="2:11" x14ac:dyDescent="0.35">
      <c r="B13" s="67" t="s">
        <v>293</v>
      </c>
      <c r="C13" s="71">
        <v>65895</v>
      </c>
      <c r="D13" s="103">
        <f t="shared" si="0"/>
        <v>1976.85</v>
      </c>
    </row>
    <row r="14" spans="2:11" x14ac:dyDescent="0.35">
      <c r="B14" s="67" t="s">
        <v>294</v>
      </c>
      <c r="C14" s="71">
        <v>65596</v>
      </c>
      <c r="D14" s="103">
        <f t="shared" si="0"/>
        <v>1967.8799999999999</v>
      </c>
    </row>
    <row r="15" spans="2:11" x14ac:dyDescent="0.35">
      <c r="B15" s="67" t="s">
        <v>295</v>
      </c>
      <c r="C15" s="71">
        <v>56880</v>
      </c>
      <c r="D15" s="103">
        <f t="shared" si="0"/>
        <v>1706.3999999999999</v>
      </c>
    </row>
    <row r="16" spans="2:11" x14ac:dyDescent="0.35">
      <c r="B16" s="67"/>
      <c r="C16" s="67"/>
      <c r="D16" s="67"/>
    </row>
    <row r="17" spans="2:4" x14ac:dyDescent="0.35">
      <c r="B17" s="67"/>
      <c r="C17" s="67"/>
      <c r="D17" s="67"/>
    </row>
    <row r="18" spans="2:4" x14ac:dyDescent="0.35">
      <c r="B18" s="72" t="s">
        <v>283</v>
      </c>
      <c r="C18" s="72"/>
      <c r="D18" s="72"/>
    </row>
    <row r="20" spans="2:4" x14ac:dyDescent="0.35">
      <c r="B20" s="69" t="s">
        <v>282</v>
      </c>
      <c r="C20" s="67"/>
      <c r="D20" s="68">
        <v>0.03</v>
      </c>
    </row>
    <row r="21" spans="2:4" x14ac:dyDescent="0.35">
      <c r="B21" s="67"/>
      <c r="C21" s="67"/>
      <c r="D21" s="67"/>
    </row>
    <row r="22" spans="2:4" x14ac:dyDescent="0.35">
      <c r="B22" s="69" t="s">
        <v>280</v>
      </c>
      <c r="C22" s="69" t="s">
        <v>281</v>
      </c>
      <c r="D22" s="69" t="s">
        <v>282</v>
      </c>
    </row>
    <row r="23" spans="2:4" x14ac:dyDescent="0.35">
      <c r="B23" s="67" t="s">
        <v>284</v>
      </c>
      <c r="C23" s="71">
        <v>68670</v>
      </c>
      <c r="D23" s="103">
        <f>C23*$D$20</f>
        <v>2060.1</v>
      </c>
    </row>
    <row r="24" spans="2:4" x14ac:dyDescent="0.35">
      <c r="B24" s="67" t="s">
        <v>286</v>
      </c>
      <c r="C24" s="71">
        <v>67443</v>
      </c>
      <c r="D24" s="103">
        <f t="shared" ref="D24:D34" si="1">C24*$D$20</f>
        <v>2023.29</v>
      </c>
    </row>
    <row r="25" spans="2:4" x14ac:dyDescent="0.35">
      <c r="B25" s="67" t="s">
        <v>287</v>
      </c>
      <c r="C25" s="71">
        <v>62088</v>
      </c>
      <c r="D25" s="103">
        <f t="shared" si="1"/>
        <v>1862.6399999999999</v>
      </c>
    </row>
    <row r="26" spans="2:4" x14ac:dyDescent="0.35">
      <c r="B26" s="67" t="s">
        <v>288</v>
      </c>
      <c r="C26" s="71">
        <v>58572</v>
      </c>
      <c r="D26" s="103">
        <f t="shared" si="1"/>
        <v>1757.1599999999999</v>
      </c>
    </row>
    <row r="27" spans="2:4" x14ac:dyDescent="0.35">
      <c r="B27" s="67" t="s">
        <v>44</v>
      </c>
      <c r="C27" s="71">
        <v>60254</v>
      </c>
      <c r="D27" s="103">
        <f t="shared" si="1"/>
        <v>1807.62</v>
      </c>
    </row>
    <row r="28" spans="2:4" x14ac:dyDescent="0.35">
      <c r="B28" s="67" t="s">
        <v>289</v>
      </c>
      <c r="C28" s="71">
        <v>52163</v>
      </c>
      <c r="D28" s="103">
        <f t="shared" si="1"/>
        <v>1564.8899999999999</v>
      </c>
    </row>
    <row r="29" spans="2:4" x14ac:dyDescent="0.35">
      <c r="B29" s="67" t="s">
        <v>290</v>
      </c>
      <c r="C29" s="71">
        <v>54914</v>
      </c>
      <c r="D29" s="103">
        <f t="shared" si="1"/>
        <v>1647.4199999999998</v>
      </c>
    </row>
    <row r="30" spans="2:4" x14ac:dyDescent="0.35">
      <c r="B30" s="67" t="s">
        <v>291</v>
      </c>
      <c r="C30" s="71">
        <v>67539</v>
      </c>
      <c r="D30" s="103">
        <f t="shared" si="1"/>
        <v>2026.1699999999998</v>
      </c>
    </row>
    <row r="31" spans="2:4" x14ac:dyDescent="0.35">
      <c r="B31" s="67" t="s">
        <v>292</v>
      </c>
      <c r="C31" s="71">
        <v>61871</v>
      </c>
      <c r="D31" s="103">
        <f t="shared" si="1"/>
        <v>1856.1299999999999</v>
      </c>
    </row>
    <row r="32" spans="2:4" x14ac:dyDescent="0.35">
      <c r="B32" s="67" t="s">
        <v>293</v>
      </c>
      <c r="C32" s="71">
        <v>65895</v>
      </c>
      <c r="D32" s="103">
        <f t="shared" si="1"/>
        <v>1976.85</v>
      </c>
    </row>
    <row r="33" spans="2:8" x14ac:dyDescent="0.35">
      <c r="B33" s="67" t="s">
        <v>294</v>
      </c>
      <c r="C33" s="71">
        <v>65596</v>
      </c>
      <c r="D33" s="103">
        <f t="shared" si="1"/>
        <v>1967.8799999999999</v>
      </c>
    </row>
    <row r="34" spans="2:8" x14ac:dyDescent="0.35">
      <c r="B34" s="67" t="s">
        <v>295</v>
      </c>
      <c r="C34" s="71">
        <v>56880</v>
      </c>
      <c r="D34" s="103">
        <f t="shared" si="1"/>
        <v>1706.3999999999999</v>
      </c>
    </row>
    <row r="37" spans="2:8" x14ac:dyDescent="0.35">
      <c r="B37" s="72" t="s">
        <v>285</v>
      </c>
      <c r="C37" s="72"/>
      <c r="D37" s="72"/>
    </row>
    <row r="38" spans="2:8" x14ac:dyDescent="0.35">
      <c r="B38" s="67"/>
      <c r="C38" s="67"/>
      <c r="D38" s="67"/>
    </row>
    <row r="39" spans="2:8" x14ac:dyDescent="0.35">
      <c r="B39" s="69" t="s">
        <v>280</v>
      </c>
      <c r="C39" s="69" t="s">
        <v>281</v>
      </c>
      <c r="D39" s="73">
        <v>0.03</v>
      </c>
      <c r="E39" s="74">
        <v>0.04</v>
      </c>
      <c r="F39" s="74">
        <v>0.05</v>
      </c>
      <c r="G39" s="74">
        <v>7.0000000000000007E-2</v>
      </c>
      <c r="H39" s="74">
        <v>0.1</v>
      </c>
    </row>
    <row r="40" spans="2:8" x14ac:dyDescent="0.35">
      <c r="B40" s="67" t="s">
        <v>284</v>
      </c>
      <c r="C40" s="71">
        <v>68670</v>
      </c>
      <c r="D40" s="103">
        <f>$C40*D$39</f>
        <v>2060.1</v>
      </c>
      <c r="E40" s="103">
        <f t="shared" ref="E40:H51" si="2">$C40*E$39</f>
        <v>2746.8</v>
      </c>
      <c r="F40" s="103">
        <f t="shared" si="2"/>
        <v>3433.5</v>
      </c>
      <c r="G40" s="103">
        <f t="shared" si="2"/>
        <v>4806.9000000000005</v>
      </c>
      <c r="H40" s="103">
        <f t="shared" si="2"/>
        <v>6867</v>
      </c>
    </row>
    <row r="41" spans="2:8" x14ac:dyDescent="0.35">
      <c r="B41" s="67" t="s">
        <v>286</v>
      </c>
      <c r="C41" s="71">
        <v>67443</v>
      </c>
      <c r="D41" s="103">
        <f t="shared" ref="D41:D51" si="3">$C41*D$39</f>
        <v>2023.29</v>
      </c>
      <c r="E41" s="103">
        <f t="shared" si="2"/>
        <v>2697.7200000000003</v>
      </c>
      <c r="F41" s="103">
        <f t="shared" si="2"/>
        <v>3372.15</v>
      </c>
      <c r="G41" s="103">
        <f t="shared" si="2"/>
        <v>4721.01</v>
      </c>
      <c r="H41" s="103">
        <f t="shared" si="2"/>
        <v>6744.3</v>
      </c>
    </row>
    <row r="42" spans="2:8" x14ac:dyDescent="0.35">
      <c r="B42" s="67" t="s">
        <v>287</v>
      </c>
      <c r="C42" s="71">
        <v>62088</v>
      </c>
      <c r="D42" s="103">
        <f t="shared" si="3"/>
        <v>1862.6399999999999</v>
      </c>
      <c r="E42" s="103">
        <f t="shared" si="2"/>
        <v>2483.52</v>
      </c>
      <c r="F42" s="103">
        <f t="shared" si="2"/>
        <v>3104.4</v>
      </c>
      <c r="G42" s="103">
        <f t="shared" si="2"/>
        <v>4346.1600000000008</v>
      </c>
      <c r="H42" s="103">
        <f t="shared" si="2"/>
        <v>6208.8</v>
      </c>
    </row>
    <row r="43" spans="2:8" x14ac:dyDescent="0.35">
      <c r="B43" s="67" t="s">
        <v>288</v>
      </c>
      <c r="C43" s="71">
        <v>58572</v>
      </c>
      <c r="D43" s="103">
        <f t="shared" si="3"/>
        <v>1757.1599999999999</v>
      </c>
      <c r="E43" s="103">
        <f t="shared" si="2"/>
        <v>2342.88</v>
      </c>
      <c r="F43" s="103">
        <f t="shared" si="2"/>
        <v>2928.6000000000004</v>
      </c>
      <c r="G43" s="103">
        <f t="shared" si="2"/>
        <v>4100.04</v>
      </c>
      <c r="H43" s="103">
        <f t="shared" si="2"/>
        <v>5857.2000000000007</v>
      </c>
    </row>
    <row r="44" spans="2:8" x14ac:dyDescent="0.35">
      <c r="B44" s="67" t="s">
        <v>44</v>
      </c>
      <c r="C44" s="71">
        <v>60254</v>
      </c>
      <c r="D44" s="103">
        <f t="shared" si="3"/>
        <v>1807.62</v>
      </c>
      <c r="E44" s="103">
        <f t="shared" si="2"/>
        <v>2410.16</v>
      </c>
      <c r="F44" s="103">
        <f t="shared" si="2"/>
        <v>3012.7000000000003</v>
      </c>
      <c r="G44" s="103">
        <f t="shared" si="2"/>
        <v>4217.7800000000007</v>
      </c>
      <c r="H44" s="103">
        <f t="shared" si="2"/>
        <v>6025.4000000000005</v>
      </c>
    </row>
    <row r="45" spans="2:8" x14ac:dyDescent="0.35">
      <c r="B45" s="67" t="s">
        <v>289</v>
      </c>
      <c r="C45" s="71">
        <v>52163</v>
      </c>
      <c r="D45" s="103">
        <f t="shared" si="3"/>
        <v>1564.8899999999999</v>
      </c>
      <c r="E45" s="103">
        <f t="shared" si="2"/>
        <v>2086.52</v>
      </c>
      <c r="F45" s="103">
        <f t="shared" si="2"/>
        <v>2608.15</v>
      </c>
      <c r="G45" s="103">
        <f t="shared" si="2"/>
        <v>3651.4100000000003</v>
      </c>
      <c r="H45" s="103">
        <f t="shared" si="2"/>
        <v>5216.3</v>
      </c>
    </row>
    <row r="46" spans="2:8" x14ac:dyDescent="0.35">
      <c r="B46" s="67" t="s">
        <v>290</v>
      </c>
      <c r="C46" s="71">
        <v>54914</v>
      </c>
      <c r="D46" s="103">
        <f t="shared" si="3"/>
        <v>1647.4199999999998</v>
      </c>
      <c r="E46" s="103">
        <f t="shared" si="2"/>
        <v>2196.56</v>
      </c>
      <c r="F46" s="103">
        <f t="shared" si="2"/>
        <v>2745.7000000000003</v>
      </c>
      <c r="G46" s="103">
        <f t="shared" si="2"/>
        <v>3843.9800000000005</v>
      </c>
      <c r="H46" s="103">
        <f t="shared" si="2"/>
        <v>5491.4000000000005</v>
      </c>
    </row>
    <row r="47" spans="2:8" x14ac:dyDescent="0.35">
      <c r="B47" s="67" t="s">
        <v>291</v>
      </c>
      <c r="C47" s="71">
        <v>67539</v>
      </c>
      <c r="D47" s="103">
        <f t="shared" si="3"/>
        <v>2026.1699999999998</v>
      </c>
      <c r="E47" s="103">
        <f t="shared" si="2"/>
        <v>2701.56</v>
      </c>
      <c r="F47" s="103">
        <f t="shared" si="2"/>
        <v>3376.9500000000003</v>
      </c>
      <c r="G47" s="103">
        <f t="shared" si="2"/>
        <v>4727.7300000000005</v>
      </c>
      <c r="H47" s="103">
        <f t="shared" si="2"/>
        <v>6753.9000000000005</v>
      </c>
    </row>
    <row r="48" spans="2:8" x14ac:dyDescent="0.35">
      <c r="B48" s="67" t="s">
        <v>292</v>
      </c>
      <c r="C48" s="71">
        <v>61871</v>
      </c>
      <c r="D48" s="103">
        <f t="shared" si="3"/>
        <v>1856.1299999999999</v>
      </c>
      <c r="E48" s="103">
        <f t="shared" si="2"/>
        <v>2474.84</v>
      </c>
      <c r="F48" s="103">
        <f t="shared" si="2"/>
        <v>3093.55</v>
      </c>
      <c r="G48" s="103">
        <f t="shared" si="2"/>
        <v>4330.97</v>
      </c>
      <c r="H48" s="103">
        <f t="shared" si="2"/>
        <v>6187.1</v>
      </c>
    </row>
    <row r="49" spans="2:8" x14ac:dyDescent="0.35">
      <c r="B49" s="67" t="s">
        <v>293</v>
      </c>
      <c r="C49" s="71">
        <v>65895</v>
      </c>
      <c r="D49" s="103">
        <f t="shared" si="3"/>
        <v>1976.85</v>
      </c>
      <c r="E49" s="103">
        <f t="shared" si="2"/>
        <v>2635.8</v>
      </c>
      <c r="F49" s="103">
        <f t="shared" si="2"/>
        <v>3294.75</v>
      </c>
      <c r="G49" s="103">
        <f t="shared" si="2"/>
        <v>4612.6500000000005</v>
      </c>
      <c r="H49" s="103">
        <f t="shared" si="2"/>
        <v>6589.5</v>
      </c>
    </row>
    <row r="50" spans="2:8" x14ac:dyDescent="0.35">
      <c r="B50" s="67" t="s">
        <v>294</v>
      </c>
      <c r="C50" s="71">
        <v>65596</v>
      </c>
      <c r="D50" s="103">
        <f t="shared" si="3"/>
        <v>1967.8799999999999</v>
      </c>
      <c r="E50" s="103">
        <f t="shared" si="2"/>
        <v>2623.84</v>
      </c>
      <c r="F50" s="103">
        <f t="shared" si="2"/>
        <v>3279.8</v>
      </c>
      <c r="G50" s="103">
        <f t="shared" si="2"/>
        <v>4591.72</v>
      </c>
      <c r="H50" s="103">
        <f t="shared" si="2"/>
        <v>6559.6</v>
      </c>
    </row>
    <row r="51" spans="2:8" x14ac:dyDescent="0.35">
      <c r="B51" s="67" t="s">
        <v>295</v>
      </c>
      <c r="C51" s="71">
        <v>56880</v>
      </c>
      <c r="D51" s="103">
        <f t="shared" si="3"/>
        <v>1706.3999999999999</v>
      </c>
      <c r="E51" s="103">
        <f t="shared" si="2"/>
        <v>2275.2000000000003</v>
      </c>
      <c r="F51" s="103">
        <f t="shared" si="2"/>
        <v>2844</v>
      </c>
      <c r="G51" s="103">
        <f t="shared" si="2"/>
        <v>3981.6000000000004</v>
      </c>
      <c r="H51" s="103">
        <f t="shared" si="2"/>
        <v>5688</v>
      </c>
    </row>
  </sheetData>
  <phoneticPr fontId="19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4C47B-C767-4293-BC24-EC3055CCA6DE}">
  <dimension ref="A1:H453"/>
  <sheetViews>
    <sheetView zoomScale="120" zoomScaleNormal="145" workbookViewId="0">
      <selection activeCell="I6" sqref="I6"/>
    </sheetView>
  </sheetViews>
  <sheetFormatPr defaultRowHeight="14.5" x14ac:dyDescent="0.35"/>
  <cols>
    <col min="1" max="1" width="8.453125" bestFit="1" customWidth="1"/>
    <col min="2" max="2" width="18" bestFit="1" customWidth="1"/>
    <col min="3" max="3" width="10.81640625" bestFit="1" customWidth="1"/>
    <col min="4" max="4" width="11.7265625" bestFit="1" customWidth="1"/>
    <col min="5" max="5" width="8.54296875" bestFit="1" customWidth="1"/>
    <col min="8" max="8" width="11.1796875" bestFit="1" customWidth="1"/>
  </cols>
  <sheetData>
    <row r="1" spans="1:8" x14ac:dyDescent="0.35">
      <c r="A1" s="75" t="s">
        <v>23</v>
      </c>
      <c r="B1" s="75" t="s">
        <v>296</v>
      </c>
      <c r="C1" s="76" t="s">
        <v>297</v>
      </c>
      <c r="D1" s="76" t="s">
        <v>298</v>
      </c>
      <c r="E1" s="76" t="s">
        <v>299</v>
      </c>
      <c r="H1" s="5" t="s">
        <v>0</v>
      </c>
    </row>
    <row r="2" spans="1:8" x14ac:dyDescent="0.35">
      <c r="A2" s="48" t="s">
        <v>300</v>
      </c>
      <c r="B2" s="48" t="s">
        <v>301</v>
      </c>
      <c r="C2" s="49" t="s">
        <v>302</v>
      </c>
      <c r="D2" s="50">
        <v>39091</v>
      </c>
      <c r="E2" s="51">
        <v>344.3938</v>
      </c>
      <c r="H2" t="s">
        <v>303</v>
      </c>
    </row>
    <row r="3" spans="1:8" x14ac:dyDescent="0.35">
      <c r="A3" s="48" t="s">
        <v>304</v>
      </c>
      <c r="B3" s="48" t="s">
        <v>305</v>
      </c>
      <c r="C3" s="49" t="s">
        <v>302</v>
      </c>
      <c r="D3" s="50">
        <v>39108</v>
      </c>
      <c r="E3" s="51">
        <v>301.11840000000001</v>
      </c>
    </row>
    <row r="4" spans="1:8" x14ac:dyDescent="0.35">
      <c r="A4" s="48" t="s">
        <v>306</v>
      </c>
      <c r="B4" s="48" t="s">
        <v>307</v>
      </c>
      <c r="C4" s="49" t="s">
        <v>302</v>
      </c>
      <c r="D4" s="50">
        <v>39146</v>
      </c>
      <c r="E4" s="51">
        <v>598.88649999999996</v>
      </c>
    </row>
    <row r="5" spans="1:8" x14ac:dyDescent="0.35">
      <c r="A5" s="48" t="s">
        <v>306</v>
      </c>
      <c r="B5" s="48" t="s">
        <v>308</v>
      </c>
      <c r="C5" s="49" t="s">
        <v>302</v>
      </c>
      <c r="D5" s="50">
        <v>39172</v>
      </c>
      <c r="E5" s="51">
        <v>424.62889999999999</v>
      </c>
      <c r="G5" s="60" t="s">
        <v>164</v>
      </c>
      <c r="H5" s="104">
        <f>SUM(E:E)</f>
        <v>73031.126399999936</v>
      </c>
    </row>
    <row r="6" spans="1:8" x14ac:dyDescent="0.35">
      <c r="A6" s="48" t="s">
        <v>306</v>
      </c>
      <c r="B6" s="48" t="s">
        <v>309</v>
      </c>
      <c r="C6" s="49" t="s">
        <v>302</v>
      </c>
      <c r="D6" s="50">
        <v>39175</v>
      </c>
      <c r="E6" s="51">
        <v>424.62889999999999</v>
      </c>
      <c r="G6" s="60" t="s">
        <v>172</v>
      </c>
      <c r="H6" s="104">
        <f>AVERAGE(E:E)</f>
        <v>161.57328849557507</v>
      </c>
    </row>
    <row r="7" spans="1:8" x14ac:dyDescent="0.35">
      <c r="A7" s="48" t="s">
        <v>306</v>
      </c>
      <c r="B7" s="48" t="s">
        <v>310</v>
      </c>
      <c r="C7" s="49" t="s">
        <v>302</v>
      </c>
      <c r="D7" s="50">
        <v>39181</v>
      </c>
      <c r="E7" s="51">
        <v>604.47080000000005</v>
      </c>
    </row>
    <row r="8" spans="1:8" x14ac:dyDescent="0.35">
      <c r="A8" s="48" t="s">
        <v>300</v>
      </c>
      <c r="B8" s="48" t="s">
        <v>311</v>
      </c>
      <c r="C8" s="49" t="s">
        <v>302</v>
      </c>
      <c r="D8" s="50">
        <v>39192</v>
      </c>
      <c r="E8" s="51">
        <v>351.30329999999998</v>
      </c>
    </row>
    <row r="9" spans="1:8" x14ac:dyDescent="0.35">
      <c r="A9" s="48" t="s">
        <v>304</v>
      </c>
      <c r="B9" s="48" t="s">
        <v>312</v>
      </c>
      <c r="C9" s="49" t="s">
        <v>302</v>
      </c>
      <c r="D9" s="50">
        <v>39201</v>
      </c>
      <c r="E9" s="51">
        <v>388.93259999999998</v>
      </c>
    </row>
    <row r="10" spans="1:8" x14ac:dyDescent="0.35">
      <c r="A10" s="48" t="s">
        <v>313</v>
      </c>
      <c r="B10" s="48" t="s">
        <v>314</v>
      </c>
      <c r="C10" s="49" t="s">
        <v>302</v>
      </c>
      <c r="D10" s="50">
        <v>39206</v>
      </c>
      <c r="E10" s="51">
        <v>482.15460000000002</v>
      </c>
    </row>
    <row r="11" spans="1:8" x14ac:dyDescent="0.35">
      <c r="A11" s="48" t="s">
        <v>300</v>
      </c>
      <c r="B11" s="48" t="s">
        <v>301</v>
      </c>
      <c r="C11" s="49" t="s">
        <v>302</v>
      </c>
      <c r="D11" s="50">
        <v>39210</v>
      </c>
      <c r="E11" s="51">
        <v>344.3938</v>
      </c>
    </row>
    <row r="12" spans="1:8" x14ac:dyDescent="0.35">
      <c r="A12" s="48" t="s">
        <v>306</v>
      </c>
      <c r="B12" s="48" t="s">
        <v>315</v>
      </c>
      <c r="C12" s="49" t="s">
        <v>302</v>
      </c>
      <c r="D12" s="50">
        <v>39221</v>
      </c>
      <c r="E12" s="51">
        <v>484.20249999999999</v>
      </c>
    </row>
    <row r="13" spans="1:8" x14ac:dyDescent="0.35">
      <c r="A13" s="48" t="s">
        <v>313</v>
      </c>
      <c r="B13" s="48" t="s">
        <v>316</v>
      </c>
      <c r="C13" s="49" t="s">
        <v>302</v>
      </c>
      <c r="D13" s="50">
        <v>39221</v>
      </c>
      <c r="E13" s="51">
        <v>474.30430000000001</v>
      </c>
    </row>
    <row r="14" spans="1:8" x14ac:dyDescent="0.35">
      <c r="A14" s="48" t="s">
        <v>313</v>
      </c>
      <c r="B14" s="48" t="s">
        <v>317</v>
      </c>
      <c r="C14" s="49" t="s">
        <v>302</v>
      </c>
      <c r="D14" s="50">
        <v>39224</v>
      </c>
      <c r="E14" s="51">
        <v>566.70860000000005</v>
      </c>
    </row>
    <row r="15" spans="1:8" x14ac:dyDescent="0.35">
      <c r="A15" s="48" t="s">
        <v>304</v>
      </c>
      <c r="B15" s="48" t="s">
        <v>318</v>
      </c>
      <c r="C15" s="49" t="s">
        <v>302</v>
      </c>
      <c r="D15" s="50">
        <v>39236</v>
      </c>
      <c r="E15" s="51">
        <v>388.93259999999998</v>
      </c>
    </row>
    <row r="16" spans="1:8" x14ac:dyDescent="0.35">
      <c r="A16" s="48" t="s">
        <v>306</v>
      </c>
      <c r="B16" s="48" t="s">
        <v>319</v>
      </c>
      <c r="C16" s="49" t="s">
        <v>302</v>
      </c>
      <c r="D16" s="50">
        <v>39244</v>
      </c>
      <c r="E16" s="51">
        <v>401.57470000000001</v>
      </c>
    </row>
    <row r="17" spans="1:5" x14ac:dyDescent="0.35">
      <c r="A17" s="48" t="s">
        <v>304</v>
      </c>
      <c r="B17" s="48" t="s">
        <v>320</v>
      </c>
      <c r="C17" s="49" t="s">
        <v>302</v>
      </c>
      <c r="D17" s="50">
        <v>39252</v>
      </c>
      <c r="E17" s="51">
        <v>528.53489999999999</v>
      </c>
    </row>
    <row r="18" spans="1:5" x14ac:dyDescent="0.35">
      <c r="A18" s="48" t="s">
        <v>304</v>
      </c>
      <c r="B18" s="48" t="s">
        <v>321</v>
      </c>
      <c r="C18" s="49" t="s">
        <v>302</v>
      </c>
      <c r="D18" s="50">
        <v>39256</v>
      </c>
      <c r="E18" s="51">
        <v>388.93259999999998</v>
      </c>
    </row>
    <row r="19" spans="1:5" x14ac:dyDescent="0.35">
      <c r="A19" s="48" t="s">
        <v>304</v>
      </c>
      <c r="B19" s="48" t="s">
        <v>322</v>
      </c>
      <c r="C19" s="49" t="s">
        <v>302</v>
      </c>
      <c r="D19" s="50">
        <v>39264</v>
      </c>
      <c r="E19" s="51">
        <v>416.76530000000002</v>
      </c>
    </row>
    <row r="20" spans="1:5" x14ac:dyDescent="0.35">
      <c r="A20" s="48" t="s">
        <v>300</v>
      </c>
      <c r="B20" s="48" t="s">
        <v>323</v>
      </c>
      <c r="C20" s="49" t="s">
        <v>302</v>
      </c>
      <c r="D20" s="50">
        <v>39265</v>
      </c>
      <c r="E20" s="51">
        <v>344.3938</v>
      </c>
    </row>
    <row r="21" spans="1:5" x14ac:dyDescent="0.35">
      <c r="A21" s="48" t="s">
        <v>304</v>
      </c>
      <c r="B21" s="48" t="s">
        <v>324</v>
      </c>
      <c r="C21" s="49" t="s">
        <v>302</v>
      </c>
      <c r="D21" s="50">
        <v>39278</v>
      </c>
      <c r="E21" s="51">
        <v>388.93259999999998</v>
      </c>
    </row>
    <row r="22" spans="1:5" x14ac:dyDescent="0.35">
      <c r="A22" s="48" t="s">
        <v>304</v>
      </c>
      <c r="B22" s="48" t="s">
        <v>325</v>
      </c>
      <c r="C22" s="49" t="s">
        <v>302</v>
      </c>
      <c r="D22" s="50">
        <v>39284</v>
      </c>
      <c r="E22" s="51">
        <v>388.93259999999998</v>
      </c>
    </row>
    <row r="23" spans="1:5" x14ac:dyDescent="0.35">
      <c r="A23" s="48" t="s">
        <v>304</v>
      </c>
      <c r="B23" s="48" t="s">
        <v>326</v>
      </c>
      <c r="C23" s="49" t="s">
        <v>302</v>
      </c>
      <c r="D23" s="50">
        <v>39305</v>
      </c>
      <c r="E23" s="51">
        <v>528.53489999999999</v>
      </c>
    </row>
    <row r="24" spans="1:5" x14ac:dyDescent="0.35">
      <c r="A24" s="48" t="s">
        <v>304</v>
      </c>
      <c r="B24" s="48" t="s">
        <v>327</v>
      </c>
      <c r="C24" s="49" t="s">
        <v>302</v>
      </c>
      <c r="D24" s="50">
        <v>39307</v>
      </c>
      <c r="E24" s="51">
        <v>445.23489999999998</v>
      </c>
    </row>
    <row r="25" spans="1:5" x14ac:dyDescent="0.35">
      <c r="A25" s="48" t="s">
        <v>304</v>
      </c>
      <c r="B25" s="48" t="s">
        <v>318</v>
      </c>
      <c r="C25" s="49" t="s">
        <v>302</v>
      </c>
      <c r="D25" s="50">
        <v>39334</v>
      </c>
      <c r="E25" s="51">
        <v>388.93259999999998</v>
      </c>
    </row>
    <row r="26" spans="1:5" x14ac:dyDescent="0.35">
      <c r="A26" s="48" t="s">
        <v>313</v>
      </c>
      <c r="B26" s="48" t="s">
        <v>328</v>
      </c>
      <c r="C26" s="49" t="s">
        <v>302</v>
      </c>
      <c r="D26" s="50">
        <v>39336</v>
      </c>
      <c r="E26" s="51">
        <v>630.7242</v>
      </c>
    </row>
    <row r="27" spans="1:5" x14ac:dyDescent="0.35">
      <c r="A27" s="48" t="s">
        <v>306</v>
      </c>
      <c r="B27" s="48" t="s">
        <v>329</v>
      </c>
      <c r="C27" s="49" t="s">
        <v>302</v>
      </c>
      <c r="D27" s="50">
        <v>39391</v>
      </c>
      <c r="E27" s="51">
        <v>484.20249999999999</v>
      </c>
    </row>
    <row r="28" spans="1:5" x14ac:dyDescent="0.35">
      <c r="A28" s="48" t="s">
        <v>306</v>
      </c>
      <c r="B28" s="48" t="s">
        <v>329</v>
      </c>
      <c r="C28" s="49" t="s">
        <v>302</v>
      </c>
      <c r="D28" s="50">
        <v>39391</v>
      </c>
      <c r="E28" s="51">
        <v>484.20249999999999</v>
      </c>
    </row>
    <row r="29" spans="1:5" x14ac:dyDescent="0.35">
      <c r="A29" s="48" t="s">
        <v>300</v>
      </c>
      <c r="B29" s="48" t="s">
        <v>330</v>
      </c>
      <c r="C29" s="49" t="s">
        <v>302</v>
      </c>
      <c r="D29" s="50">
        <v>39403</v>
      </c>
      <c r="E29" s="51">
        <v>361.43680000000001</v>
      </c>
    </row>
    <row r="30" spans="1:5" x14ac:dyDescent="0.35">
      <c r="A30" s="48" t="s">
        <v>304</v>
      </c>
      <c r="B30" s="48" t="s">
        <v>331</v>
      </c>
      <c r="C30" s="49" t="s">
        <v>302</v>
      </c>
      <c r="D30" s="50">
        <v>39433</v>
      </c>
      <c r="E30" s="51">
        <v>445.23489999999998</v>
      </c>
    </row>
    <row r="31" spans="1:5" x14ac:dyDescent="0.35">
      <c r="A31" s="48" t="s">
        <v>306</v>
      </c>
      <c r="B31" s="48" t="s">
        <v>332</v>
      </c>
      <c r="C31" s="49" t="s">
        <v>333</v>
      </c>
      <c r="D31" s="50">
        <v>39091</v>
      </c>
      <c r="E31" s="51">
        <v>100.6961</v>
      </c>
    </row>
    <row r="32" spans="1:5" x14ac:dyDescent="0.35">
      <c r="A32" s="48" t="s">
        <v>313</v>
      </c>
      <c r="B32" s="48" t="s">
        <v>334</v>
      </c>
      <c r="C32" s="49" t="s">
        <v>333</v>
      </c>
      <c r="D32" s="50">
        <v>39096</v>
      </c>
      <c r="E32" s="51">
        <v>114.4649</v>
      </c>
    </row>
    <row r="33" spans="1:5" x14ac:dyDescent="0.35">
      <c r="A33" s="48" t="s">
        <v>313</v>
      </c>
      <c r="B33" s="48" t="s">
        <v>335</v>
      </c>
      <c r="C33" s="49" t="s">
        <v>333</v>
      </c>
      <c r="D33" s="50">
        <v>39098</v>
      </c>
      <c r="E33" s="51">
        <v>124.3728</v>
      </c>
    </row>
    <row r="34" spans="1:5" x14ac:dyDescent="0.35">
      <c r="A34" s="48" t="s">
        <v>306</v>
      </c>
      <c r="B34" s="48" t="s">
        <v>336</v>
      </c>
      <c r="C34" s="49" t="s">
        <v>333</v>
      </c>
      <c r="D34" s="50">
        <v>39101</v>
      </c>
      <c r="E34" s="51">
        <v>107.9136</v>
      </c>
    </row>
    <row r="35" spans="1:5" x14ac:dyDescent="0.35">
      <c r="A35" s="48" t="s">
        <v>306</v>
      </c>
      <c r="B35" s="48" t="s">
        <v>337</v>
      </c>
      <c r="C35" s="49" t="s">
        <v>333</v>
      </c>
      <c r="D35" s="50">
        <v>39116</v>
      </c>
      <c r="E35" s="51">
        <v>112.3938</v>
      </c>
    </row>
    <row r="36" spans="1:5" x14ac:dyDescent="0.35">
      <c r="A36" s="48" t="s">
        <v>300</v>
      </c>
      <c r="B36" s="48" t="s">
        <v>338</v>
      </c>
      <c r="C36" s="49" t="s">
        <v>333</v>
      </c>
      <c r="D36" s="50">
        <v>39117</v>
      </c>
      <c r="E36" s="51">
        <v>112.0056</v>
      </c>
    </row>
    <row r="37" spans="1:5" x14ac:dyDescent="0.35">
      <c r="A37" s="48" t="s">
        <v>306</v>
      </c>
      <c r="B37" s="48" t="s">
        <v>339</v>
      </c>
      <c r="C37" s="49" t="s">
        <v>333</v>
      </c>
      <c r="D37" s="50">
        <v>39117</v>
      </c>
      <c r="E37" s="51">
        <v>128.88990000000001</v>
      </c>
    </row>
    <row r="38" spans="1:5" x14ac:dyDescent="0.35">
      <c r="A38" s="48" t="s">
        <v>306</v>
      </c>
      <c r="B38" s="48" t="s">
        <v>340</v>
      </c>
      <c r="C38" s="49" t="s">
        <v>333</v>
      </c>
      <c r="D38" s="50">
        <v>39117</v>
      </c>
      <c r="E38" s="51">
        <v>111.11790000000001</v>
      </c>
    </row>
    <row r="39" spans="1:5" x14ac:dyDescent="0.35">
      <c r="A39" s="48" t="s">
        <v>306</v>
      </c>
      <c r="B39" s="48" t="s">
        <v>341</v>
      </c>
      <c r="C39" s="49" t="s">
        <v>333</v>
      </c>
      <c r="D39" s="50">
        <v>39119</v>
      </c>
      <c r="E39" s="51">
        <v>100.6961</v>
      </c>
    </row>
    <row r="40" spans="1:5" x14ac:dyDescent="0.35">
      <c r="A40" s="48" t="s">
        <v>313</v>
      </c>
      <c r="B40" s="48" t="s">
        <v>342</v>
      </c>
      <c r="C40" s="49" t="s">
        <v>333</v>
      </c>
      <c r="D40" s="50">
        <v>39122</v>
      </c>
      <c r="E40" s="51">
        <v>125.2332</v>
      </c>
    </row>
    <row r="41" spans="1:5" x14ac:dyDescent="0.35">
      <c r="A41" s="48" t="s">
        <v>306</v>
      </c>
      <c r="B41" s="48" t="s">
        <v>343</v>
      </c>
      <c r="C41" s="49" t="s">
        <v>333</v>
      </c>
      <c r="D41" s="50">
        <v>39123</v>
      </c>
      <c r="E41" s="51">
        <v>128.88990000000001</v>
      </c>
    </row>
    <row r="42" spans="1:5" x14ac:dyDescent="0.35">
      <c r="A42" s="48" t="s">
        <v>313</v>
      </c>
      <c r="B42" s="48" t="s">
        <v>344</v>
      </c>
      <c r="C42" s="49" t="s">
        <v>333</v>
      </c>
      <c r="D42" s="50">
        <v>39125</v>
      </c>
      <c r="E42" s="51">
        <v>124.3728</v>
      </c>
    </row>
    <row r="43" spans="1:5" x14ac:dyDescent="0.35">
      <c r="A43" s="48" t="s">
        <v>300</v>
      </c>
      <c r="B43" s="48" t="s">
        <v>345</v>
      </c>
      <c r="C43" s="49" t="s">
        <v>333</v>
      </c>
      <c r="D43" s="50">
        <v>39125</v>
      </c>
      <c r="E43" s="51">
        <v>119.38079999999999</v>
      </c>
    </row>
    <row r="44" spans="1:5" x14ac:dyDescent="0.35">
      <c r="A44" s="48" t="s">
        <v>313</v>
      </c>
      <c r="B44" s="48" t="s">
        <v>346</v>
      </c>
      <c r="C44" s="49" t="s">
        <v>333</v>
      </c>
      <c r="D44" s="50">
        <v>39130</v>
      </c>
      <c r="E44" s="51">
        <v>125.2332</v>
      </c>
    </row>
    <row r="45" spans="1:5" x14ac:dyDescent="0.35">
      <c r="A45" s="48" t="s">
        <v>306</v>
      </c>
      <c r="B45" s="48" t="s">
        <v>329</v>
      </c>
      <c r="C45" s="49" t="s">
        <v>333</v>
      </c>
      <c r="D45" s="50">
        <v>39131</v>
      </c>
      <c r="E45" s="51">
        <v>124.32640000000001</v>
      </c>
    </row>
    <row r="46" spans="1:5" x14ac:dyDescent="0.35">
      <c r="A46" s="48" t="s">
        <v>313</v>
      </c>
      <c r="B46" s="48" t="s">
        <v>347</v>
      </c>
      <c r="C46" s="49" t="s">
        <v>333</v>
      </c>
      <c r="D46" s="50">
        <v>39136</v>
      </c>
      <c r="E46" s="51">
        <v>129.38419999999999</v>
      </c>
    </row>
    <row r="47" spans="1:5" x14ac:dyDescent="0.35">
      <c r="A47" s="48" t="s">
        <v>306</v>
      </c>
      <c r="B47" s="48" t="s">
        <v>348</v>
      </c>
      <c r="C47" s="49" t="s">
        <v>333</v>
      </c>
      <c r="D47" s="50">
        <v>39137</v>
      </c>
      <c r="E47" s="51">
        <v>111.32640000000001</v>
      </c>
    </row>
    <row r="48" spans="1:5" x14ac:dyDescent="0.35">
      <c r="A48" s="48" t="s">
        <v>306</v>
      </c>
      <c r="B48" s="48" t="s">
        <v>349</v>
      </c>
      <c r="C48" s="49" t="s">
        <v>333</v>
      </c>
      <c r="D48" s="50">
        <v>39137</v>
      </c>
      <c r="E48" s="51">
        <v>104.8154</v>
      </c>
    </row>
    <row r="49" spans="1:5" x14ac:dyDescent="0.35">
      <c r="A49" s="48" t="s">
        <v>306</v>
      </c>
      <c r="B49" s="48" t="s">
        <v>350</v>
      </c>
      <c r="C49" s="49" t="s">
        <v>333</v>
      </c>
      <c r="D49" s="50">
        <v>39137</v>
      </c>
      <c r="E49" s="51">
        <v>124.32640000000001</v>
      </c>
    </row>
    <row r="50" spans="1:5" x14ac:dyDescent="0.35">
      <c r="A50" s="48" t="s">
        <v>304</v>
      </c>
      <c r="B50" s="48" t="s">
        <v>351</v>
      </c>
      <c r="C50" s="49" t="s">
        <v>333</v>
      </c>
      <c r="D50" s="50">
        <v>39138</v>
      </c>
      <c r="E50" s="51">
        <v>115.6814</v>
      </c>
    </row>
    <row r="51" spans="1:5" x14ac:dyDescent="0.35">
      <c r="A51" s="48" t="s">
        <v>304</v>
      </c>
      <c r="B51" s="48" t="s">
        <v>352</v>
      </c>
      <c r="C51" s="49" t="s">
        <v>333</v>
      </c>
      <c r="D51" s="50">
        <v>39138</v>
      </c>
      <c r="E51" s="51">
        <v>115.6814</v>
      </c>
    </row>
    <row r="52" spans="1:5" x14ac:dyDescent="0.35">
      <c r="A52" s="48" t="s">
        <v>313</v>
      </c>
      <c r="B52" s="48" t="s">
        <v>317</v>
      </c>
      <c r="C52" s="49" t="s">
        <v>333</v>
      </c>
      <c r="D52" s="50">
        <v>39140</v>
      </c>
      <c r="E52" s="51">
        <v>112.1285</v>
      </c>
    </row>
    <row r="53" spans="1:5" x14ac:dyDescent="0.35">
      <c r="A53" s="48" t="s">
        <v>300</v>
      </c>
      <c r="B53" s="48" t="s">
        <v>353</v>
      </c>
      <c r="C53" s="49" t="s">
        <v>333</v>
      </c>
      <c r="D53" s="50">
        <v>39140</v>
      </c>
      <c r="E53" s="51">
        <v>108.5147</v>
      </c>
    </row>
    <row r="54" spans="1:5" x14ac:dyDescent="0.35">
      <c r="A54" s="48" t="s">
        <v>300</v>
      </c>
      <c r="B54" s="48" t="s">
        <v>354</v>
      </c>
      <c r="C54" s="49" t="s">
        <v>333</v>
      </c>
      <c r="D54" s="50">
        <v>39140</v>
      </c>
      <c r="E54" s="51">
        <v>108.5147</v>
      </c>
    </row>
    <row r="55" spans="1:5" x14ac:dyDescent="0.35">
      <c r="A55" s="48" t="s">
        <v>313</v>
      </c>
      <c r="B55" s="48" t="s">
        <v>355</v>
      </c>
      <c r="C55" s="49" t="s">
        <v>333</v>
      </c>
      <c r="D55" s="50">
        <v>39140</v>
      </c>
      <c r="E55" s="51">
        <v>115.76049999999999</v>
      </c>
    </row>
    <row r="56" spans="1:5" x14ac:dyDescent="0.35">
      <c r="A56" s="48" t="s">
        <v>300</v>
      </c>
      <c r="B56" s="48" t="s">
        <v>356</v>
      </c>
      <c r="C56" s="49" t="s">
        <v>333</v>
      </c>
      <c r="D56" s="50">
        <v>39140</v>
      </c>
      <c r="E56" s="51">
        <v>121.9118</v>
      </c>
    </row>
    <row r="57" spans="1:5" x14ac:dyDescent="0.35">
      <c r="A57" s="48" t="s">
        <v>313</v>
      </c>
      <c r="B57" s="48" t="s">
        <v>357</v>
      </c>
      <c r="C57" s="49" t="s">
        <v>333</v>
      </c>
      <c r="D57" s="50">
        <v>39150</v>
      </c>
      <c r="E57" s="51">
        <v>124.4336</v>
      </c>
    </row>
    <row r="58" spans="1:5" x14ac:dyDescent="0.35">
      <c r="A58" s="48" t="s">
        <v>306</v>
      </c>
      <c r="B58" s="48" t="s">
        <v>358</v>
      </c>
      <c r="C58" s="49" t="s">
        <v>333</v>
      </c>
      <c r="D58" s="50">
        <v>39152</v>
      </c>
      <c r="E58" s="51">
        <v>124.32640000000001</v>
      </c>
    </row>
    <row r="59" spans="1:5" x14ac:dyDescent="0.35">
      <c r="A59" s="48" t="s">
        <v>304</v>
      </c>
      <c r="B59" s="48" t="s">
        <v>359</v>
      </c>
      <c r="C59" s="49" t="s">
        <v>333</v>
      </c>
      <c r="D59" s="50">
        <v>39154</v>
      </c>
      <c r="E59" s="51">
        <v>115.6814</v>
      </c>
    </row>
    <row r="60" spans="1:5" x14ac:dyDescent="0.35">
      <c r="A60" s="48" t="s">
        <v>304</v>
      </c>
      <c r="B60" s="48" t="s">
        <v>360</v>
      </c>
      <c r="C60" s="49" t="s">
        <v>333</v>
      </c>
      <c r="D60" s="50">
        <v>39157</v>
      </c>
      <c r="E60" s="51">
        <v>127.0779</v>
      </c>
    </row>
    <row r="61" spans="1:5" x14ac:dyDescent="0.35">
      <c r="A61" s="48" t="s">
        <v>300</v>
      </c>
      <c r="B61" s="48" t="s">
        <v>361</v>
      </c>
      <c r="C61" s="49" t="s">
        <v>333</v>
      </c>
      <c r="D61" s="50">
        <v>39167</v>
      </c>
      <c r="E61" s="51">
        <v>124.29349999999999</v>
      </c>
    </row>
    <row r="62" spans="1:5" x14ac:dyDescent="0.35">
      <c r="A62" s="48" t="s">
        <v>306</v>
      </c>
      <c r="B62" s="48" t="s">
        <v>362</v>
      </c>
      <c r="C62" s="49" t="s">
        <v>333</v>
      </c>
      <c r="D62" s="50">
        <v>39192</v>
      </c>
      <c r="E62" s="51">
        <v>108.7929</v>
      </c>
    </row>
    <row r="63" spans="1:5" x14ac:dyDescent="0.35">
      <c r="A63" s="48" t="s">
        <v>313</v>
      </c>
      <c r="B63" s="48" t="s">
        <v>363</v>
      </c>
      <c r="C63" s="49" t="s">
        <v>333</v>
      </c>
      <c r="D63" s="50">
        <v>39196</v>
      </c>
      <c r="E63" s="51">
        <v>124.3728</v>
      </c>
    </row>
    <row r="64" spans="1:5" x14ac:dyDescent="0.35">
      <c r="A64" s="48" t="s">
        <v>306</v>
      </c>
      <c r="B64" s="48" t="s">
        <v>364</v>
      </c>
      <c r="C64" s="49" t="s">
        <v>333</v>
      </c>
      <c r="D64" s="50">
        <v>39203</v>
      </c>
      <c r="E64" s="51">
        <v>107.9136</v>
      </c>
    </row>
    <row r="65" spans="1:5" x14ac:dyDescent="0.35">
      <c r="A65" s="48" t="s">
        <v>300</v>
      </c>
      <c r="B65" s="48" t="s">
        <v>365</v>
      </c>
      <c r="C65" s="49" t="s">
        <v>333</v>
      </c>
      <c r="D65" s="50">
        <v>39203</v>
      </c>
      <c r="E65" s="51">
        <v>108.5147</v>
      </c>
    </row>
    <row r="66" spans="1:5" x14ac:dyDescent="0.35">
      <c r="A66" s="48" t="s">
        <v>313</v>
      </c>
      <c r="B66" s="48" t="s">
        <v>317</v>
      </c>
      <c r="C66" s="49" t="s">
        <v>333</v>
      </c>
      <c r="D66" s="50">
        <v>39207</v>
      </c>
      <c r="E66" s="51">
        <v>112.1285</v>
      </c>
    </row>
    <row r="67" spans="1:5" x14ac:dyDescent="0.35">
      <c r="A67" s="48" t="s">
        <v>313</v>
      </c>
      <c r="B67" s="48" t="s">
        <v>366</v>
      </c>
      <c r="C67" s="49" t="s">
        <v>333</v>
      </c>
      <c r="D67" s="50">
        <v>39209</v>
      </c>
      <c r="E67" s="51">
        <v>125.2332</v>
      </c>
    </row>
    <row r="68" spans="1:5" x14ac:dyDescent="0.35">
      <c r="A68" s="48" t="s">
        <v>300</v>
      </c>
      <c r="B68" s="48" t="s">
        <v>367</v>
      </c>
      <c r="C68" s="49" t="s">
        <v>333</v>
      </c>
      <c r="D68" s="50">
        <v>39216</v>
      </c>
      <c r="E68" s="51">
        <v>122.8494</v>
      </c>
    </row>
    <row r="69" spans="1:5" x14ac:dyDescent="0.35">
      <c r="A69" s="48" t="s">
        <v>313</v>
      </c>
      <c r="B69" s="48" t="s">
        <v>357</v>
      </c>
      <c r="C69" s="49" t="s">
        <v>333</v>
      </c>
      <c r="D69" s="50">
        <v>39220</v>
      </c>
      <c r="E69" s="51">
        <v>124.4336</v>
      </c>
    </row>
    <row r="70" spans="1:5" x14ac:dyDescent="0.35">
      <c r="A70" s="48" t="s">
        <v>304</v>
      </c>
      <c r="B70" s="48" t="s">
        <v>368</v>
      </c>
      <c r="C70" s="49" t="s">
        <v>333</v>
      </c>
      <c r="D70" s="50">
        <v>39220</v>
      </c>
      <c r="E70" s="51">
        <v>127.0779</v>
      </c>
    </row>
    <row r="71" spans="1:5" x14ac:dyDescent="0.35">
      <c r="A71" s="48" t="s">
        <v>304</v>
      </c>
      <c r="B71" s="48" t="s">
        <v>369</v>
      </c>
      <c r="C71" s="49" t="s">
        <v>333</v>
      </c>
      <c r="D71" s="50">
        <v>39221</v>
      </c>
      <c r="E71" s="51">
        <v>122.7343</v>
      </c>
    </row>
    <row r="72" spans="1:5" x14ac:dyDescent="0.35">
      <c r="A72" s="48" t="s">
        <v>313</v>
      </c>
      <c r="B72" s="48" t="s">
        <v>370</v>
      </c>
      <c r="C72" s="49" t="s">
        <v>333</v>
      </c>
      <c r="D72" s="50">
        <v>39224</v>
      </c>
      <c r="E72" s="51">
        <v>125.2332</v>
      </c>
    </row>
    <row r="73" spans="1:5" x14ac:dyDescent="0.35">
      <c r="A73" s="48" t="s">
        <v>304</v>
      </c>
      <c r="B73" s="48" t="s">
        <v>371</v>
      </c>
      <c r="C73" s="49" t="s">
        <v>333</v>
      </c>
      <c r="D73" s="50">
        <v>39224</v>
      </c>
      <c r="E73" s="51">
        <v>115.6814</v>
      </c>
    </row>
    <row r="74" spans="1:5" x14ac:dyDescent="0.35">
      <c r="A74" s="48" t="s">
        <v>313</v>
      </c>
      <c r="B74" s="48" t="s">
        <v>372</v>
      </c>
      <c r="C74" s="49" t="s">
        <v>333</v>
      </c>
      <c r="D74" s="50">
        <v>39229</v>
      </c>
      <c r="E74" s="51">
        <v>141.53649999999999</v>
      </c>
    </row>
    <row r="75" spans="1:5" x14ac:dyDescent="0.35">
      <c r="A75" s="48" t="s">
        <v>306</v>
      </c>
      <c r="B75" s="48" t="s">
        <v>373</v>
      </c>
      <c r="C75" s="49" t="s">
        <v>333</v>
      </c>
      <c r="D75" s="50">
        <v>39231</v>
      </c>
      <c r="E75" s="51">
        <v>112.3938</v>
      </c>
    </row>
    <row r="76" spans="1:5" x14ac:dyDescent="0.35">
      <c r="A76" s="48" t="s">
        <v>306</v>
      </c>
      <c r="B76" s="48" t="s">
        <v>374</v>
      </c>
      <c r="C76" s="49" t="s">
        <v>333</v>
      </c>
      <c r="D76" s="50">
        <v>39234</v>
      </c>
      <c r="E76" s="51">
        <v>100.6961</v>
      </c>
    </row>
    <row r="77" spans="1:5" x14ac:dyDescent="0.35">
      <c r="A77" s="48" t="s">
        <v>313</v>
      </c>
      <c r="B77" s="48" t="s">
        <v>357</v>
      </c>
      <c r="C77" s="49" t="s">
        <v>333</v>
      </c>
      <c r="D77" s="50">
        <v>39234</v>
      </c>
      <c r="E77" s="51">
        <v>124.4336</v>
      </c>
    </row>
    <row r="78" spans="1:5" x14ac:dyDescent="0.35">
      <c r="A78" s="48" t="s">
        <v>313</v>
      </c>
      <c r="B78" s="48" t="s">
        <v>375</v>
      </c>
      <c r="C78" s="49" t="s">
        <v>333</v>
      </c>
      <c r="D78" s="50">
        <v>39234</v>
      </c>
      <c r="E78" s="51">
        <v>124.4336</v>
      </c>
    </row>
    <row r="79" spans="1:5" x14ac:dyDescent="0.35">
      <c r="A79" s="48" t="s">
        <v>313</v>
      </c>
      <c r="B79" s="48" t="s">
        <v>376</v>
      </c>
      <c r="C79" s="49" t="s">
        <v>333</v>
      </c>
      <c r="D79" s="50">
        <v>39237</v>
      </c>
      <c r="E79" s="51">
        <v>124.4336</v>
      </c>
    </row>
    <row r="80" spans="1:5" x14ac:dyDescent="0.35">
      <c r="A80" s="48" t="s">
        <v>306</v>
      </c>
      <c r="B80" s="48" t="s">
        <v>350</v>
      </c>
      <c r="C80" s="49" t="s">
        <v>333</v>
      </c>
      <c r="D80" s="50">
        <v>39241</v>
      </c>
      <c r="E80" s="51">
        <v>124.32640000000001</v>
      </c>
    </row>
    <row r="81" spans="1:5" x14ac:dyDescent="0.35">
      <c r="A81" s="48" t="s">
        <v>304</v>
      </c>
      <c r="B81" s="48" t="s">
        <v>377</v>
      </c>
      <c r="C81" s="49" t="s">
        <v>333</v>
      </c>
      <c r="D81" s="50">
        <v>39241</v>
      </c>
      <c r="E81" s="51">
        <v>127.0779</v>
      </c>
    </row>
    <row r="82" spans="1:5" x14ac:dyDescent="0.35">
      <c r="A82" s="48" t="s">
        <v>313</v>
      </c>
      <c r="B82" s="48" t="s">
        <v>347</v>
      </c>
      <c r="C82" s="49" t="s">
        <v>333</v>
      </c>
      <c r="D82" s="50">
        <v>39243</v>
      </c>
      <c r="E82" s="51">
        <v>129.38419999999999</v>
      </c>
    </row>
    <row r="83" spans="1:5" x14ac:dyDescent="0.35">
      <c r="A83" s="48" t="s">
        <v>313</v>
      </c>
      <c r="B83" s="48" t="s">
        <v>378</v>
      </c>
      <c r="C83" s="49" t="s">
        <v>333</v>
      </c>
      <c r="D83" s="50">
        <v>39244</v>
      </c>
      <c r="E83" s="51">
        <v>124.3728</v>
      </c>
    </row>
    <row r="84" spans="1:5" x14ac:dyDescent="0.35">
      <c r="A84" s="48" t="s">
        <v>304</v>
      </c>
      <c r="B84" s="48" t="s">
        <v>379</v>
      </c>
      <c r="C84" s="49" t="s">
        <v>333</v>
      </c>
      <c r="D84" s="50">
        <v>39251</v>
      </c>
      <c r="E84" s="51">
        <v>114.515</v>
      </c>
    </row>
    <row r="85" spans="1:5" x14ac:dyDescent="0.35">
      <c r="A85" s="48" t="s">
        <v>306</v>
      </c>
      <c r="B85" s="48" t="s">
        <v>380</v>
      </c>
      <c r="C85" s="49" t="s">
        <v>333</v>
      </c>
      <c r="D85" s="50">
        <v>39256</v>
      </c>
      <c r="E85" s="51">
        <v>107.9136</v>
      </c>
    </row>
    <row r="86" spans="1:5" x14ac:dyDescent="0.35">
      <c r="A86" s="48" t="s">
        <v>306</v>
      </c>
      <c r="B86" s="48" t="s">
        <v>381</v>
      </c>
      <c r="C86" s="49" t="s">
        <v>333</v>
      </c>
      <c r="D86" s="50">
        <v>39262</v>
      </c>
      <c r="E86" s="51">
        <v>100.6961</v>
      </c>
    </row>
    <row r="87" spans="1:5" x14ac:dyDescent="0.35">
      <c r="A87" s="48" t="s">
        <v>304</v>
      </c>
      <c r="B87" s="48" t="s">
        <v>382</v>
      </c>
      <c r="C87" s="49" t="s">
        <v>333</v>
      </c>
      <c r="D87" s="50">
        <v>39263</v>
      </c>
      <c r="E87" s="51">
        <v>113.6033</v>
      </c>
    </row>
    <row r="88" spans="1:5" x14ac:dyDescent="0.35">
      <c r="A88" s="48" t="s">
        <v>304</v>
      </c>
      <c r="B88" s="48" t="s">
        <v>383</v>
      </c>
      <c r="C88" s="49" t="s">
        <v>333</v>
      </c>
      <c r="D88" s="50">
        <v>39265</v>
      </c>
      <c r="E88" s="51">
        <v>107.97369999999999</v>
      </c>
    </row>
    <row r="89" spans="1:5" x14ac:dyDescent="0.35">
      <c r="A89" s="48" t="s">
        <v>313</v>
      </c>
      <c r="B89" s="48" t="s">
        <v>347</v>
      </c>
      <c r="C89" s="49" t="s">
        <v>333</v>
      </c>
      <c r="D89" s="50">
        <v>39284</v>
      </c>
      <c r="E89" s="51">
        <v>129.38419999999999</v>
      </c>
    </row>
    <row r="90" spans="1:5" x14ac:dyDescent="0.35">
      <c r="A90" s="48" t="s">
        <v>306</v>
      </c>
      <c r="B90" s="48" t="s">
        <v>384</v>
      </c>
      <c r="C90" s="49" t="s">
        <v>333</v>
      </c>
      <c r="D90" s="50">
        <v>39287</v>
      </c>
      <c r="E90" s="51">
        <v>100.6961</v>
      </c>
    </row>
    <row r="91" spans="1:5" x14ac:dyDescent="0.35">
      <c r="A91" s="48" t="s">
        <v>306</v>
      </c>
      <c r="B91" s="48" t="s">
        <v>385</v>
      </c>
      <c r="C91" s="49" t="s">
        <v>333</v>
      </c>
      <c r="D91" s="50">
        <v>39291</v>
      </c>
      <c r="E91" s="51">
        <v>111.11790000000001</v>
      </c>
    </row>
    <row r="92" spans="1:5" x14ac:dyDescent="0.35">
      <c r="A92" s="48" t="s">
        <v>300</v>
      </c>
      <c r="B92" s="48" t="s">
        <v>386</v>
      </c>
      <c r="C92" s="49" t="s">
        <v>333</v>
      </c>
      <c r="D92" s="50">
        <v>39292</v>
      </c>
      <c r="E92" s="51">
        <v>124.29349999999999</v>
      </c>
    </row>
    <row r="93" spans="1:5" x14ac:dyDescent="0.35">
      <c r="A93" s="48" t="s">
        <v>306</v>
      </c>
      <c r="B93" s="48" t="s">
        <v>387</v>
      </c>
      <c r="C93" s="49" t="s">
        <v>333</v>
      </c>
      <c r="D93" s="50">
        <v>39292</v>
      </c>
      <c r="E93" s="51">
        <v>112.3938</v>
      </c>
    </row>
    <row r="94" spans="1:5" x14ac:dyDescent="0.35">
      <c r="A94" s="48" t="s">
        <v>313</v>
      </c>
      <c r="B94" s="48" t="s">
        <v>375</v>
      </c>
      <c r="C94" s="49" t="s">
        <v>333</v>
      </c>
      <c r="D94" s="50">
        <v>39292</v>
      </c>
      <c r="E94" s="51">
        <v>124.4336</v>
      </c>
    </row>
    <row r="95" spans="1:5" x14ac:dyDescent="0.35">
      <c r="A95" s="48" t="s">
        <v>304</v>
      </c>
      <c r="B95" s="48" t="s">
        <v>388</v>
      </c>
      <c r="C95" s="49" t="s">
        <v>333</v>
      </c>
      <c r="D95" s="50">
        <v>39294</v>
      </c>
      <c r="E95" s="51">
        <v>121.82380000000001</v>
      </c>
    </row>
    <row r="96" spans="1:5" x14ac:dyDescent="0.35">
      <c r="A96" s="48" t="s">
        <v>313</v>
      </c>
      <c r="B96" s="48" t="s">
        <v>389</v>
      </c>
      <c r="C96" s="49" t="s">
        <v>333</v>
      </c>
      <c r="D96" s="50">
        <v>39294</v>
      </c>
      <c r="E96" s="51">
        <v>124.3728</v>
      </c>
    </row>
    <row r="97" spans="1:5" x14ac:dyDescent="0.35">
      <c r="A97" s="48" t="s">
        <v>304</v>
      </c>
      <c r="B97" s="48" t="s">
        <v>390</v>
      </c>
      <c r="C97" s="49" t="s">
        <v>333</v>
      </c>
      <c r="D97" s="50">
        <v>39297</v>
      </c>
      <c r="E97" s="51">
        <v>107.97369999999999</v>
      </c>
    </row>
    <row r="98" spans="1:5" x14ac:dyDescent="0.35">
      <c r="A98" s="48" t="s">
        <v>304</v>
      </c>
      <c r="B98" s="48" t="s">
        <v>369</v>
      </c>
      <c r="C98" s="49" t="s">
        <v>333</v>
      </c>
      <c r="D98" s="50">
        <v>39297</v>
      </c>
      <c r="E98" s="51">
        <v>122.7343</v>
      </c>
    </row>
    <row r="99" spans="1:5" x14ac:dyDescent="0.35">
      <c r="A99" s="48" t="s">
        <v>313</v>
      </c>
      <c r="B99" s="48" t="s">
        <v>391</v>
      </c>
      <c r="C99" s="49" t="s">
        <v>333</v>
      </c>
      <c r="D99" s="50">
        <v>39298</v>
      </c>
      <c r="E99" s="51">
        <v>124.3728</v>
      </c>
    </row>
    <row r="100" spans="1:5" x14ac:dyDescent="0.35">
      <c r="A100" s="48" t="s">
        <v>300</v>
      </c>
      <c r="B100" s="48" t="s">
        <v>392</v>
      </c>
      <c r="C100" s="49" t="s">
        <v>333</v>
      </c>
      <c r="D100" s="50">
        <v>39301</v>
      </c>
      <c r="E100" s="51">
        <v>119.38079999999999</v>
      </c>
    </row>
    <row r="101" spans="1:5" x14ac:dyDescent="0.35">
      <c r="A101" s="48" t="s">
        <v>306</v>
      </c>
      <c r="B101" s="48" t="s">
        <v>348</v>
      </c>
      <c r="C101" s="49" t="s">
        <v>333</v>
      </c>
      <c r="D101" s="50">
        <v>39304</v>
      </c>
      <c r="E101" s="51">
        <v>111.32640000000001</v>
      </c>
    </row>
    <row r="102" spans="1:5" x14ac:dyDescent="0.35">
      <c r="A102" s="48" t="s">
        <v>304</v>
      </c>
      <c r="B102" s="48" t="s">
        <v>393</v>
      </c>
      <c r="C102" s="49" t="s">
        <v>333</v>
      </c>
      <c r="D102" s="50">
        <v>39304</v>
      </c>
      <c r="E102" s="51">
        <v>127.0779</v>
      </c>
    </row>
    <row r="103" spans="1:5" x14ac:dyDescent="0.35">
      <c r="A103" s="48" t="s">
        <v>313</v>
      </c>
      <c r="B103" s="48" t="s">
        <v>317</v>
      </c>
      <c r="C103" s="49" t="s">
        <v>333</v>
      </c>
      <c r="D103" s="50">
        <v>39306</v>
      </c>
      <c r="E103" s="51">
        <v>112.1285</v>
      </c>
    </row>
    <row r="104" spans="1:5" x14ac:dyDescent="0.35">
      <c r="A104" s="48" t="s">
        <v>313</v>
      </c>
      <c r="B104" s="48" t="s">
        <v>394</v>
      </c>
      <c r="C104" s="49" t="s">
        <v>333</v>
      </c>
      <c r="D104" s="50">
        <v>39306</v>
      </c>
      <c r="E104" s="51">
        <v>112.1285</v>
      </c>
    </row>
    <row r="105" spans="1:5" x14ac:dyDescent="0.35">
      <c r="A105" s="48" t="s">
        <v>306</v>
      </c>
      <c r="B105" s="48" t="s">
        <v>395</v>
      </c>
      <c r="C105" s="49" t="s">
        <v>333</v>
      </c>
      <c r="D105" s="50">
        <v>39306</v>
      </c>
      <c r="E105" s="51">
        <v>111.11790000000001</v>
      </c>
    </row>
    <row r="106" spans="1:5" x14ac:dyDescent="0.35">
      <c r="A106" s="48" t="s">
        <v>304</v>
      </c>
      <c r="B106" s="48" t="s">
        <v>396</v>
      </c>
      <c r="C106" s="49" t="s">
        <v>333</v>
      </c>
      <c r="D106" s="50">
        <v>39307</v>
      </c>
      <c r="E106" s="51">
        <v>107.97369999999999</v>
      </c>
    </row>
    <row r="107" spans="1:5" x14ac:dyDescent="0.35">
      <c r="A107" s="48" t="s">
        <v>304</v>
      </c>
      <c r="B107" s="48" t="s">
        <v>397</v>
      </c>
      <c r="C107" s="49" t="s">
        <v>333</v>
      </c>
      <c r="D107" s="50">
        <v>39307</v>
      </c>
      <c r="E107" s="51">
        <v>127.0779</v>
      </c>
    </row>
    <row r="108" spans="1:5" x14ac:dyDescent="0.35">
      <c r="A108" s="48" t="s">
        <v>306</v>
      </c>
      <c r="B108" s="48" t="s">
        <v>398</v>
      </c>
      <c r="C108" s="49" t="s">
        <v>333</v>
      </c>
      <c r="D108" s="50">
        <v>39308</v>
      </c>
      <c r="E108" s="51">
        <v>124.32640000000001</v>
      </c>
    </row>
    <row r="109" spans="1:5" x14ac:dyDescent="0.35">
      <c r="A109" s="48" t="s">
        <v>304</v>
      </c>
      <c r="B109" s="48" t="s">
        <v>305</v>
      </c>
      <c r="C109" s="49" t="s">
        <v>333</v>
      </c>
      <c r="D109" s="50">
        <v>39308</v>
      </c>
      <c r="E109" s="51">
        <v>114.3595</v>
      </c>
    </row>
    <row r="110" spans="1:5" x14ac:dyDescent="0.35">
      <c r="A110" s="48" t="s">
        <v>304</v>
      </c>
      <c r="B110" s="48" t="s">
        <v>399</v>
      </c>
      <c r="C110" s="49" t="s">
        <v>333</v>
      </c>
      <c r="D110" s="50">
        <v>39315</v>
      </c>
      <c r="E110" s="51">
        <v>115.6814</v>
      </c>
    </row>
    <row r="111" spans="1:5" x14ac:dyDescent="0.35">
      <c r="A111" s="48" t="s">
        <v>306</v>
      </c>
      <c r="B111" s="48" t="s">
        <v>400</v>
      </c>
      <c r="C111" s="49" t="s">
        <v>333</v>
      </c>
      <c r="D111" s="50">
        <v>39321</v>
      </c>
      <c r="E111" s="51">
        <v>111.11790000000001</v>
      </c>
    </row>
    <row r="112" spans="1:5" x14ac:dyDescent="0.35">
      <c r="A112" s="48" t="s">
        <v>300</v>
      </c>
      <c r="B112" s="48" t="s">
        <v>401</v>
      </c>
      <c r="C112" s="49" t="s">
        <v>333</v>
      </c>
      <c r="D112" s="50">
        <v>39332</v>
      </c>
      <c r="E112" s="51">
        <v>119.38079999999999</v>
      </c>
    </row>
    <row r="113" spans="1:5" x14ac:dyDescent="0.35">
      <c r="A113" s="48" t="s">
        <v>313</v>
      </c>
      <c r="B113" s="48" t="s">
        <v>366</v>
      </c>
      <c r="C113" s="49" t="s">
        <v>333</v>
      </c>
      <c r="D113" s="50">
        <v>39335</v>
      </c>
      <c r="E113" s="51">
        <v>125.2332</v>
      </c>
    </row>
    <row r="114" spans="1:5" x14ac:dyDescent="0.35">
      <c r="A114" s="48" t="s">
        <v>306</v>
      </c>
      <c r="B114" s="48" t="s">
        <v>402</v>
      </c>
      <c r="C114" s="49" t="s">
        <v>333</v>
      </c>
      <c r="D114" s="50">
        <v>39336</v>
      </c>
      <c r="E114" s="51">
        <v>124.32640000000001</v>
      </c>
    </row>
    <row r="115" spans="1:5" x14ac:dyDescent="0.35">
      <c r="A115" s="48" t="s">
        <v>300</v>
      </c>
      <c r="B115" s="48" t="s">
        <v>353</v>
      </c>
      <c r="C115" s="49" t="s">
        <v>333</v>
      </c>
      <c r="D115" s="50">
        <v>39340</v>
      </c>
      <c r="E115" s="51">
        <v>108.5147</v>
      </c>
    </row>
    <row r="116" spans="1:5" x14ac:dyDescent="0.35">
      <c r="A116" s="48" t="s">
        <v>300</v>
      </c>
      <c r="B116" s="48" t="s">
        <v>403</v>
      </c>
      <c r="C116" s="49" t="s">
        <v>333</v>
      </c>
      <c r="D116" s="50">
        <v>39342</v>
      </c>
      <c r="E116" s="51">
        <v>112.0056</v>
      </c>
    </row>
    <row r="117" spans="1:5" x14ac:dyDescent="0.35">
      <c r="A117" s="48" t="s">
        <v>300</v>
      </c>
      <c r="B117" s="48" t="s">
        <v>404</v>
      </c>
      <c r="C117" s="49" t="s">
        <v>333</v>
      </c>
      <c r="D117" s="50">
        <v>39343</v>
      </c>
      <c r="E117" s="51">
        <v>119.8659</v>
      </c>
    </row>
    <row r="118" spans="1:5" x14ac:dyDescent="0.35">
      <c r="A118" s="48" t="s">
        <v>300</v>
      </c>
      <c r="B118" s="48" t="s">
        <v>405</v>
      </c>
      <c r="C118" s="49" t="s">
        <v>333</v>
      </c>
      <c r="D118" s="50">
        <v>39343</v>
      </c>
      <c r="E118" s="51">
        <v>117.611</v>
      </c>
    </row>
    <row r="119" spans="1:5" x14ac:dyDescent="0.35">
      <c r="A119" s="48" t="s">
        <v>313</v>
      </c>
      <c r="B119" s="48" t="s">
        <v>406</v>
      </c>
      <c r="C119" s="49" t="s">
        <v>333</v>
      </c>
      <c r="D119" s="50">
        <v>39346</v>
      </c>
      <c r="E119" s="51">
        <v>119.64279999999999</v>
      </c>
    </row>
    <row r="120" spans="1:5" x14ac:dyDescent="0.35">
      <c r="A120" s="48" t="s">
        <v>300</v>
      </c>
      <c r="B120" s="48" t="s">
        <v>407</v>
      </c>
      <c r="C120" s="49" t="s">
        <v>333</v>
      </c>
      <c r="D120" s="50">
        <v>39348</v>
      </c>
      <c r="E120" s="51">
        <v>108.5147</v>
      </c>
    </row>
    <row r="121" spans="1:5" x14ac:dyDescent="0.35">
      <c r="A121" s="48" t="s">
        <v>313</v>
      </c>
      <c r="B121" s="48" t="s">
        <v>408</v>
      </c>
      <c r="C121" s="49" t="s">
        <v>333</v>
      </c>
      <c r="D121" s="50">
        <v>39350</v>
      </c>
      <c r="E121" s="51">
        <v>119.64279999999999</v>
      </c>
    </row>
    <row r="122" spans="1:5" x14ac:dyDescent="0.35">
      <c r="A122" s="48" t="s">
        <v>313</v>
      </c>
      <c r="B122" s="48" t="s">
        <v>409</v>
      </c>
      <c r="C122" s="49" t="s">
        <v>333</v>
      </c>
      <c r="D122" s="50">
        <v>39350</v>
      </c>
      <c r="E122" s="51">
        <v>119.64279999999999</v>
      </c>
    </row>
    <row r="123" spans="1:5" x14ac:dyDescent="0.35">
      <c r="A123" s="48" t="s">
        <v>306</v>
      </c>
      <c r="B123" s="48" t="s">
        <v>329</v>
      </c>
      <c r="C123" s="49" t="s">
        <v>333</v>
      </c>
      <c r="D123" s="50">
        <v>39355</v>
      </c>
      <c r="E123" s="51">
        <v>124.32640000000001</v>
      </c>
    </row>
    <row r="124" spans="1:5" x14ac:dyDescent="0.35">
      <c r="A124" s="48" t="s">
        <v>313</v>
      </c>
      <c r="B124" s="48" t="s">
        <v>410</v>
      </c>
      <c r="C124" s="49" t="s">
        <v>333</v>
      </c>
      <c r="D124" s="50">
        <v>39357</v>
      </c>
      <c r="E124" s="51">
        <v>124.3728</v>
      </c>
    </row>
    <row r="125" spans="1:5" x14ac:dyDescent="0.35">
      <c r="A125" s="48" t="s">
        <v>304</v>
      </c>
      <c r="B125" s="48" t="s">
        <v>396</v>
      </c>
      <c r="C125" s="49" t="s">
        <v>333</v>
      </c>
      <c r="D125" s="50">
        <v>39364</v>
      </c>
      <c r="E125" s="51">
        <v>107.97369999999999</v>
      </c>
    </row>
    <row r="126" spans="1:5" x14ac:dyDescent="0.35">
      <c r="A126" s="48" t="s">
        <v>304</v>
      </c>
      <c r="B126" s="48" t="s">
        <v>411</v>
      </c>
      <c r="C126" s="49" t="s">
        <v>333</v>
      </c>
      <c r="D126" s="50">
        <v>39364</v>
      </c>
      <c r="E126" s="51">
        <v>115.6814</v>
      </c>
    </row>
    <row r="127" spans="1:5" x14ac:dyDescent="0.35">
      <c r="A127" s="48" t="s">
        <v>306</v>
      </c>
      <c r="B127" s="48" t="s">
        <v>329</v>
      </c>
      <c r="C127" s="49" t="s">
        <v>333</v>
      </c>
      <c r="D127" s="50">
        <v>39368</v>
      </c>
      <c r="E127" s="51">
        <v>124.32640000000001</v>
      </c>
    </row>
    <row r="128" spans="1:5" x14ac:dyDescent="0.35">
      <c r="A128" s="48" t="s">
        <v>300</v>
      </c>
      <c r="B128" s="48" t="s">
        <v>412</v>
      </c>
      <c r="C128" s="49" t="s">
        <v>333</v>
      </c>
      <c r="D128" s="50">
        <v>39368</v>
      </c>
      <c r="E128" s="51">
        <v>112.0056</v>
      </c>
    </row>
    <row r="129" spans="1:5" x14ac:dyDescent="0.35">
      <c r="A129" s="48" t="s">
        <v>306</v>
      </c>
      <c r="B129" s="48" t="s">
        <v>413</v>
      </c>
      <c r="C129" s="49" t="s">
        <v>333</v>
      </c>
      <c r="D129" s="50">
        <v>39375</v>
      </c>
      <c r="E129" s="51">
        <v>112.3938</v>
      </c>
    </row>
    <row r="130" spans="1:5" x14ac:dyDescent="0.35">
      <c r="A130" s="48" t="s">
        <v>313</v>
      </c>
      <c r="B130" s="48" t="s">
        <v>414</v>
      </c>
      <c r="C130" s="49" t="s">
        <v>333</v>
      </c>
      <c r="D130" s="50">
        <v>39375</v>
      </c>
      <c r="E130" s="51">
        <v>114.4649</v>
      </c>
    </row>
    <row r="131" spans="1:5" x14ac:dyDescent="0.35">
      <c r="A131" s="48" t="s">
        <v>313</v>
      </c>
      <c r="B131" s="48" t="s">
        <v>415</v>
      </c>
      <c r="C131" s="49" t="s">
        <v>333</v>
      </c>
      <c r="D131" s="50">
        <v>39375</v>
      </c>
      <c r="E131" s="51">
        <v>124.4336</v>
      </c>
    </row>
    <row r="132" spans="1:5" x14ac:dyDescent="0.35">
      <c r="A132" s="48" t="s">
        <v>313</v>
      </c>
      <c r="B132" s="48" t="s">
        <v>378</v>
      </c>
      <c r="C132" s="49" t="s">
        <v>333</v>
      </c>
      <c r="D132" s="50">
        <v>39378</v>
      </c>
      <c r="E132" s="51">
        <v>124.3728</v>
      </c>
    </row>
    <row r="133" spans="1:5" x14ac:dyDescent="0.35">
      <c r="A133" s="48" t="s">
        <v>304</v>
      </c>
      <c r="B133" s="48" t="s">
        <v>416</v>
      </c>
      <c r="C133" s="49" t="s">
        <v>333</v>
      </c>
      <c r="D133" s="50">
        <v>39378</v>
      </c>
      <c r="E133" s="51">
        <v>107.97369999999999</v>
      </c>
    </row>
    <row r="134" spans="1:5" x14ac:dyDescent="0.35">
      <c r="A134" s="48" t="s">
        <v>304</v>
      </c>
      <c r="B134" s="48" t="s">
        <v>417</v>
      </c>
      <c r="C134" s="49" t="s">
        <v>333</v>
      </c>
      <c r="D134" s="50">
        <v>39381</v>
      </c>
      <c r="E134" s="51">
        <v>115.6814</v>
      </c>
    </row>
    <row r="135" spans="1:5" x14ac:dyDescent="0.35">
      <c r="A135" s="48" t="s">
        <v>304</v>
      </c>
      <c r="B135" s="48" t="s">
        <v>418</v>
      </c>
      <c r="C135" s="49" t="s">
        <v>333</v>
      </c>
      <c r="D135" s="50">
        <v>39382</v>
      </c>
      <c r="E135" s="51">
        <v>107.97369999999999</v>
      </c>
    </row>
    <row r="136" spans="1:5" x14ac:dyDescent="0.35">
      <c r="A136" s="48" t="s">
        <v>306</v>
      </c>
      <c r="B136" s="48" t="s">
        <v>419</v>
      </c>
      <c r="C136" s="49" t="s">
        <v>333</v>
      </c>
      <c r="D136" s="50">
        <v>39384</v>
      </c>
      <c r="E136" s="51">
        <v>124.32640000000001</v>
      </c>
    </row>
    <row r="137" spans="1:5" x14ac:dyDescent="0.35">
      <c r="A137" s="48" t="s">
        <v>313</v>
      </c>
      <c r="B137" s="48" t="s">
        <v>420</v>
      </c>
      <c r="C137" s="49" t="s">
        <v>333</v>
      </c>
      <c r="D137" s="50">
        <v>39392</v>
      </c>
      <c r="E137" s="51">
        <v>124.3728</v>
      </c>
    </row>
    <row r="138" spans="1:5" x14ac:dyDescent="0.35">
      <c r="A138" s="48" t="s">
        <v>304</v>
      </c>
      <c r="B138" s="48" t="s">
        <v>327</v>
      </c>
      <c r="C138" s="49" t="s">
        <v>333</v>
      </c>
      <c r="D138" s="50">
        <v>39397</v>
      </c>
      <c r="E138" s="51">
        <v>121.82380000000001</v>
      </c>
    </row>
    <row r="139" spans="1:5" x14ac:dyDescent="0.35">
      <c r="A139" s="48" t="s">
        <v>313</v>
      </c>
      <c r="B139" s="48" t="s">
        <v>406</v>
      </c>
      <c r="C139" s="49" t="s">
        <v>333</v>
      </c>
      <c r="D139" s="50">
        <v>39402</v>
      </c>
      <c r="E139" s="51">
        <v>119.64279999999999</v>
      </c>
    </row>
    <row r="140" spans="1:5" x14ac:dyDescent="0.35">
      <c r="A140" s="48" t="s">
        <v>313</v>
      </c>
      <c r="B140" s="48" t="s">
        <v>376</v>
      </c>
      <c r="C140" s="49" t="s">
        <v>333</v>
      </c>
      <c r="D140" s="50">
        <v>39410</v>
      </c>
      <c r="E140" s="51">
        <v>124.4336</v>
      </c>
    </row>
    <row r="141" spans="1:5" x14ac:dyDescent="0.35">
      <c r="A141" s="48" t="s">
        <v>313</v>
      </c>
      <c r="B141" s="48" t="s">
        <v>421</v>
      </c>
      <c r="C141" s="49" t="s">
        <v>333</v>
      </c>
      <c r="D141" s="50">
        <v>39412</v>
      </c>
      <c r="E141" s="51">
        <v>112.1285</v>
      </c>
    </row>
    <row r="142" spans="1:5" x14ac:dyDescent="0.35">
      <c r="A142" s="48" t="s">
        <v>306</v>
      </c>
      <c r="B142" s="48" t="s">
        <v>329</v>
      </c>
      <c r="C142" s="49" t="s">
        <v>333</v>
      </c>
      <c r="D142" s="50">
        <v>39418</v>
      </c>
      <c r="E142" s="51">
        <v>124.32640000000001</v>
      </c>
    </row>
    <row r="143" spans="1:5" x14ac:dyDescent="0.35">
      <c r="A143" s="48" t="s">
        <v>304</v>
      </c>
      <c r="B143" s="48" t="s">
        <v>422</v>
      </c>
      <c r="C143" s="49" t="s">
        <v>333</v>
      </c>
      <c r="D143" s="50">
        <v>39418</v>
      </c>
      <c r="E143" s="51">
        <v>115.6814</v>
      </c>
    </row>
    <row r="144" spans="1:5" x14ac:dyDescent="0.35">
      <c r="A144" s="48" t="s">
        <v>304</v>
      </c>
      <c r="B144" s="48" t="s">
        <v>423</v>
      </c>
      <c r="C144" s="49" t="s">
        <v>333</v>
      </c>
      <c r="D144" s="50">
        <v>39419</v>
      </c>
      <c r="E144" s="51">
        <v>115.6814</v>
      </c>
    </row>
    <row r="145" spans="1:5" x14ac:dyDescent="0.35">
      <c r="A145" s="48" t="s">
        <v>300</v>
      </c>
      <c r="B145" s="48" t="s">
        <v>424</v>
      </c>
      <c r="C145" s="49" t="s">
        <v>333</v>
      </c>
      <c r="D145" s="50">
        <v>39420</v>
      </c>
      <c r="E145" s="51">
        <v>124.29349999999999</v>
      </c>
    </row>
    <row r="146" spans="1:5" x14ac:dyDescent="0.35">
      <c r="A146" s="48" t="s">
        <v>306</v>
      </c>
      <c r="B146" s="48" t="s">
        <v>348</v>
      </c>
      <c r="C146" s="49" t="s">
        <v>333</v>
      </c>
      <c r="D146" s="50">
        <v>39420</v>
      </c>
      <c r="E146" s="51">
        <v>111.32640000000001</v>
      </c>
    </row>
    <row r="147" spans="1:5" x14ac:dyDescent="0.35">
      <c r="A147" s="48" t="s">
        <v>313</v>
      </c>
      <c r="B147" s="48" t="s">
        <v>425</v>
      </c>
      <c r="C147" s="49" t="s">
        <v>333</v>
      </c>
      <c r="D147" s="50">
        <v>39420</v>
      </c>
      <c r="E147" s="51">
        <v>124.4336</v>
      </c>
    </row>
    <row r="148" spans="1:5" x14ac:dyDescent="0.35">
      <c r="A148" s="48" t="s">
        <v>300</v>
      </c>
      <c r="B148" s="48" t="s">
        <v>345</v>
      </c>
      <c r="C148" s="49" t="s">
        <v>333</v>
      </c>
      <c r="D148" s="50">
        <v>39448</v>
      </c>
      <c r="E148" s="51">
        <v>119.38079999999999</v>
      </c>
    </row>
    <row r="149" spans="1:5" x14ac:dyDescent="0.35">
      <c r="A149" s="48" t="s">
        <v>300</v>
      </c>
      <c r="B149" s="48" t="s">
        <v>426</v>
      </c>
      <c r="C149" s="49" t="s">
        <v>427</v>
      </c>
      <c r="D149" s="50">
        <v>39089</v>
      </c>
      <c r="E149" s="51">
        <v>109.53230000000001</v>
      </c>
    </row>
    <row r="150" spans="1:5" x14ac:dyDescent="0.35">
      <c r="A150" s="48" t="s">
        <v>300</v>
      </c>
      <c r="B150" s="48" t="s">
        <v>428</v>
      </c>
      <c r="C150" s="49" t="s">
        <v>427</v>
      </c>
      <c r="D150" s="50">
        <v>39090</v>
      </c>
      <c r="E150" s="51">
        <v>142.5857</v>
      </c>
    </row>
    <row r="151" spans="1:5" x14ac:dyDescent="0.35">
      <c r="A151" s="48" t="s">
        <v>306</v>
      </c>
      <c r="B151" s="48" t="s">
        <v>429</v>
      </c>
      <c r="C151" s="49" t="s">
        <v>427</v>
      </c>
      <c r="D151" s="50">
        <v>39094</v>
      </c>
      <c r="E151" s="51">
        <v>123.67910000000001</v>
      </c>
    </row>
    <row r="152" spans="1:5" x14ac:dyDescent="0.35">
      <c r="A152" s="48" t="s">
        <v>306</v>
      </c>
      <c r="B152" s="48" t="s">
        <v>430</v>
      </c>
      <c r="C152" s="49" t="s">
        <v>427</v>
      </c>
      <c r="D152" s="50">
        <v>39096</v>
      </c>
      <c r="E152" s="51">
        <v>122.89019999999999</v>
      </c>
    </row>
    <row r="153" spans="1:5" x14ac:dyDescent="0.35">
      <c r="A153" s="48" t="s">
        <v>306</v>
      </c>
      <c r="B153" s="48" t="s">
        <v>431</v>
      </c>
      <c r="C153" s="49" t="s">
        <v>427</v>
      </c>
      <c r="D153" s="50">
        <v>39104</v>
      </c>
      <c r="E153" s="51">
        <v>121.1307</v>
      </c>
    </row>
    <row r="154" spans="1:5" x14ac:dyDescent="0.35">
      <c r="A154" s="48" t="s">
        <v>306</v>
      </c>
      <c r="B154" s="48" t="s">
        <v>432</v>
      </c>
      <c r="C154" s="49" t="s">
        <v>427</v>
      </c>
      <c r="D154" s="50">
        <v>39105</v>
      </c>
      <c r="E154" s="51">
        <v>138.51929999999999</v>
      </c>
    </row>
    <row r="155" spans="1:5" x14ac:dyDescent="0.35">
      <c r="A155" s="48" t="s">
        <v>300</v>
      </c>
      <c r="B155" s="48" t="s">
        <v>433</v>
      </c>
      <c r="C155" s="49" t="s">
        <v>427</v>
      </c>
      <c r="D155" s="50">
        <v>39112</v>
      </c>
      <c r="E155" s="51">
        <v>142.47020000000001</v>
      </c>
    </row>
    <row r="156" spans="1:5" x14ac:dyDescent="0.35">
      <c r="A156" s="48" t="s">
        <v>304</v>
      </c>
      <c r="B156" s="48" t="s">
        <v>434</v>
      </c>
      <c r="C156" s="49" t="s">
        <v>427</v>
      </c>
      <c r="D156" s="50">
        <v>39117</v>
      </c>
      <c r="E156" s="51">
        <v>139.1114</v>
      </c>
    </row>
    <row r="157" spans="1:5" x14ac:dyDescent="0.35">
      <c r="A157" s="48" t="s">
        <v>306</v>
      </c>
      <c r="B157" s="48" t="s">
        <v>429</v>
      </c>
      <c r="C157" s="49" t="s">
        <v>427</v>
      </c>
      <c r="D157" s="50">
        <v>39118</v>
      </c>
      <c r="E157" s="51">
        <v>123.67910000000001</v>
      </c>
    </row>
    <row r="158" spans="1:5" x14ac:dyDescent="0.35">
      <c r="A158" s="48" t="s">
        <v>306</v>
      </c>
      <c r="B158" s="48" t="s">
        <v>435</v>
      </c>
      <c r="C158" s="49" t="s">
        <v>427</v>
      </c>
      <c r="D158" s="50">
        <v>39118</v>
      </c>
      <c r="E158" s="51">
        <v>121.1307</v>
      </c>
    </row>
    <row r="159" spans="1:5" x14ac:dyDescent="0.35">
      <c r="A159" s="48" t="s">
        <v>306</v>
      </c>
      <c r="B159" s="48" t="s">
        <v>436</v>
      </c>
      <c r="C159" s="49" t="s">
        <v>427</v>
      </c>
      <c r="D159" s="50">
        <v>39122</v>
      </c>
      <c r="E159" s="51">
        <v>122.89019999999999</v>
      </c>
    </row>
    <row r="160" spans="1:5" x14ac:dyDescent="0.35">
      <c r="A160" s="48" t="s">
        <v>306</v>
      </c>
      <c r="B160" s="48" t="s">
        <v>437</v>
      </c>
      <c r="C160" s="49" t="s">
        <v>427</v>
      </c>
      <c r="D160" s="50">
        <v>39124</v>
      </c>
      <c r="E160" s="51">
        <v>123.67910000000001</v>
      </c>
    </row>
    <row r="161" spans="1:5" x14ac:dyDescent="0.35">
      <c r="A161" s="48" t="s">
        <v>300</v>
      </c>
      <c r="B161" s="48" t="s">
        <v>438</v>
      </c>
      <c r="C161" s="49" t="s">
        <v>427</v>
      </c>
      <c r="D161" s="50">
        <v>39124</v>
      </c>
      <c r="E161" s="51">
        <v>125.0718</v>
      </c>
    </row>
    <row r="162" spans="1:5" x14ac:dyDescent="0.35">
      <c r="A162" s="48" t="s">
        <v>306</v>
      </c>
      <c r="B162" s="48" t="s">
        <v>439</v>
      </c>
      <c r="C162" s="49" t="s">
        <v>427</v>
      </c>
      <c r="D162" s="50">
        <v>39125</v>
      </c>
      <c r="E162" s="51">
        <v>127.1681</v>
      </c>
    </row>
    <row r="163" spans="1:5" x14ac:dyDescent="0.35">
      <c r="A163" s="48" t="s">
        <v>304</v>
      </c>
      <c r="B163" s="48" t="s">
        <v>440</v>
      </c>
      <c r="C163" s="49" t="s">
        <v>427</v>
      </c>
      <c r="D163" s="50">
        <v>39125</v>
      </c>
      <c r="E163" s="51">
        <v>139.1114</v>
      </c>
    </row>
    <row r="164" spans="1:5" x14ac:dyDescent="0.35">
      <c r="A164" s="48" t="s">
        <v>300</v>
      </c>
      <c r="B164" s="48" t="s">
        <v>441</v>
      </c>
      <c r="C164" s="49" t="s">
        <v>427</v>
      </c>
      <c r="D164" s="50">
        <v>39126</v>
      </c>
      <c r="E164" s="51">
        <v>109.53230000000001</v>
      </c>
    </row>
    <row r="165" spans="1:5" x14ac:dyDescent="0.35">
      <c r="A165" s="48" t="s">
        <v>306</v>
      </c>
      <c r="B165" s="48" t="s">
        <v>442</v>
      </c>
      <c r="C165" s="49" t="s">
        <v>427</v>
      </c>
      <c r="D165" s="50">
        <v>39130</v>
      </c>
      <c r="E165" s="51">
        <v>122.89019999999999</v>
      </c>
    </row>
    <row r="166" spans="1:5" x14ac:dyDescent="0.35">
      <c r="A166" s="48" t="s">
        <v>306</v>
      </c>
      <c r="B166" s="48" t="s">
        <v>443</v>
      </c>
      <c r="C166" s="49" t="s">
        <v>427</v>
      </c>
      <c r="D166" s="50">
        <v>39130</v>
      </c>
      <c r="E166" s="51">
        <v>121.1307</v>
      </c>
    </row>
    <row r="167" spans="1:5" x14ac:dyDescent="0.35">
      <c r="A167" s="48" t="s">
        <v>306</v>
      </c>
      <c r="B167" s="48" t="s">
        <v>444</v>
      </c>
      <c r="C167" s="49" t="s">
        <v>427</v>
      </c>
      <c r="D167" s="50">
        <v>39131</v>
      </c>
      <c r="E167" s="51">
        <v>121.1307</v>
      </c>
    </row>
    <row r="168" spans="1:5" x14ac:dyDescent="0.35">
      <c r="A168" s="48" t="s">
        <v>313</v>
      </c>
      <c r="B168" s="48" t="s">
        <v>445</v>
      </c>
      <c r="C168" s="49" t="s">
        <v>427</v>
      </c>
      <c r="D168" s="50">
        <v>39132</v>
      </c>
      <c r="E168" s="51">
        <v>145.02260000000001</v>
      </c>
    </row>
    <row r="169" spans="1:5" x14ac:dyDescent="0.35">
      <c r="A169" s="48" t="s">
        <v>313</v>
      </c>
      <c r="B169" s="48" t="s">
        <v>446</v>
      </c>
      <c r="C169" s="49" t="s">
        <v>427</v>
      </c>
      <c r="D169" s="50">
        <v>39133</v>
      </c>
      <c r="E169" s="51">
        <v>155.43700000000001</v>
      </c>
    </row>
    <row r="170" spans="1:5" x14ac:dyDescent="0.35">
      <c r="A170" s="48" t="s">
        <v>306</v>
      </c>
      <c r="B170" s="48" t="s">
        <v>436</v>
      </c>
      <c r="C170" s="49" t="s">
        <v>427</v>
      </c>
      <c r="D170" s="50">
        <v>39136</v>
      </c>
      <c r="E170" s="51">
        <v>122.89019999999999</v>
      </c>
    </row>
    <row r="171" spans="1:5" x14ac:dyDescent="0.35">
      <c r="A171" s="48" t="s">
        <v>306</v>
      </c>
      <c r="B171" s="48" t="s">
        <v>447</v>
      </c>
      <c r="C171" s="49" t="s">
        <v>427</v>
      </c>
      <c r="D171" s="50">
        <v>39136</v>
      </c>
      <c r="E171" s="51">
        <v>157.5171</v>
      </c>
    </row>
    <row r="172" spans="1:5" x14ac:dyDescent="0.35">
      <c r="A172" s="48" t="s">
        <v>306</v>
      </c>
      <c r="B172" s="48" t="s">
        <v>448</v>
      </c>
      <c r="C172" s="49" t="s">
        <v>427</v>
      </c>
      <c r="D172" s="50">
        <v>39137</v>
      </c>
      <c r="E172" s="51">
        <v>136.4366</v>
      </c>
    </row>
    <row r="173" spans="1:5" x14ac:dyDescent="0.35">
      <c r="A173" s="48" t="s">
        <v>306</v>
      </c>
      <c r="B173" s="48" t="s">
        <v>449</v>
      </c>
      <c r="C173" s="49" t="s">
        <v>427</v>
      </c>
      <c r="D173" s="50">
        <v>39137</v>
      </c>
      <c r="E173" s="51">
        <v>121.1307</v>
      </c>
    </row>
    <row r="174" spans="1:5" x14ac:dyDescent="0.35">
      <c r="A174" s="48" t="s">
        <v>313</v>
      </c>
      <c r="B174" s="48" t="s">
        <v>450</v>
      </c>
      <c r="C174" s="49" t="s">
        <v>427</v>
      </c>
      <c r="D174" s="50">
        <v>39139</v>
      </c>
      <c r="E174" s="51">
        <v>157.822</v>
      </c>
    </row>
    <row r="175" spans="1:5" x14ac:dyDescent="0.35">
      <c r="A175" s="48" t="s">
        <v>300</v>
      </c>
      <c r="B175" s="48" t="s">
        <v>451</v>
      </c>
      <c r="C175" s="49" t="s">
        <v>427</v>
      </c>
      <c r="D175" s="50">
        <v>39139</v>
      </c>
      <c r="E175" s="51">
        <v>110.79219999999999</v>
      </c>
    </row>
    <row r="176" spans="1:5" x14ac:dyDescent="0.35">
      <c r="A176" s="48" t="s">
        <v>306</v>
      </c>
      <c r="B176" s="48" t="s">
        <v>452</v>
      </c>
      <c r="C176" s="49" t="s">
        <v>427</v>
      </c>
      <c r="D176" s="50">
        <v>39140</v>
      </c>
      <c r="E176" s="51">
        <v>158.60230000000001</v>
      </c>
    </row>
    <row r="177" spans="1:5" x14ac:dyDescent="0.35">
      <c r="A177" s="48" t="s">
        <v>306</v>
      </c>
      <c r="B177" s="48" t="s">
        <v>453</v>
      </c>
      <c r="C177" s="49" t="s">
        <v>427</v>
      </c>
      <c r="D177" s="50">
        <v>39140</v>
      </c>
      <c r="E177" s="51">
        <v>157.5171</v>
      </c>
    </row>
    <row r="178" spans="1:5" x14ac:dyDescent="0.35">
      <c r="A178" s="48" t="s">
        <v>306</v>
      </c>
      <c r="B178" s="48" t="s">
        <v>454</v>
      </c>
      <c r="C178" s="49" t="s">
        <v>427</v>
      </c>
      <c r="D178" s="50">
        <v>39144</v>
      </c>
      <c r="E178" s="51">
        <v>123.67910000000001</v>
      </c>
    </row>
    <row r="179" spans="1:5" x14ac:dyDescent="0.35">
      <c r="A179" s="48" t="s">
        <v>313</v>
      </c>
      <c r="B179" s="48" t="s">
        <v>455</v>
      </c>
      <c r="C179" s="49" t="s">
        <v>427</v>
      </c>
      <c r="D179" s="50">
        <v>39146</v>
      </c>
      <c r="E179" s="51">
        <v>161.15479999999999</v>
      </c>
    </row>
    <row r="180" spans="1:5" x14ac:dyDescent="0.35">
      <c r="A180" s="48" t="s">
        <v>306</v>
      </c>
      <c r="B180" s="48" t="s">
        <v>350</v>
      </c>
      <c r="C180" s="49" t="s">
        <v>427</v>
      </c>
      <c r="D180" s="50">
        <v>39147</v>
      </c>
      <c r="E180" s="51">
        <v>157.5171</v>
      </c>
    </row>
    <row r="181" spans="1:5" x14ac:dyDescent="0.35">
      <c r="A181" s="48" t="s">
        <v>306</v>
      </c>
      <c r="B181" s="48" t="s">
        <v>456</v>
      </c>
      <c r="C181" s="49" t="s">
        <v>427</v>
      </c>
      <c r="D181" s="50">
        <v>39153</v>
      </c>
      <c r="E181" s="51">
        <v>158.60230000000001</v>
      </c>
    </row>
    <row r="182" spans="1:5" x14ac:dyDescent="0.35">
      <c r="A182" s="48" t="s">
        <v>313</v>
      </c>
      <c r="B182" s="48" t="s">
        <v>457</v>
      </c>
      <c r="C182" s="49" t="s">
        <v>427</v>
      </c>
      <c r="D182" s="50">
        <v>39157</v>
      </c>
      <c r="E182" s="51">
        <v>141.33619999999999</v>
      </c>
    </row>
    <row r="183" spans="1:5" x14ac:dyDescent="0.35">
      <c r="A183" s="48" t="s">
        <v>306</v>
      </c>
      <c r="B183" s="48" t="s">
        <v>458</v>
      </c>
      <c r="C183" s="49" t="s">
        <v>427</v>
      </c>
      <c r="D183" s="50">
        <v>39159</v>
      </c>
      <c r="E183" s="51">
        <v>138.24</v>
      </c>
    </row>
    <row r="184" spans="1:5" x14ac:dyDescent="0.35">
      <c r="A184" s="48" t="s">
        <v>306</v>
      </c>
      <c r="B184" s="48" t="s">
        <v>459</v>
      </c>
      <c r="C184" s="49" t="s">
        <v>427</v>
      </c>
      <c r="D184" s="50">
        <v>39165</v>
      </c>
      <c r="E184" s="51">
        <v>122.89019999999999</v>
      </c>
    </row>
    <row r="185" spans="1:5" x14ac:dyDescent="0.35">
      <c r="A185" s="48" t="s">
        <v>306</v>
      </c>
      <c r="B185" s="48" t="s">
        <v>402</v>
      </c>
      <c r="C185" s="49" t="s">
        <v>427</v>
      </c>
      <c r="D185" s="50">
        <v>39166</v>
      </c>
      <c r="E185" s="51">
        <v>157.5171</v>
      </c>
    </row>
    <row r="186" spans="1:5" x14ac:dyDescent="0.35">
      <c r="A186" s="48" t="s">
        <v>313</v>
      </c>
      <c r="B186" s="48" t="s">
        <v>357</v>
      </c>
      <c r="C186" s="49" t="s">
        <v>427</v>
      </c>
      <c r="D186" s="50">
        <v>39167</v>
      </c>
      <c r="E186" s="51">
        <v>157.9188</v>
      </c>
    </row>
    <row r="187" spans="1:5" x14ac:dyDescent="0.35">
      <c r="A187" s="48" t="s">
        <v>306</v>
      </c>
      <c r="B187" s="48" t="s">
        <v>460</v>
      </c>
      <c r="C187" s="49" t="s">
        <v>427</v>
      </c>
      <c r="D187" s="50">
        <v>39172</v>
      </c>
      <c r="E187" s="51">
        <v>138.24</v>
      </c>
    </row>
    <row r="188" spans="1:5" x14ac:dyDescent="0.35">
      <c r="A188" s="48" t="s">
        <v>304</v>
      </c>
      <c r="B188" s="48" t="s">
        <v>461</v>
      </c>
      <c r="C188" s="49" t="s">
        <v>427</v>
      </c>
      <c r="D188" s="50">
        <v>39172</v>
      </c>
      <c r="E188" s="51">
        <v>150.67850000000001</v>
      </c>
    </row>
    <row r="189" spans="1:5" x14ac:dyDescent="0.35">
      <c r="A189" s="48" t="s">
        <v>306</v>
      </c>
      <c r="B189" s="48" t="s">
        <v>462</v>
      </c>
      <c r="C189" s="49" t="s">
        <v>427</v>
      </c>
      <c r="D189" s="50">
        <v>39173</v>
      </c>
      <c r="E189" s="51">
        <v>123.67910000000001</v>
      </c>
    </row>
    <row r="190" spans="1:5" x14ac:dyDescent="0.35">
      <c r="A190" s="48" t="s">
        <v>300</v>
      </c>
      <c r="B190" s="48" t="s">
        <v>463</v>
      </c>
      <c r="C190" s="49" t="s">
        <v>427</v>
      </c>
      <c r="D190" s="50">
        <v>39173</v>
      </c>
      <c r="E190" s="51">
        <v>117.8608</v>
      </c>
    </row>
    <row r="191" spans="1:5" x14ac:dyDescent="0.35">
      <c r="A191" s="48" t="s">
        <v>313</v>
      </c>
      <c r="B191" s="48" t="s">
        <v>464</v>
      </c>
      <c r="C191" s="49" t="s">
        <v>427</v>
      </c>
      <c r="D191" s="50">
        <v>39175</v>
      </c>
      <c r="E191" s="51">
        <v>155.43700000000001</v>
      </c>
    </row>
    <row r="192" spans="1:5" x14ac:dyDescent="0.35">
      <c r="A192" s="48" t="s">
        <v>313</v>
      </c>
      <c r="B192" s="48" t="s">
        <v>389</v>
      </c>
      <c r="C192" s="49" t="s">
        <v>427</v>
      </c>
      <c r="D192" s="50">
        <v>39180</v>
      </c>
      <c r="E192" s="51">
        <v>149.3853</v>
      </c>
    </row>
    <row r="193" spans="1:5" x14ac:dyDescent="0.35">
      <c r="A193" s="48" t="s">
        <v>306</v>
      </c>
      <c r="B193" s="48" t="s">
        <v>465</v>
      </c>
      <c r="C193" s="49" t="s">
        <v>427</v>
      </c>
      <c r="D193" s="50">
        <v>39180</v>
      </c>
      <c r="E193" s="51">
        <v>122.89019999999999</v>
      </c>
    </row>
    <row r="194" spans="1:5" x14ac:dyDescent="0.35">
      <c r="A194" s="48" t="s">
        <v>306</v>
      </c>
      <c r="B194" s="48" t="s">
        <v>466</v>
      </c>
      <c r="C194" s="49" t="s">
        <v>427</v>
      </c>
      <c r="D194" s="50">
        <v>39181</v>
      </c>
      <c r="E194" s="51">
        <v>123.67910000000001</v>
      </c>
    </row>
    <row r="195" spans="1:5" x14ac:dyDescent="0.35">
      <c r="A195" s="48" t="s">
        <v>306</v>
      </c>
      <c r="B195" s="48" t="s">
        <v>467</v>
      </c>
      <c r="C195" s="49" t="s">
        <v>427</v>
      </c>
      <c r="D195" s="50">
        <v>39182</v>
      </c>
      <c r="E195" s="51">
        <v>121.1307</v>
      </c>
    </row>
    <row r="196" spans="1:5" x14ac:dyDescent="0.35">
      <c r="A196" s="48" t="s">
        <v>300</v>
      </c>
      <c r="B196" s="48" t="s">
        <v>468</v>
      </c>
      <c r="C196" s="49" t="s">
        <v>427</v>
      </c>
      <c r="D196" s="50">
        <v>39185</v>
      </c>
      <c r="E196" s="51">
        <v>156.3133</v>
      </c>
    </row>
    <row r="197" spans="1:5" x14ac:dyDescent="0.35">
      <c r="A197" s="48" t="s">
        <v>304</v>
      </c>
      <c r="B197" s="48" t="s">
        <v>469</v>
      </c>
      <c r="C197" s="49" t="s">
        <v>427</v>
      </c>
      <c r="D197" s="50">
        <v>39186</v>
      </c>
      <c r="E197" s="51">
        <v>150.67850000000001</v>
      </c>
    </row>
    <row r="198" spans="1:5" x14ac:dyDescent="0.35">
      <c r="A198" s="48" t="s">
        <v>304</v>
      </c>
      <c r="B198" s="48" t="s">
        <v>305</v>
      </c>
      <c r="C198" s="49" t="s">
        <v>427</v>
      </c>
      <c r="D198" s="50">
        <v>39188</v>
      </c>
      <c r="E198" s="51">
        <v>129.91820000000001</v>
      </c>
    </row>
    <row r="199" spans="1:5" x14ac:dyDescent="0.35">
      <c r="A199" s="48" t="s">
        <v>300</v>
      </c>
      <c r="B199" s="48" t="s">
        <v>433</v>
      </c>
      <c r="C199" s="49" t="s">
        <v>427</v>
      </c>
      <c r="D199" s="50">
        <v>39189</v>
      </c>
      <c r="E199" s="51">
        <v>142.47020000000001</v>
      </c>
    </row>
    <row r="200" spans="1:5" x14ac:dyDescent="0.35">
      <c r="A200" s="48" t="s">
        <v>306</v>
      </c>
      <c r="B200" s="48" t="s">
        <v>431</v>
      </c>
      <c r="C200" s="49" t="s">
        <v>427</v>
      </c>
      <c r="D200" s="50">
        <v>39189</v>
      </c>
      <c r="E200" s="51">
        <v>121.1307</v>
      </c>
    </row>
    <row r="201" spans="1:5" x14ac:dyDescent="0.35">
      <c r="A201" s="48" t="s">
        <v>306</v>
      </c>
      <c r="B201" s="48" t="s">
        <v>470</v>
      </c>
      <c r="C201" s="49" t="s">
        <v>427</v>
      </c>
      <c r="D201" s="50">
        <v>39192</v>
      </c>
      <c r="E201" s="51">
        <v>122.89019999999999</v>
      </c>
    </row>
    <row r="202" spans="1:5" x14ac:dyDescent="0.35">
      <c r="A202" s="48" t="s">
        <v>313</v>
      </c>
      <c r="B202" s="48" t="s">
        <v>471</v>
      </c>
      <c r="C202" s="49" t="s">
        <v>427</v>
      </c>
      <c r="D202" s="50">
        <v>39195</v>
      </c>
      <c r="E202" s="51">
        <v>157.9188</v>
      </c>
    </row>
    <row r="203" spans="1:5" x14ac:dyDescent="0.35">
      <c r="A203" s="48" t="s">
        <v>313</v>
      </c>
      <c r="B203" s="48" t="s">
        <v>472</v>
      </c>
      <c r="C203" s="49" t="s">
        <v>427</v>
      </c>
      <c r="D203" s="50">
        <v>39195</v>
      </c>
      <c r="E203" s="51">
        <v>161.15479999999999</v>
      </c>
    </row>
    <row r="204" spans="1:5" x14ac:dyDescent="0.35">
      <c r="A204" s="48" t="s">
        <v>306</v>
      </c>
      <c r="B204" s="48" t="s">
        <v>473</v>
      </c>
      <c r="C204" s="49" t="s">
        <v>427</v>
      </c>
      <c r="D204" s="50">
        <v>39196</v>
      </c>
      <c r="E204" s="51">
        <v>123.67910000000001</v>
      </c>
    </row>
    <row r="205" spans="1:5" x14ac:dyDescent="0.35">
      <c r="A205" s="48" t="s">
        <v>306</v>
      </c>
      <c r="B205" s="48" t="s">
        <v>459</v>
      </c>
      <c r="C205" s="49" t="s">
        <v>427</v>
      </c>
      <c r="D205" s="50">
        <v>39196</v>
      </c>
      <c r="E205" s="51">
        <v>122.89019999999999</v>
      </c>
    </row>
    <row r="206" spans="1:5" x14ac:dyDescent="0.35">
      <c r="A206" s="48" t="s">
        <v>300</v>
      </c>
      <c r="B206" s="48" t="s">
        <v>474</v>
      </c>
      <c r="C206" s="49" t="s">
        <v>427</v>
      </c>
      <c r="D206" s="50">
        <v>39196</v>
      </c>
      <c r="E206" s="51">
        <v>117.8608</v>
      </c>
    </row>
    <row r="207" spans="1:5" x14ac:dyDescent="0.35">
      <c r="A207" s="48" t="s">
        <v>306</v>
      </c>
      <c r="B207" s="48" t="s">
        <v>475</v>
      </c>
      <c r="C207" s="49" t="s">
        <v>427</v>
      </c>
      <c r="D207" s="50">
        <v>39196</v>
      </c>
      <c r="E207" s="51">
        <v>157.5171</v>
      </c>
    </row>
    <row r="208" spans="1:5" x14ac:dyDescent="0.35">
      <c r="A208" s="48" t="s">
        <v>313</v>
      </c>
      <c r="B208" s="48" t="s">
        <v>347</v>
      </c>
      <c r="C208" s="49" t="s">
        <v>427</v>
      </c>
      <c r="D208" s="50">
        <v>39201</v>
      </c>
      <c r="E208" s="51">
        <v>178.99520000000001</v>
      </c>
    </row>
    <row r="209" spans="1:5" x14ac:dyDescent="0.35">
      <c r="A209" s="48" t="s">
        <v>300</v>
      </c>
      <c r="B209" s="48" t="s">
        <v>476</v>
      </c>
      <c r="C209" s="49" t="s">
        <v>427</v>
      </c>
      <c r="D209" s="50">
        <v>39202</v>
      </c>
      <c r="E209" s="51">
        <v>125.0718</v>
      </c>
    </row>
    <row r="210" spans="1:5" x14ac:dyDescent="0.35">
      <c r="A210" s="48" t="s">
        <v>304</v>
      </c>
      <c r="B210" s="48" t="s">
        <v>477</v>
      </c>
      <c r="C210" s="49" t="s">
        <v>427</v>
      </c>
      <c r="D210" s="50">
        <v>39202</v>
      </c>
      <c r="E210" s="51">
        <v>142.50970000000001</v>
      </c>
    </row>
    <row r="211" spans="1:5" x14ac:dyDescent="0.35">
      <c r="A211" s="48" t="s">
        <v>304</v>
      </c>
      <c r="B211" s="48" t="s">
        <v>478</v>
      </c>
      <c r="C211" s="49" t="s">
        <v>427</v>
      </c>
      <c r="D211" s="50">
        <v>39203</v>
      </c>
      <c r="E211" s="51">
        <v>145.00890000000001</v>
      </c>
    </row>
    <row r="212" spans="1:5" x14ac:dyDescent="0.35">
      <c r="A212" s="48" t="s">
        <v>306</v>
      </c>
      <c r="B212" s="48" t="s">
        <v>479</v>
      </c>
      <c r="C212" s="49" t="s">
        <v>427</v>
      </c>
      <c r="D212" s="50">
        <v>39206</v>
      </c>
      <c r="E212" s="51">
        <v>137.0196</v>
      </c>
    </row>
    <row r="213" spans="1:5" x14ac:dyDescent="0.35">
      <c r="A213" s="48" t="s">
        <v>304</v>
      </c>
      <c r="B213" s="48" t="s">
        <v>480</v>
      </c>
      <c r="C213" s="49" t="s">
        <v>427</v>
      </c>
      <c r="D213" s="50">
        <v>39206</v>
      </c>
      <c r="E213" s="51">
        <v>150.67850000000001</v>
      </c>
    </row>
    <row r="214" spans="1:5" x14ac:dyDescent="0.35">
      <c r="A214" s="48" t="s">
        <v>300</v>
      </c>
      <c r="B214" s="48" t="s">
        <v>481</v>
      </c>
      <c r="C214" s="49" t="s">
        <v>427</v>
      </c>
      <c r="D214" s="50">
        <v>39208</v>
      </c>
      <c r="E214" s="51">
        <v>146.52520000000001</v>
      </c>
    </row>
    <row r="215" spans="1:5" x14ac:dyDescent="0.35">
      <c r="A215" s="48" t="s">
        <v>306</v>
      </c>
      <c r="B215" s="48" t="s">
        <v>482</v>
      </c>
      <c r="C215" s="49" t="s">
        <v>427</v>
      </c>
      <c r="D215" s="50">
        <v>39208</v>
      </c>
      <c r="E215" s="51">
        <v>158.60230000000001</v>
      </c>
    </row>
    <row r="216" spans="1:5" x14ac:dyDescent="0.35">
      <c r="A216" s="48" t="s">
        <v>306</v>
      </c>
      <c r="B216" s="48" t="s">
        <v>483</v>
      </c>
      <c r="C216" s="49" t="s">
        <v>427</v>
      </c>
      <c r="D216" s="50">
        <v>39208</v>
      </c>
      <c r="E216" s="51">
        <v>157.5171</v>
      </c>
    </row>
    <row r="217" spans="1:5" x14ac:dyDescent="0.35">
      <c r="A217" s="48" t="s">
        <v>306</v>
      </c>
      <c r="B217" s="48" t="s">
        <v>484</v>
      </c>
      <c r="C217" s="49" t="s">
        <v>427</v>
      </c>
      <c r="D217" s="50">
        <v>39210</v>
      </c>
      <c r="E217" s="51">
        <v>157.5171</v>
      </c>
    </row>
    <row r="218" spans="1:5" x14ac:dyDescent="0.35">
      <c r="A218" s="48" t="s">
        <v>313</v>
      </c>
      <c r="B218" s="48" t="s">
        <v>347</v>
      </c>
      <c r="C218" s="49" t="s">
        <v>427</v>
      </c>
      <c r="D218" s="50">
        <v>39213</v>
      </c>
      <c r="E218" s="51">
        <v>178.99520000000001</v>
      </c>
    </row>
    <row r="219" spans="1:5" x14ac:dyDescent="0.35">
      <c r="A219" s="48" t="s">
        <v>313</v>
      </c>
      <c r="B219" s="48" t="s">
        <v>485</v>
      </c>
      <c r="C219" s="49" t="s">
        <v>427</v>
      </c>
      <c r="D219" s="50">
        <v>39214</v>
      </c>
      <c r="E219" s="51">
        <v>157.9188</v>
      </c>
    </row>
    <row r="220" spans="1:5" x14ac:dyDescent="0.35">
      <c r="A220" s="48" t="s">
        <v>313</v>
      </c>
      <c r="B220" s="48" t="s">
        <v>486</v>
      </c>
      <c r="C220" s="49" t="s">
        <v>427</v>
      </c>
      <c r="D220" s="50">
        <v>39220</v>
      </c>
      <c r="E220" s="51">
        <v>149.3853</v>
      </c>
    </row>
    <row r="221" spans="1:5" x14ac:dyDescent="0.35">
      <c r="A221" s="48" t="s">
        <v>306</v>
      </c>
      <c r="B221" s="48" t="s">
        <v>487</v>
      </c>
      <c r="C221" s="49" t="s">
        <v>427</v>
      </c>
      <c r="D221" s="50">
        <v>39221</v>
      </c>
      <c r="E221" s="51">
        <v>122.89019999999999</v>
      </c>
    </row>
    <row r="222" spans="1:5" x14ac:dyDescent="0.35">
      <c r="A222" s="48" t="s">
        <v>313</v>
      </c>
      <c r="B222" s="48" t="s">
        <v>342</v>
      </c>
      <c r="C222" s="49" t="s">
        <v>427</v>
      </c>
      <c r="D222" s="50">
        <v>39221</v>
      </c>
      <c r="E222" s="51">
        <v>161.15479999999999</v>
      </c>
    </row>
    <row r="223" spans="1:5" x14ac:dyDescent="0.35">
      <c r="A223" s="48" t="s">
        <v>300</v>
      </c>
      <c r="B223" s="48" t="s">
        <v>488</v>
      </c>
      <c r="C223" s="49" t="s">
        <v>427</v>
      </c>
      <c r="D223" s="50">
        <v>39222</v>
      </c>
      <c r="E223" s="51">
        <v>109.53230000000001</v>
      </c>
    </row>
    <row r="224" spans="1:5" x14ac:dyDescent="0.35">
      <c r="A224" s="48" t="s">
        <v>300</v>
      </c>
      <c r="B224" s="48" t="s">
        <v>489</v>
      </c>
      <c r="C224" s="49" t="s">
        <v>427</v>
      </c>
      <c r="D224" s="50">
        <v>39224</v>
      </c>
      <c r="E224" s="51">
        <v>125.0718</v>
      </c>
    </row>
    <row r="225" spans="1:5" x14ac:dyDescent="0.35">
      <c r="A225" s="48" t="s">
        <v>304</v>
      </c>
      <c r="B225" s="48" t="s">
        <v>440</v>
      </c>
      <c r="C225" s="49" t="s">
        <v>427</v>
      </c>
      <c r="D225" s="50">
        <v>39230</v>
      </c>
      <c r="E225" s="51">
        <v>139.1114</v>
      </c>
    </row>
    <row r="226" spans="1:5" x14ac:dyDescent="0.35">
      <c r="A226" s="48" t="s">
        <v>306</v>
      </c>
      <c r="B226" s="48" t="s">
        <v>350</v>
      </c>
      <c r="C226" s="49" t="s">
        <v>427</v>
      </c>
      <c r="D226" s="50">
        <v>39231</v>
      </c>
      <c r="E226" s="51">
        <v>157.5171</v>
      </c>
    </row>
    <row r="227" spans="1:5" x14ac:dyDescent="0.35">
      <c r="A227" s="48" t="s">
        <v>306</v>
      </c>
      <c r="B227" s="48" t="s">
        <v>490</v>
      </c>
      <c r="C227" s="49" t="s">
        <v>427</v>
      </c>
      <c r="D227" s="50">
        <v>39234</v>
      </c>
      <c r="E227" s="51">
        <v>126.3828</v>
      </c>
    </row>
    <row r="228" spans="1:5" x14ac:dyDescent="0.35">
      <c r="A228" s="48" t="s">
        <v>300</v>
      </c>
      <c r="B228" s="48" t="s">
        <v>433</v>
      </c>
      <c r="C228" s="49" t="s">
        <v>427</v>
      </c>
      <c r="D228" s="50">
        <v>39241</v>
      </c>
      <c r="E228" s="51">
        <v>142.47020000000001</v>
      </c>
    </row>
    <row r="229" spans="1:5" x14ac:dyDescent="0.35">
      <c r="A229" s="48" t="s">
        <v>313</v>
      </c>
      <c r="B229" s="48" t="s">
        <v>491</v>
      </c>
      <c r="C229" s="49" t="s">
        <v>427</v>
      </c>
      <c r="D229" s="50">
        <v>39241</v>
      </c>
      <c r="E229" s="51">
        <v>161.15479999999999</v>
      </c>
    </row>
    <row r="230" spans="1:5" x14ac:dyDescent="0.35">
      <c r="A230" s="48" t="s">
        <v>313</v>
      </c>
      <c r="B230" s="48" t="s">
        <v>492</v>
      </c>
      <c r="C230" s="49" t="s">
        <v>427</v>
      </c>
      <c r="D230" s="50">
        <v>39243</v>
      </c>
      <c r="E230" s="51">
        <v>145.02260000000001</v>
      </c>
    </row>
    <row r="231" spans="1:5" x14ac:dyDescent="0.35">
      <c r="A231" s="48" t="s">
        <v>304</v>
      </c>
      <c r="B231" s="48" t="s">
        <v>493</v>
      </c>
      <c r="C231" s="49" t="s">
        <v>427</v>
      </c>
      <c r="D231" s="50">
        <v>39243</v>
      </c>
      <c r="E231" s="51">
        <v>150.67850000000001</v>
      </c>
    </row>
    <row r="232" spans="1:5" x14ac:dyDescent="0.35">
      <c r="A232" s="48" t="s">
        <v>306</v>
      </c>
      <c r="B232" s="48" t="s">
        <v>348</v>
      </c>
      <c r="C232" s="49" t="s">
        <v>427</v>
      </c>
      <c r="D232" s="50">
        <v>39244</v>
      </c>
      <c r="E232" s="51">
        <v>138.51929999999999</v>
      </c>
    </row>
    <row r="233" spans="1:5" x14ac:dyDescent="0.35">
      <c r="A233" s="48" t="s">
        <v>300</v>
      </c>
      <c r="B233" s="48" t="s">
        <v>494</v>
      </c>
      <c r="C233" s="49" t="s">
        <v>427</v>
      </c>
      <c r="D233" s="50">
        <v>39248</v>
      </c>
      <c r="E233" s="51">
        <v>125.0718</v>
      </c>
    </row>
    <row r="234" spans="1:5" x14ac:dyDescent="0.35">
      <c r="A234" s="48" t="s">
        <v>313</v>
      </c>
      <c r="B234" s="48" t="s">
        <v>376</v>
      </c>
      <c r="C234" s="49" t="s">
        <v>427</v>
      </c>
      <c r="D234" s="50">
        <v>39249</v>
      </c>
      <c r="E234" s="51">
        <v>157.9188</v>
      </c>
    </row>
    <row r="235" spans="1:5" x14ac:dyDescent="0.35">
      <c r="A235" s="48" t="s">
        <v>306</v>
      </c>
      <c r="B235" s="48" t="s">
        <v>495</v>
      </c>
      <c r="C235" s="49" t="s">
        <v>427</v>
      </c>
      <c r="D235" s="50">
        <v>39249</v>
      </c>
      <c r="E235" s="51">
        <v>157.5171</v>
      </c>
    </row>
    <row r="236" spans="1:5" x14ac:dyDescent="0.35">
      <c r="A236" s="48" t="s">
        <v>304</v>
      </c>
      <c r="B236" s="48" t="s">
        <v>305</v>
      </c>
      <c r="C236" s="49" t="s">
        <v>427</v>
      </c>
      <c r="D236" s="50">
        <v>39249</v>
      </c>
      <c r="E236" s="51">
        <v>129.91820000000001</v>
      </c>
    </row>
    <row r="237" spans="1:5" x14ac:dyDescent="0.35">
      <c r="A237" s="48" t="s">
        <v>300</v>
      </c>
      <c r="B237" s="48" t="s">
        <v>345</v>
      </c>
      <c r="C237" s="49" t="s">
        <v>427</v>
      </c>
      <c r="D237" s="50">
        <v>39250</v>
      </c>
      <c r="E237" s="51">
        <v>156.3133</v>
      </c>
    </row>
    <row r="238" spans="1:5" x14ac:dyDescent="0.35">
      <c r="A238" s="48" t="s">
        <v>306</v>
      </c>
      <c r="B238" s="48" t="s">
        <v>373</v>
      </c>
      <c r="C238" s="49" t="s">
        <v>427</v>
      </c>
      <c r="D238" s="50">
        <v>39252</v>
      </c>
      <c r="E238" s="51">
        <v>138.24</v>
      </c>
    </row>
    <row r="239" spans="1:5" x14ac:dyDescent="0.35">
      <c r="A239" s="48" t="s">
        <v>313</v>
      </c>
      <c r="B239" s="48" t="s">
        <v>496</v>
      </c>
      <c r="C239" s="49" t="s">
        <v>427</v>
      </c>
      <c r="D239" s="50">
        <v>39273</v>
      </c>
      <c r="E239" s="51">
        <v>178.99520000000001</v>
      </c>
    </row>
    <row r="240" spans="1:5" x14ac:dyDescent="0.35">
      <c r="A240" s="48" t="s">
        <v>306</v>
      </c>
      <c r="B240" s="48" t="s">
        <v>497</v>
      </c>
      <c r="C240" s="49" t="s">
        <v>427</v>
      </c>
      <c r="D240" s="50">
        <v>39276</v>
      </c>
      <c r="E240" s="51">
        <v>138.51929999999999</v>
      </c>
    </row>
    <row r="241" spans="1:5" x14ac:dyDescent="0.35">
      <c r="A241" s="48" t="s">
        <v>306</v>
      </c>
      <c r="B241" s="48" t="s">
        <v>498</v>
      </c>
      <c r="C241" s="49" t="s">
        <v>427</v>
      </c>
      <c r="D241" s="50">
        <v>39278</v>
      </c>
      <c r="E241" s="51">
        <v>137.0196</v>
      </c>
    </row>
    <row r="242" spans="1:5" x14ac:dyDescent="0.35">
      <c r="A242" s="48" t="s">
        <v>306</v>
      </c>
      <c r="B242" s="48" t="s">
        <v>499</v>
      </c>
      <c r="C242" s="49" t="s">
        <v>427</v>
      </c>
      <c r="D242" s="50">
        <v>39280</v>
      </c>
      <c r="E242" s="51">
        <v>136.4366</v>
      </c>
    </row>
    <row r="243" spans="1:5" x14ac:dyDescent="0.35">
      <c r="A243" s="48" t="s">
        <v>306</v>
      </c>
      <c r="B243" s="48" t="s">
        <v>348</v>
      </c>
      <c r="C243" s="49" t="s">
        <v>427</v>
      </c>
      <c r="D243" s="50">
        <v>39287</v>
      </c>
      <c r="E243" s="51">
        <v>138.51929999999999</v>
      </c>
    </row>
    <row r="244" spans="1:5" x14ac:dyDescent="0.35">
      <c r="A244" s="48" t="s">
        <v>313</v>
      </c>
      <c r="B244" s="48" t="s">
        <v>342</v>
      </c>
      <c r="C244" s="49" t="s">
        <v>427</v>
      </c>
      <c r="D244" s="50">
        <v>39287</v>
      </c>
      <c r="E244" s="51">
        <v>161.15479999999999</v>
      </c>
    </row>
    <row r="245" spans="1:5" x14ac:dyDescent="0.35">
      <c r="A245" s="48" t="s">
        <v>300</v>
      </c>
      <c r="B245" s="48" t="s">
        <v>474</v>
      </c>
      <c r="C245" s="49" t="s">
        <v>427</v>
      </c>
      <c r="D245" s="50">
        <v>39290</v>
      </c>
      <c r="E245" s="51">
        <v>117.8608</v>
      </c>
    </row>
    <row r="246" spans="1:5" x14ac:dyDescent="0.35">
      <c r="A246" s="48" t="s">
        <v>306</v>
      </c>
      <c r="B246" s="48" t="s">
        <v>500</v>
      </c>
      <c r="C246" s="49" t="s">
        <v>427</v>
      </c>
      <c r="D246" s="50">
        <v>39290</v>
      </c>
      <c r="E246" s="51">
        <v>126.3828</v>
      </c>
    </row>
    <row r="247" spans="1:5" x14ac:dyDescent="0.35">
      <c r="A247" s="48" t="s">
        <v>313</v>
      </c>
      <c r="B247" s="48" t="s">
        <v>464</v>
      </c>
      <c r="C247" s="49" t="s">
        <v>427</v>
      </c>
      <c r="D247" s="50">
        <v>39290</v>
      </c>
      <c r="E247" s="51">
        <v>155.43700000000001</v>
      </c>
    </row>
    <row r="248" spans="1:5" x14ac:dyDescent="0.35">
      <c r="A248" s="48" t="s">
        <v>313</v>
      </c>
      <c r="B248" s="48" t="s">
        <v>501</v>
      </c>
      <c r="C248" s="49" t="s">
        <v>427</v>
      </c>
      <c r="D248" s="50">
        <v>39291</v>
      </c>
      <c r="E248" s="51">
        <v>157.9188</v>
      </c>
    </row>
    <row r="249" spans="1:5" x14ac:dyDescent="0.35">
      <c r="A249" s="48" t="s">
        <v>306</v>
      </c>
      <c r="B249" s="48" t="s">
        <v>502</v>
      </c>
      <c r="C249" s="49" t="s">
        <v>427</v>
      </c>
      <c r="D249" s="50">
        <v>39291</v>
      </c>
      <c r="E249" s="51">
        <v>126.3828</v>
      </c>
    </row>
    <row r="250" spans="1:5" x14ac:dyDescent="0.35">
      <c r="A250" s="48" t="s">
        <v>306</v>
      </c>
      <c r="B250" s="48" t="s">
        <v>437</v>
      </c>
      <c r="C250" s="49" t="s">
        <v>427</v>
      </c>
      <c r="D250" s="50">
        <v>39292</v>
      </c>
      <c r="E250" s="51">
        <v>123.67910000000001</v>
      </c>
    </row>
    <row r="251" spans="1:5" x14ac:dyDescent="0.35">
      <c r="A251" s="48" t="s">
        <v>306</v>
      </c>
      <c r="B251" s="48" t="s">
        <v>503</v>
      </c>
      <c r="C251" s="49" t="s">
        <v>427</v>
      </c>
      <c r="D251" s="50">
        <v>39292</v>
      </c>
      <c r="E251" s="51">
        <v>138.24</v>
      </c>
    </row>
    <row r="252" spans="1:5" x14ac:dyDescent="0.35">
      <c r="A252" s="48" t="s">
        <v>306</v>
      </c>
      <c r="B252" s="48" t="s">
        <v>504</v>
      </c>
      <c r="C252" s="49" t="s">
        <v>427</v>
      </c>
      <c r="D252" s="50">
        <v>39294</v>
      </c>
      <c r="E252" s="51">
        <v>123.67910000000001</v>
      </c>
    </row>
    <row r="253" spans="1:5" x14ac:dyDescent="0.35">
      <c r="A253" s="48" t="s">
        <v>313</v>
      </c>
      <c r="B253" s="48" t="s">
        <v>505</v>
      </c>
      <c r="C253" s="49" t="s">
        <v>427</v>
      </c>
      <c r="D253" s="50">
        <v>39299</v>
      </c>
      <c r="E253" s="51">
        <v>157.822</v>
      </c>
    </row>
    <row r="254" spans="1:5" x14ac:dyDescent="0.35">
      <c r="A254" s="48" t="s">
        <v>313</v>
      </c>
      <c r="B254" s="48" t="s">
        <v>376</v>
      </c>
      <c r="C254" s="49" t="s">
        <v>427</v>
      </c>
      <c r="D254" s="50">
        <v>39299</v>
      </c>
      <c r="E254" s="51">
        <v>157.9188</v>
      </c>
    </row>
    <row r="255" spans="1:5" x14ac:dyDescent="0.35">
      <c r="A255" s="48" t="s">
        <v>306</v>
      </c>
      <c r="B255" s="48" t="s">
        <v>506</v>
      </c>
      <c r="C255" s="49" t="s">
        <v>427</v>
      </c>
      <c r="D255" s="50">
        <v>39300</v>
      </c>
      <c r="E255" s="51">
        <v>123.67910000000001</v>
      </c>
    </row>
    <row r="256" spans="1:5" x14ac:dyDescent="0.35">
      <c r="A256" s="48" t="s">
        <v>306</v>
      </c>
      <c r="B256" s="48" t="s">
        <v>507</v>
      </c>
      <c r="C256" s="49" t="s">
        <v>427</v>
      </c>
      <c r="D256" s="50">
        <v>39301</v>
      </c>
      <c r="E256" s="51">
        <v>126.3828</v>
      </c>
    </row>
    <row r="257" spans="1:5" x14ac:dyDescent="0.35">
      <c r="A257" s="48" t="s">
        <v>300</v>
      </c>
      <c r="B257" s="48" t="s">
        <v>508</v>
      </c>
      <c r="C257" s="49" t="s">
        <v>427</v>
      </c>
      <c r="D257" s="50">
        <v>39304</v>
      </c>
      <c r="E257" s="51">
        <v>117.8608</v>
      </c>
    </row>
    <row r="258" spans="1:5" x14ac:dyDescent="0.35">
      <c r="A258" s="48" t="s">
        <v>300</v>
      </c>
      <c r="B258" s="48" t="s">
        <v>488</v>
      </c>
      <c r="C258" s="49" t="s">
        <v>427</v>
      </c>
      <c r="D258" s="50">
        <v>39307</v>
      </c>
      <c r="E258" s="51">
        <v>109.53230000000001</v>
      </c>
    </row>
    <row r="259" spans="1:5" x14ac:dyDescent="0.35">
      <c r="A259" s="48" t="s">
        <v>306</v>
      </c>
      <c r="B259" s="48" t="s">
        <v>380</v>
      </c>
      <c r="C259" s="49" t="s">
        <v>427</v>
      </c>
      <c r="D259" s="50">
        <v>39308</v>
      </c>
      <c r="E259" s="51">
        <v>137.0196</v>
      </c>
    </row>
    <row r="260" spans="1:5" x14ac:dyDescent="0.35">
      <c r="A260" s="48" t="s">
        <v>306</v>
      </c>
      <c r="B260" s="48" t="s">
        <v>509</v>
      </c>
      <c r="C260" s="49" t="s">
        <v>427</v>
      </c>
      <c r="D260" s="50">
        <v>39313</v>
      </c>
      <c r="E260" s="51">
        <v>137.0196</v>
      </c>
    </row>
    <row r="261" spans="1:5" x14ac:dyDescent="0.35">
      <c r="A261" s="48" t="s">
        <v>304</v>
      </c>
      <c r="B261" s="48" t="s">
        <v>479</v>
      </c>
      <c r="C261" s="49" t="s">
        <v>427</v>
      </c>
      <c r="D261" s="50">
        <v>39313</v>
      </c>
      <c r="E261" s="51">
        <v>130.5522</v>
      </c>
    </row>
    <row r="262" spans="1:5" x14ac:dyDescent="0.35">
      <c r="A262" s="48" t="s">
        <v>300</v>
      </c>
      <c r="B262" s="48" t="s">
        <v>510</v>
      </c>
      <c r="C262" s="49" t="s">
        <v>427</v>
      </c>
      <c r="D262" s="50">
        <v>39318</v>
      </c>
      <c r="E262" s="51">
        <v>146.52520000000001</v>
      </c>
    </row>
    <row r="263" spans="1:5" x14ac:dyDescent="0.35">
      <c r="A263" s="48" t="s">
        <v>313</v>
      </c>
      <c r="B263" s="48" t="s">
        <v>455</v>
      </c>
      <c r="C263" s="49" t="s">
        <v>427</v>
      </c>
      <c r="D263" s="50">
        <v>39325</v>
      </c>
      <c r="E263" s="51">
        <v>161.15479999999999</v>
      </c>
    </row>
    <row r="264" spans="1:5" x14ac:dyDescent="0.35">
      <c r="A264" s="48" t="s">
        <v>304</v>
      </c>
      <c r="B264" s="48" t="s">
        <v>326</v>
      </c>
      <c r="C264" s="49" t="s">
        <v>427</v>
      </c>
      <c r="D264" s="50">
        <v>39332</v>
      </c>
      <c r="E264" s="51">
        <v>130.5522</v>
      </c>
    </row>
    <row r="265" spans="1:5" x14ac:dyDescent="0.35">
      <c r="A265" s="48" t="s">
        <v>306</v>
      </c>
      <c r="B265" s="48" t="s">
        <v>437</v>
      </c>
      <c r="C265" s="49" t="s">
        <v>427</v>
      </c>
      <c r="D265" s="50">
        <v>39341</v>
      </c>
      <c r="E265" s="51">
        <v>123.67910000000001</v>
      </c>
    </row>
    <row r="266" spans="1:5" x14ac:dyDescent="0.35">
      <c r="A266" s="48" t="s">
        <v>306</v>
      </c>
      <c r="B266" s="48" t="s">
        <v>502</v>
      </c>
      <c r="C266" s="49" t="s">
        <v>427</v>
      </c>
      <c r="D266" s="50">
        <v>39341</v>
      </c>
      <c r="E266" s="51">
        <v>126.3828</v>
      </c>
    </row>
    <row r="267" spans="1:5" x14ac:dyDescent="0.35">
      <c r="A267" s="48" t="s">
        <v>300</v>
      </c>
      <c r="B267" s="48" t="s">
        <v>511</v>
      </c>
      <c r="C267" s="49" t="s">
        <v>427</v>
      </c>
      <c r="D267" s="50">
        <v>39342</v>
      </c>
      <c r="E267" s="51">
        <v>155.97980000000001</v>
      </c>
    </row>
    <row r="268" spans="1:5" x14ac:dyDescent="0.35">
      <c r="A268" s="48" t="s">
        <v>300</v>
      </c>
      <c r="B268" s="48" t="s">
        <v>512</v>
      </c>
      <c r="C268" s="49" t="s">
        <v>427</v>
      </c>
      <c r="D268" s="50">
        <v>39342</v>
      </c>
      <c r="E268" s="51">
        <v>117.8608</v>
      </c>
    </row>
    <row r="269" spans="1:5" x14ac:dyDescent="0.35">
      <c r="A269" s="48" t="s">
        <v>304</v>
      </c>
      <c r="B269" s="48" t="s">
        <v>513</v>
      </c>
      <c r="C269" s="49" t="s">
        <v>427</v>
      </c>
      <c r="D269" s="50">
        <v>39343</v>
      </c>
      <c r="E269" s="51">
        <v>130.5522</v>
      </c>
    </row>
    <row r="270" spans="1:5" x14ac:dyDescent="0.35">
      <c r="A270" s="48" t="s">
        <v>306</v>
      </c>
      <c r="B270" s="48" t="s">
        <v>502</v>
      </c>
      <c r="C270" s="49" t="s">
        <v>427</v>
      </c>
      <c r="D270" s="50">
        <v>39343</v>
      </c>
      <c r="E270" s="51">
        <v>126.3828</v>
      </c>
    </row>
    <row r="271" spans="1:5" x14ac:dyDescent="0.35">
      <c r="A271" s="48" t="s">
        <v>313</v>
      </c>
      <c r="B271" s="48" t="s">
        <v>514</v>
      </c>
      <c r="C271" s="49" t="s">
        <v>427</v>
      </c>
      <c r="D271" s="50">
        <v>39348</v>
      </c>
      <c r="E271" s="51">
        <v>179.9939</v>
      </c>
    </row>
    <row r="272" spans="1:5" x14ac:dyDescent="0.35">
      <c r="A272" s="48" t="s">
        <v>306</v>
      </c>
      <c r="B272" s="48" t="s">
        <v>503</v>
      </c>
      <c r="C272" s="49" t="s">
        <v>427</v>
      </c>
      <c r="D272" s="50">
        <v>39348</v>
      </c>
      <c r="E272" s="51">
        <v>138.24</v>
      </c>
    </row>
    <row r="273" spans="1:5" x14ac:dyDescent="0.35">
      <c r="A273" s="48" t="s">
        <v>306</v>
      </c>
      <c r="B273" s="48" t="s">
        <v>437</v>
      </c>
      <c r="C273" s="49" t="s">
        <v>427</v>
      </c>
      <c r="D273" s="50">
        <v>39350</v>
      </c>
      <c r="E273" s="51">
        <v>123.67910000000001</v>
      </c>
    </row>
    <row r="274" spans="1:5" x14ac:dyDescent="0.35">
      <c r="A274" s="48" t="s">
        <v>306</v>
      </c>
      <c r="B274" s="48" t="s">
        <v>515</v>
      </c>
      <c r="C274" s="49" t="s">
        <v>427</v>
      </c>
      <c r="D274" s="50">
        <v>39353</v>
      </c>
      <c r="E274" s="51">
        <v>138.24</v>
      </c>
    </row>
    <row r="275" spans="1:5" x14ac:dyDescent="0.35">
      <c r="A275" s="48" t="s">
        <v>306</v>
      </c>
      <c r="B275" s="48" t="s">
        <v>516</v>
      </c>
      <c r="C275" s="49" t="s">
        <v>427</v>
      </c>
      <c r="D275" s="50">
        <v>39356</v>
      </c>
      <c r="E275" s="51">
        <v>126.3828</v>
      </c>
    </row>
    <row r="276" spans="1:5" x14ac:dyDescent="0.35">
      <c r="A276" s="48" t="s">
        <v>306</v>
      </c>
      <c r="B276" s="48" t="s">
        <v>517</v>
      </c>
      <c r="C276" s="49" t="s">
        <v>427</v>
      </c>
      <c r="D276" s="50">
        <v>39360</v>
      </c>
      <c r="E276" s="51">
        <v>123.67910000000001</v>
      </c>
    </row>
    <row r="277" spans="1:5" x14ac:dyDescent="0.35">
      <c r="A277" s="48" t="s">
        <v>300</v>
      </c>
      <c r="B277" s="48" t="s">
        <v>474</v>
      </c>
      <c r="C277" s="49" t="s">
        <v>427</v>
      </c>
      <c r="D277" s="50">
        <v>39360</v>
      </c>
      <c r="E277" s="51">
        <v>117.8608</v>
      </c>
    </row>
    <row r="278" spans="1:5" x14ac:dyDescent="0.35">
      <c r="A278" s="48" t="s">
        <v>304</v>
      </c>
      <c r="B278" s="48" t="s">
        <v>326</v>
      </c>
      <c r="C278" s="49" t="s">
        <v>427</v>
      </c>
      <c r="D278" s="50">
        <v>39361</v>
      </c>
      <c r="E278" s="51">
        <v>130.5522</v>
      </c>
    </row>
    <row r="279" spans="1:5" x14ac:dyDescent="0.35">
      <c r="A279" s="48" t="s">
        <v>306</v>
      </c>
      <c r="B279" s="48" t="s">
        <v>518</v>
      </c>
      <c r="C279" s="49" t="s">
        <v>427</v>
      </c>
      <c r="D279" s="50">
        <v>39361</v>
      </c>
      <c r="E279" s="51">
        <v>138.24</v>
      </c>
    </row>
    <row r="280" spans="1:5" x14ac:dyDescent="0.35">
      <c r="A280" s="48" t="s">
        <v>300</v>
      </c>
      <c r="B280" s="48" t="s">
        <v>519</v>
      </c>
      <c r="C280" s="49" t="s">
        <v>427</v>
      </c>
      <c r="D280" s="50">
        <v>39363</v>
      </c>
      <c r="E280" s="51">
        <v>142.5857</v>
      </c>
    </row>
    <row r="281" spans="1:5" x14ac:dyDescent="0.35">
      <c r="A281" s="48" t="s">
        <v>313</v>
      </c>
      <c r="B281" s="48" t="s">
        <v>520</v>
      </c>
      <c r="C281" s="49" t="s">
        <v>427</v>
      </c>
      <c r="D281" s="50">
        <v>39364</v>
      </c>
      <c r="E281" s="51">
        <v>141.33619999999999</v>
      </c>
    </row>
    <row r="282" spans="1:5" x14ac:dyDescent="0.35">
      <c r="A282" s="48" t="s">
        <v>300</v>
      </c>
      <c r="B282" s="48" t="s">
        <v>474</v>
      </c>
      <c r="C282" s="49" t="s">
        <v>427</v>
      </c>
      <c r="D282" s="50">
        <v>39364</v>
      </c>
      <c r="E282" s="51">
        <v>117.8608</v>
      </c>
    </row>
    <row r="283" spans="1:5" x14ac:dyDescent="0.35">
      <c r="A283" s="48" t="s">
        <v>306</v>
      </c>
      <c r="B283" s="48" t="s">
        <v>521</v>
      </c>
      <c r="C283" s="49" t="s">
        <v>427</v>
      </c>
      <c r="D283" s="50">
        <v>39368</v>
      </c>
      <c r="E283" s="51">
        <v>136.7543</v>
      </c>
    </row>
    <row r="284" spans="1:5" x14ac:dyDescent="0.35">
      <c r="A284" s="48" t="s">
        <v>304</v>
      </c>
      <c r="B284" s="48" t="s">
        <v>522</v>
      </c>
      <c r="C284" s="49" t="s">
        <v>427</v>
      </c>
      <c r="D284" s="50">
        <v>39368</v>
      </c>
      <c r="E284" s="51">
        <v>130.5522</v>
      </c>
    </row>
    <row r="285" spans="1:5" x14ac:dyDescent="0.35">
      <c r="A285" s="48" t="s">
        <v>300</v>
      </c>
      <c r="B285" s="48" t="s">
        <v>523</v>
      </c>
      <c r="C285" s="49" t="s">
        <v>427</v>
      </c>
      <c r="D285" s="50">
        <v>39369</v>
      </c>
      <c r="E285" s="51">
        <v>110.79219999999999</v>
      </c>
    </row>
    <row r="286" spans="1:5" x14ac:dyDescent="0.35">
      <c r="A286" s="48" t="s">
        <v>304</v>
      </c>
      <c r="B286" s="48" t="s">
        <v>524</v>
      </c>
      <c r="C286" s="49" t="s">
        <v>427</v>
      </c>
      <c r="D286" s="50">
        <v>39369</v>
      </c>
      <c r="E286" s="51">
        <v>129.91820000000001</v>
      </c>
    </row>
    <row r="287" spans="1:5" x14ac:dyDescent="0.35">
      <c r="A287" s="48" t="s">
        <v>306</v>
      </c>
      <c r="B287" s="48" t="s">
        <v>437</v>
      </c>
      <c r="C287" s="49" t="s">
        <v>427</v>
      </c>
      <c r="D287" s="50">
        <v>39370</v>
      </c>
      <c r="E287" s="51">
        <v>123.67910000000001</v>
      </c>
    </row>
    <row r="288" spans="1:5" x14ac:dyDescent="0.35">
      <c r="A288" s="48" t="s">
        <v>306</v>
      </c>
      <c r="B288" s="48" t="s">
        <v>525</v>
      </c>
      <c r="C288" s="49" t="s">
        <v>427</v>
      </c>
      <c r="D288" s="50">
        <v>39370</v>
      </c>
      <c r="E288" s="51">
        <v>138.51929999999999</v>
      </c>
    </row>
    <row r="289" spans="1:5" x14ac:dyDescent="0.35">
      <c r="A289" s="48" t="s">
        <v>300</v>
      </c>
      <c r="B289" s="48" t="s">
        <v>526</v>
      </c>
      <c r="C289" s="49" t="s">
        <v>427</v>
      </c>
      <c r="D289" s="50">
        <v>39374</v>
      </c>
      <c r="E289" s="51">
        <v>110.79219999999999</v>
      </c>
    </row>
    <row r="290" spans="1:5" x14ac:dyDescent="0.35">
      <c r="A290" s="48" t="s">
        <v>306</v>
      </c>
      <c r="B290" s="48" t="s">
        <v>527</v>
      </c>
      <c r="C290" s="49" t="s">
        <v>427</v>
      </c>
      <c r="D290" s="50">
        <v>39378</v>
      </c>
      <c r="E290" s="51">
        <v>157.5171</v>
      </c>
    </row>
    <row r="291" spans="1:5" x14ac:dyDescent="0.35">
      <c r="A291" s="48" t="s">
        <v>306</v>
      </c>
      <c r="B291" s="48" t="s">
        <v>528</v>
      </c>
      <c r="C291" s="49" t="s">
        <v>427</v>
      </c>
      <c r="D291" s="50">
        <v>39381</v>
      </c>
      <c r="E291" s="51">
        <v>122.89019999999999</v>
      </c>
    </row>
    <row r="292" spans="1:5" x14ac:dyDescent="0.35">
      <c r="A292" s="48" t="s">
        <v>300</v>
      </c>
      <c r="B292" s="48" t="s">
        <v>301</v>
      </c>
      <c r="C292" s="49" t="s">
        <v>427</v>
      </c>
      <c r="D292" s="50">
        <v>39388</v>
      </c>
      <c r="E292" s="51">
        <v>110.79219999999999</v>
      </c>
    </row>
    <row r="293" spans="1:5" x14ac:dyDescent="0.35">
      <c r="A293" s="48" t="s">
        <v>306</v>
      </c>
      <c r="B293" s="48" t="s">
        <v>495</v>
      </c>
      <c r="C293" s="49" t="s">
        <v>427</v>
      </c>
      <c r="D293" s="50">
        <v>39388</v>
      </c>
      <c r="E293" s="51">
        <v>157.5171</v>
      </c>
    </row>
    <row r="294" spans="1:5" x14ac:dyDescent="0.35">
      <c r="A294" s="48" t="s">
        <v>306</v>
      </c>
      <c r="B294" s="48" t="s">
        <v>498</v>
      </c>
      <c r="C294" s="49" t="s">
        <v>427</v>
      </c>
      <c r="D294" s="50">
        <v>39389</v>
      </c>
      <c r="E294" s="51">
        <v>137.0196</v>
      </c>
    </row>
    <row r="295" spans="1:5" x14ac:dyDescent="0.35">
      <c r="A295" s="48" t="s">
        <v>313</v>
      </c>
      <c r="B295" s="48" t="s">
        <v>529</v>
      </c>
      <c r="C295" s="49" t="s">
        <v>427</v>
      </c>
      <c r="D295" s="50">
        <v>39389</v>
      </c>
      <c r="E295" s="51">
        <v>157.9188</v>
      </c>
    </row>
    <row r="296" spans="1:5" x14ac:dyDescent="0.35">
      <c r="A296" s="48" t="s">
        <v>306</v>
      </c>
      <c r="B296" s="48" t="s">
        <v>530</v>
      </c>
      <c r="C296" s="49" t="s">
        <v>427</v>
      </c>
      <c r="D296" s="50">
        <v>39389</v>
      </c>
      <c r="E296" s="51">
        <v>121.1307</v>
      </c>
    </row>
    <row r="297" spans="1:5" x14ac:dyDescent="0.35">
      <c r="A297" s="48" t="s">
        <v>304</v>
      </c>
      <c r="B297" s="48" t="s">
        <v>531</v>
      </c>
      <c r="C297" s="49" t="s">
        <v>427</v>
      </c>
      <c r="D297" s="50">
        <v>39391</v>
      </c>
      <c r="E297" s="51">
        <v>130.5522</v>
      </c>
    </row>
    <row r="298" spans="1:5" x14ac:dyDescent="0.35">
      <c r="A298" s="48" t="s">
        <v>313</v>
      </c>
      <c r="B298" s="48" t="s">
        <v>532</v>
      </c>
      <c r="C298" s="49" t="s">
        <v>427</v>
      </c>
      <c r="D298" s="50">
        <v>39391</v>
      </c>
      <c r="E298" s="51">
        <v>161.15479999999999</v>
      </c>
    </row>
    <row r="299" spans="1:5" x14ac:dyDescent="0.35">
      <c r="A299" s="48" t="s">
        <v>304</v>
      </c>
      <c r="B299" s="48" t="s">
        <v>533</v>
      </c>
      <c r="C299" s="49" t="s">
        <v>427</v>
      </c>
      <c r="D299" s="50">
        <v>39392</v>
      </c>
      <c r="E299" s="51">
        <v>145.00890000000001</v>
      </c>
    </row>
    <row r="300" spans="1:5" x14ac:dyDescent="0.35">
      <c r="A300" s="48" t="s">
        <v>300</v>
      </c>
      <c r="B300" s="48" t="s">
        <v>534</v>
      </c>
      <c r="C300" s="49" t="s">
        <v>427</v>
      </c>
      <c r="D300" s="50">
        <v>39396</v>
      </c>
      <c r="E300" s="51">
        <v>151.73840000000001</v>
      </c>
    </row>
    <row r="301" spans="1:5" x14ac:dyDescent="0.35">
      <c r="A301" s="48" t="s">
        <v>313</v>
      </c>
      <c r="B301" s="48" t="s">
        <v>535</v>
      </c>
      <c r="C301" s="49" t="s">
        <v>427</v>
      </c>
      <c r="D301" s="50">
        <v>39396</v>
      </c>
      <c r="E301" s="51">
        <v>157.9188</v>
      </c>
    </row>
    <row r="302" spans="1:5" x14ac:dyDescent="0.35">
      <c r="A302" s="48" t="s">
        <v>306</v>
      </c>
      <c r="B302" s="48" t="s">
        <v>502</v>
      </c>
      <c r="C302" s="49" t="s">
        <v>427</v>
      </c>
      <c r="D302" s="50">
        <v>39402</v>
      </c>
      <c r="E302" s="51">
        <v>126.3828</v>
      </c>
    </row>
    <row r="303" spans="1:5" x14ac:dyDescent="0.35">
      <c r="A303" s="48" t="s">
        <v>313</v>
      </c>
      <c r="B303" s="48" t="s">
        <v>536</v>
      </c>
      <c r="C303" s="49" t="s">
        <v>427</v>
      </c>
      <c r="D303" s="50">
        <v>39406</v>
      </c>
      <c r="E303" s="51">
        <v>161.15479999999999</v>
      </c>
    </row>
    <row r="304" spans="1:5" x14ac:dyDescent="0.35">
      <c r="A304" s="48" t="s">
        <v>306</v>
      </c>
      <c r="B304" s="48" t="s">
        <v>459</v>
      </c>
      <c r="C304" s="49" t="s">
        <v>427</v>
      </c>
      <c r="D304" s="50">
        <v>39410</v>
      </c>
      <c r="E304" s="51">
        <v>122.89019999999999</v>
      </c>
    </row>
    <row r="305" spans="1:5" x14ac:dyDescent="0.35">
      <c r="A305" s="48" t="s">
        <v>300</v>
      </c>
      <c r="B305" s="48" t="s">
        <v>537</v>
      </c>
      <c r="C305" s="49" t="s">
        <v>427</v>
      </c>
      <c r="D305" s="50">
        <v>39410</v>
      </c>
      <c r="E305" s="51">
        <v>110.79219999999999</v>
      </c>
    </row>
    <row r="306" spans="1:5" x14ac:dyDescent="0.35">
      <c r="A306" s="48" t="s">
        <v>313</v>
      </c>
      <c r="B306" s="48" t="s">
        <v>457</v>
      </c>
      <c r="C306" s="49" t="s">
        <v>427</v>
      </c>
      <c r="D306" s="50">
        <v>39412</v>
      </c>
      <c r="E306" s="51">
        <v>141.33619999999999</v>
      </c>
    </row>
    <row r="307" spans="1:5" x14ac:dyDescent="0.35">
      <c r="A307" s="48" t="s">
        <v>306</v>
      </c>
      <c r="B307" s="48" t="s">
        <v>538</v>
      </c>
      <c r="C307" s="49" t="s">
        <v>427</v>
      </c>
      <c r="D307" s="50">
        <v>39417</v>
      </c>
      <c r="E307" s="51">
        <v>136.4366</v>
      </c>
    </row>
    <row r="308" spans="1:5" x14ac:dyDescent="0.35">
      <c r="A308" s="48" t="s">
        <v>306</v>
      </c>
      <c r="B308" s="48" t="s">
        <v>539</v>
      </c>
      <c r="C308" s="49" t="s">
        <v>427</v>
      </c>
      <c r="D308" s="50">
        <v>39417</v>
      </c>
      <c r="E308" s="51">
        <v>121.1307</v>
      </c>
    </row>
    <row r="309" spans="1:5" x14ac:dyDescent="0.35">
      <c r="A309" s="48" t="s">
        <v>300</v>
      </c>
      <c r="B309" s="48" t="s">
        <v>540</v>
      </c>
      <c r="C309" s="49" t="s">
        <v>427</v>
      </c>
      <c r="D309" s="50">
        <v>39418</v>
      </c>
      <c r="E309" s="51">
        <v>151.73840000000001</v>
      </c>
    </row>
    <row r="310" spans="1:5" x14ac:dyDescent="0.35">
      <c r="A310" s="48" t="s">
        <v>300</v>
      </c>
      <c r="B310" s="48" t="s">
        <v>541</v>
      </c>
      <c r="C310" s="49" t="s">
        <v>427</v>
      </c>
      <c r="D310" s="50">
        <v>39419</v>
      </c>
      <c r="E310" s="51">
        <v>125.0718</v>
      </c>
    </row>
    <row r="311" spans="1:5" x14ac:dyDescent="0.35">
      <c r="A311" s="48" t="s">
        <v>304</v>
      </c>
      <c r="B311" s="48" t="s">
        <v>542</v>
      </c>
      <c r="C311" s="49" t="s">
        <v>427</v>
      </c>
      <c r="D311" s="50">
        <v>39419</v>
      </c>
      <c r="E311" s="51">
        <v>150.67850000000001</v>
      </c>
    </row>
    <row r="312" spans="1:5" x14ac:dyDescent="0.35">
      <c r="A312" s="48" t="s">
        <v>313</v>
      </c>
      <c r="B312" s="48" t="s">
        <v>543</v>
      </c>
      <c r="C312" s="49" t="s">
        <v>427</v>
      </c>
      <c r="D312" s="50">
        <v>39424</v>
      </c>
      <c r="E312" s="51">
        <v>145.02260000000001</v>
      </c>
    </row>
    <row r="313" spans="1:5" x14ac:dyDescent="0.35">
      <c r="A313" s="48" t="s">
        <v>313</v>
      </c>
      <c r="B313" s="48" t="s">
        <v>544</v>
      </c>
      <c r="C313" s="49" t="s">
        <v>427</v>
      </c>
      <c r="D313" s="50">
        <v>39430</v>
      </c>
      <c r="E313" s="51">
        <v>157.9188</v>
      </c>
    </row>
    <row r="314" spans="1:5" x14ac:dyDescent="0.35">
      <c r="A314" s="48" t="s">
        <v>300</v>
      </c>
      <c r="B314" s="48" t="s">
        <v>488</v>
      </c>
      <c r="C314" s="49" t="s">
        <v>427</v>
      </c>
      <c r="D314" s="50">
        <v>39432</v>
      </c>
      <c r="E314" s="51">
        <v>109.53230000000001</v>
      </c>
    </row>
    <row r="315" spans="1:5" x14ac:dyDescent="0.35">
      <c r="A315" s="48" t="s">
        <v>300</v>
      </c>
      <c r="B315" s="48" t="s">
        <v>545</v>
      </c>
      <c r="C315" s="49" t="s">
        <v>427</v>
      </c>
      <c r="D315" s="50">
        <v>39433</v>
      </c>
      <c r="E315" s="51">
        <v>110.79219999999999</v>
      </c>
    </row>
    <row r="316" spans="1:5" x14ac:dyDescent="0.35">
      <c r="A316" s="48" t="s">
        <v>313</v>
      </c>
      <c r="B316" s="48" t="s">
        <v>376</v>
      </c>
      <c r="C316" s="49" t="s">
        <v>427</v>
      </c>
      <c r="D316" s="50">
        <v>39433</v>
      </c>
      <c r="E316" s="51">
        <v>157.9188</v>
      </c>
    </row>
    <row r="317" spans="1:5" x14ac:dyDescent="0.35">
      <c r="A317" s="48" t="s">
        <v>313</v>
      </c>
      <c r="B317" s="48" t="s">
        <v>546</v>
      </c>
      <c r="C317" s="49" t="s">
        <v>427</v>
      </c>
      <c r="D317" s="50">
        <v>39445</v>
      </c>
      <c r="E317" s="51">
        <v>157.9188</v>
      </c>
    </row>
    <row r="318" spans="1:5" x14ac:dyDescent="0.35">
      <c r="A318" s="48" t="s">
        <v>306</v>
      </c>
      <c r="B318" s="48" t="s">
        <v>332</v>
      </c>
      <c r="C318" s="49" t="s">
        <v>427</v>
      </c>
      <c r="D318" s="50">
        <v>39446</v>
      </c>
      <c r="E318" s="51">
        <v>136.4366</v>
      </c>
    </row>
    <row r="319" spans="1:5" x14ac:dyDescent="0.35">
      <c r="A319" s="48" t="s">
        <v>304</v>
      </c>
      <c r="B319" s="48" t="s">
        <v>547</v>
      </c>
      <c r="C319" s="49" t="s">
        <v>427</v>
      </c>
      <c r="D319" s="50">
        <v>39446</v>
      </c>
      <c r="E319" s="51">
        <v>148.84110000000001</v>
      </c>
    </row>
    <row r="320" spans="1:5" x14ac:dyDescent="0.35">
      <c r="A320" s="48" t="s">
        <v>313</v>
      </c>
      <c r="B320" s="48" t="s">
        <v>376</v>
      </c>
      <c r="C320" s="52" t="s">
        <v>548</v>
      </c>
      <c r="D320" s="50">
        <v>39088</v>
      </c>
      <c r="E320" s="51">
        <v>136.4316</v>
      </c>
    </row>
    <row r="321" spans="1:5" x14ac:dyDescent="0.35">
      <c r="A321" s="48" t="s">
        <v>313</v>
      </c>
      <c r="B321" s="48" t="s">
        <v>549</v>
      </c>
      <c r="C321" s="52" t="s">
        <v>548</v>
      </c>
      <c r="D321" s="50">
        <v>39090</v>
      </c>
      <c r="E321" s="51">
        <v>174.62880000000001</v>
      </c>
    </row>
    <row r="322" spans="1:5" x14ac:dyDescent="0.35">
      <c r="A322" s="48" t="s">
        <v>304</v>
      </c>
      <c r="B322" s="48" t="s">
        <v>550</v>
      </c>
      <c r="C322" s="52" t="s">
        <v>548</v>
      </c>
      <c r="D322" s="50">
        <v>39097</v>
      </c>
      <c r="E322" s="51">
        <v>191.3192</v>
      </c>
    </row>
    <row r="323" spans="1:5" x14ac:dyDescent="0.35">
      <c r="A323" s="48" t="s">
        <v>313</v>
      </c>
      <c r="B323" s="48" t="s">
        <v>551</v>
      </c>
      <c r="C323" s="52" t="s">
        <v>548</v>
      </c>
      <c r="D323" s="50">
        <v>39098</v>
      </c>
      <c r="E323" s="51">
        <v>154.55369999999999</v>
      </c>
    </row>
    <row r="324" spans="1:5" x14ac:dyDescent="0.35">
      <c r="A324" s="48" t="s">
        <v>313</v>
      </c>
      <c r="B324" s="48" t="s">
        <v>409</v>
      </c>
      <c r="C324" s="52" t="s">
        <v>548</v>
      </c>
      <c r="D324" s="50">
        <v>39110</v>
      </c>
      <c r="E324" s="51">
        <v>139.67660000000001</v>
      </c>
    </row>
    <row r="325" spans="1:5" x14ac:dyDescent="0.35">
      <c r="A325" s="48" t="s">
        <v>306</v>
      </c>
      <c r="B325" s="48" t="s">
        <v>454</v>
      </c>
      <c r="C325" s="52" t="s">
        <v>548</v>
      </c>
      <c r="D325" s="50">
        <v>39112</v>
      </c>
      <c r="E325" s="51">
        <v>135.1711</v>
      </c>
    </row>
    <row r="326" spans="1:5" x14ac:dyDescent="0.35">
      <c r="A326" s="48" t="s">
        <v>313</v>
      </c>
      <c r="B326" s="48" t="s">
        <v>552</v>
      </c>
      <c r="C326" s="52" t="s">
        <v>548</v>
      </c>
      <c r="D326" s="50">
        <v>39116</v>
      </c>
      <c r="E326" s="51">
        <v>175.00149999999999</v>
      </c>
    </row>
    <row r="327" spans="1:5" x14ac:dyDescent="0.35">
      <c r="A327" s="48" t="s">
        <v>306</v>
      </c>
      <c r="B327" s="48" t="s">
        <v>502</v>
      </c>
      <c r="C327" s="52" t="s">
        <v>548</v>
      </c>
      <c r="D327" s="50">
        <v>39116</v>
      </c>
      <c r="E327" s="51">
        <v>124.3043</v>
      </c>
    </row>
    <row r="328" spans="1:5" x14ac:dyDescent="0.35">
      <c r="A328" s="48" t="s">
        <v>313</v>
      </c>
      <c r="B328" s="48" t="s">
        <v>553</v>
      </c>
      <c r="C328" s="52" t="s">
        <v>548</v>
      </c>
      <c r="D328" s="50">
        <v>39117</v>
      </c>
      <c r="E328" s="51">
        <v>174.62880000000001</v>
      </c>
    </row>
    <row r="329" spans="1:5" x14ac:dyDescent="0.35">
      <c r="A329" s="48" t="s">
        <v>304</v>
      </c>
      <c r="B329" s="48" t="s">
        <v>547</v>
      </c>
      <c r="C329" s="52" t="s">
        <v>548</v>
      </c>
      <c r="D329" s="50">
        <v>39124</v>
      </c>
      <c r="E329" s="51">
        <v>151.3578</v>
      </c>
    </row>
    <row r="330" spans="1:5" x14ac:dyDescent="0.35">
      <c r="A330" s="48" t="s">
        <v>304</v>
      </c>
      <c r="B330" s="48" t="s">
        <v>554</v>
      </c>
      <c r="C330" s="52" t="s">
        <v>548</v>
      </c>
      <c r="D330" s="50">
        <v>39125</v>
      </c>
      <c r="E330" s="51">
        <v>125.7127</v>
      </c>
    </row>
    <row r="331" spans="1:5" x14ac:dyDescent="0.35">
      <c r="A331" s="48" t="s">
        <v>313</v>
      </c>
      <c r="B331" s="48" t="s">
        <v>555</v>
      </c>
      <c r="C331" s="52" t="s">
        <v>548</v>
      </c>
      <c r="D331" s="50">
        <v>39126</v>
      </c>
      <c r="E331" s="51">
        <v>168.82409999999999</v>
      </c>
    </row>
    <row r="332" spans="1:5" x14ac:dyDescent="0.35">
      <c r="A332" s="48" t="s">
        <v>313</v>
      </c>
      <c r="B332" s="48" t="s">
        <v>556</v>
      </c>
      <c r="C332" s="52" t="s">
        <v>548</v>
      </c>
      <c r="D332" s="50">
        <v>39130</v>
      </c>
      <c r="E332" s="51">
        <v>154.55369999999999</v>
      </c>
    </row>
    <row r="333" spans="1:5" x14ac:dyDescent="0.35">
      <c r="A333" s="48" t="s">
        <v>313</v>
      </c>
      <c r="B333" s="48" t="s">
        <v>557</v>
      </c>
      <c r="C333" s="52" t="s">
        <v>548</v>
      </c>
      <c r="D333" s="50">
        <v>39131</v>
      </c>
      <c r="E333" s="51">
        <v>174.62880000000001</v>
      </c>
    </row>
    <row r="334" spans="1:5" x14ac:dyDescent="0.35">
      <c r="A334" s="48" t="s">
        <v>306</v>
      </c>
      <c r="B334" s="48" t="s">
        <v>558</v>
      </c>
      <c r="C334" s="52" t="s">
        <v>548</v>
      </c>
      <c r="D334" s="50">
        <v>39133</v>
      </c>
      <c r="E334" s="51">
        <v>118.2955</v>
      </c>
    </row>
    <row r="335" spans="1:5" x14ac:dyDescent="0.35">
      <c r="A335" s="48" t="s">
        <v>313</v>
      </c>
      <c r="B335" s="48" t="s">
        <v>552</v>
      </c>
      <c r="C335" s="52" t="s">
        <v>548</v>
      </c>
      <c r="D335" s="50">
        <v>39137</v>
      </c>
      <c r="E335" s="51">
        <v>175.00149999999999</v>
      </c>
    </row>
    <row r="336" spans="1:5" x14ac:dyDescent="0.35">
      <c r="A336" s="48" t="s">
        <v>313</v>
      </c>
      <c r="B336" s="48" t="s">
        <v>559</v>
      </c>
      <c r="C336" s="52" t="s">
        <v>548</v>
      </c>
      <c r="D336" s="50">
        <v>39138</v>
      </c>
      <c r="E336" s="51">
        <v>174.62880000000001</v>
      </c>
    </row>
    <row r="337" spans="1:5" x14ac:dyDescent="0.35">
      <c r="A337" s="48" t="s">
        <v>300</v>
      </c>
      <c r="B337" s="48" t="s">
        <v>560</v>
      </c>
      <c r="C337" s="52" t="s">
        <v>548</v>
      </c>
      <c r="D337" s="50">
        <v>39139</v>
      </c>
      <c r="E337" s="51">
        <v>132.31630000000001</v>
      </c>
    </row>
    <row r="338" spans="1:5" x14ac:dyDescent="0.35">
      <c r="A338" s="48" t="s">
        <v>313</v>
      </c>
      <c r="B338" s="48" t="s">
        <v>561</v>
      </c>
      <c r="C338" s="52" t="s">
        <v>548</v>
      </c>
      <c r="D338" s="50">
        <v>39140</v>
      </c>
      <c r="E338" s="51">
        <v>168.82409999999999</v>
      </c>
    </row>
    <row r="339" spans="1:5" x14ac:dyDescent="0.35">
      <c r="A339" s="48" t="s">
        <v>313</v>
      </c>
      <c r="B339" s="48" t="s">
        <v>409</v>
      </c>
      <c r="C339" s="52" t="s">
        <v>548</v>
      </c>
      <c r="D339" s="50">
        <v>39146</v>
      </c>
      <c r="E339" s="51">
        <v>139.67660000000001</v>
      </c>
    </row>
    <row r="340" spans="1:5" x14ac:dyDescent="0.35">
      <c r="A340" s="48" t="s">
        <v>313</v>
      </c>
      <c r="B340" s="48" t="s">
        <v>376</v>
      </c>
      <c r="C340" s="52" t="s">
        <v>548</v>
      </c>
      <c r="D340" s="50">
        <v>39159</v>
      </c>
      <c r="E340" s="51">
        <v>136.4316</v>
      </c>
    </row>
    <row r="341" spans="1:5" x14ac:dyDescent="0.35">
      <c r="A341" s="48" t="s">
        <v>313</v>
      </c>
      <c r="B341" s="48" t="s">
        <v>562</v>
      </c>
      <c r="C341" s="52" t="s">
        <v>548</v>
      </c>
      <c r="D341" s="50">
        <v>39165</v>
      </c>
      <c r="E341" s="51">
        <v>154.55369999999999</v>
      </c>
    </row>
    <row r="342" spans="1:5" x14ac:dyDescent="0.35">
      <c r="A342" s="48" t="s">
        <v>313</v>
      </c>
      <c r="B342" s="48" t="s">
        <v>409</v>
      </c>
      <c r="C342" s="52" t="s">
        <v>548</v>
      </c>
      <c r="D342" s="50">
        <v>39167</v>
      </c>
      <c r="E342" s="51">
        <v>139.67660000000001</v>
      </c>
    </row>
    <row r="343" spans="1:5" x14ac:dyDescent="0.35">
      <c r="A343" s="48" t="s">
        <v>313</v>
      </c>
      <c r="B343" s="48" t="s">
        <v>376</v>
      </c>
      <c r="C343" s="52" t="s">
        <v>548</v>
      </c>
      <c r="D343" s="50">
        <v>39172</v>
      </c>
      <c r="E343" s="51">
        <v>136.4316</v>
      </c>
    </row>
    <row r="344" spans="1:5" x14ac:dyDescent="0.35">
      <c r="A344" s="48" t="s">
        <v>300</v>
      </c>
      <c r="B344" s="48" t="s">
        <v>345</v>
      </c>
      <c r="C344" s="52" t="s">
        <v>548</v>
      </c>
      <c r="D344" s="50">
        <v>39173</v>
      </c>
      <c r="E344" s="51">
        <v>159.59129999999999</v>
      </c>
    </row>
    <row r="345" spans="1:5" x14ac:dyDescent="0.35">
      <c r="A345" s="48" t="s">
        <v>304</v>
      </c>
      <c r="B345" s="48" t="s">
        <v>479</v>
      </c>
      <c r="C345" s="52" t="s">
        <v>548</v>
      </c>
      <c r="D345" s="50">
        <v>39178</v>
      </c>
      <c r="E345" s="51">
        <v>138.18539999999999</v>
      </c>
    </row>
    <row r="346" spans="1:5" x14ac:dyDescent="0.35">
      <c r="A346" s="48" t="s">
        <v>313</v>
      </c>
      <c r="B346" s="48" t="s">
        <v>409</v>
      </c>
      <c r="C346" s="52" t="s">
        <v>548</v>
      </c>
      <c r="D346" s="50">
        <v>39185</v>
      </c>
      <c r="E346" s="51">
        <v>139.67660000000001</v>
      </c>
    </row>
    <row r="347" spans="1:5" x14ac:dyDescent="0.35">
      <c r="A347" s="48" t="s">
        <v>313</v>
      </c>
      <c r="B347" s="48" t="s">
        <v>563</v>
      </c>
      <c r="C347" s="52" t="s">
        <v>548</v>
      </c>
      <c r="D347" s="50">
        <v>39188</v>
      </c>
      <c r="E347" s="51">
        <v>168.82409999999999</v>
      </c>
    </row>
    <row r="348" spans="1:5" x14ac:dyDescent="0.35">
      <c r="A348" s="48" t="s">
        <v>313</v>
      </c>
      <c r="B348" s="48" t="s">
        <v>564</v>
      </c>
      <c r="C348" s="52" t="s">
        <v>548</v>
      </c>
      <c r="D348" s="50">
        <v>39193</v>
      </c>
      <c r="E348" s="51">
        <v>168.82409999999999</v>
      </c>
    </row>
    <row r="349" spans="1:5" x14ac:dyDescent="0.35">
      <c r="A349" s="48" t="s">
        <v>313</v>
      </c>
      <c r="B349" s="48" t="s">
        <v>565</v>
      </c>
      <c r="C349" s="52" t="s">
        <v>548</v>
      </c>
      <c r="D349" s="50">
        <v>39196</v>
      </c>
      <c r="E349" s="51">
        <v>168.82409999999999</v>
      </c>
    </row>
    <row r="350" spans="1:5" x14ac:dyDescent="0.35">
      <c r="A350" s="48" t="s">
        <v>313</v>
      </c>
      <c r="B350" s="48" t="s">
        <v>566</v>
      </c>
      <c r="C350" s="52" t="s">
        <v>548</v>
      </c>
      <c r="D350" s="50">
        <v>39201</v>
      </c>
      <c r="E350" s="51">
        <v>168.82409999999999</v>
      </c>
    </row>
    <row r="351" spans="1:5" x14ac:dyDescent="0.35">
      <c r="A351" s="48" t="s">
        <v>313</v>
      </c>
      <c r="B351" s="48" t="s">
        <v>567</v>
      </c>
      <c r="C351" s="52" t="s">
        <v>548</v>
      </c>
      <c r="D351" s="50">
        <v>39210</v>
      </c>
      <c r="E351" s="51">
        <v>168.49420000000001</v>
      </c>
    </row>
    <row r="352" spans="1:5" x14ac:dyDescent="0.35">
      <c r="A352" s="48" t="s">
        <v>304</v>
      </c>
      <c r="B352" s="48" t="s">
        <v>554</v>
      </c>
      <c r="C352" s="52" t="s">
        <v>548</v>
      </c>
      <c r="D352" s="50">
        <v>39220</v>
      </c>
      <c r="E352" s="51">
        <v>125.7127</v>
      </c>
    </row>
    <row r="353" spans="1:5" x14ac:dyDescent="0.35">
      <c r="A353" s="48" t="s">
        <v>313</v>
      </c>
      <c r="B353" s="48" t="s">
        <v>568</v>
      </c>
      <c r="C353" s="52" t="s">
        <v>548</v>
      </c>
      <c r="D353" s="50">
        <v>39223</v>
      </c>
      <c r="E353" s="51">
        <v>168.49420000000001</v>
      </c>
    </row>
    <row r="354" spans="1:5" x14ac:dyDescent="0.35">
      <c r="A354" s="48" t="s">
        <v>313</v>
      </c>
      <c r="B354" s="48" t="s">
        <v>409</v>
      </c>
      <c r="C354" s="52" t="s">
        <v>548</v>
      </c>
      <c r="D354" s="50">
        <v>39224</v>
      </c>
      <c r="E354" s="51">
        <v>139.67660000000001</v>
      </c>
    </row>
    <row r="355" spans="1:5" x14ac:dyDescent="0.35">
      <c r="A355" s="48" t="s">
        <v>313</v>
      </c>
      <c r="B355" s="48" t="s">
        <v>569</v>
      </c>
      <c r="C355" s="52" t="s">
        <v>548</v>
      </c>
      <c r="D355" s="50">
        <v>39228</v>
      </c>
      <c r="E355" s="51">
        <v>168.82409999999999</v>
      </c>
    </row>
    <row r="356" spans="1:5" x14ac:dyDescent="0.35">
      <c r="A356" s="48" t="s">
        <v>313</v>
      </c>
      <c r="B356" s="48" t="s">
        <v>570</v>
      </c>
      <c r="C356" s="52" t="s">
        <v>548</v>
      </c>
      <c r="D356" s="50">
        <v>39238</v>
      </c>
      <c r="E356" s="51">
        <v>168.82409999999999</v>
      </c>
    </row>
    <row r="357" spans="1:5" x14ac:dyDescent="0.35">
      <c r="A357" s="48" t="s">
        <v>313</v>
      </c>
      <c r="B357" s="48" t="s">
        <v>563</v>
      </c>
      <c r="C357" s="52" t="s">
        <v>548</v>
      </c>
      <c r="D357" s="50">
        <v>39242</v>
      </c>
      <c r="E357" s="51">
        <v>168.82409999999999</v>
      </c>
    </row>
    <row r="358" spans="1:5" x14ac:dyDescent="0.35">
      <c r="A358" s="48" t="s">
        <v>313</v>
      </c>
      <c r="B358" s="48" t="s">
        <v>571</v>
      </c>
      <c r="C358" s="52" t="s">
        <v>548</v>
      </c>
      <c r="D358" s="50">
        <v>39242</v>
      </c>
      <c r="E358" s="51">
        <v>168.82409999999999</v>
      </c>
    </row>
    <row r="359" spans="1:5" x14ac:dyDescent="0.35">
      <c r="A359" s="48" t="s">
        <v>306</v>
      </c>
      <c r="B359" s="48" t="s">
        <v>572</v>
      </c>
      <c r="C359" s="52" t="s">
        <v>548</v>
      </c>
      <c r="D359" s="50">
        <v>39243</v>
      </c>
      <c r="E359" s="51">
        <v>155.37</v>
      </c>
    </row>
    <row r="360" spans="1:5" x14ac:dyDescent="0.35">
      <c r="A360" s="48" t="s">
        <v>313</v>
      </c>
      <c r="B360" s="48" t="s">
        <v>409</v>
      </c>
      <c r="C360" s="52" t="s">
        <v>548</v>
      </c>
      <c r="D360" s="50">
        <v>39243</v>
      </c>
      <c r="E360" s="51">
        <v>139.67660000000001</v>
      </c>
    </row>
    <row r="361" spans="1:5" x14ac:dyDescent="0.35">
      <c r="A361" s="48" t="s">
        <v>313</v>
      </c>
      <c r="B361" s="48" t="s">
        <v>564</v>
      </c>
      <c r="C361" s="52" t="s">
        <v>548</v>
      </c>
      <c r="D361" s="50">
        <v>39244</v>
      </c>
      <c r="E361" s="51">
        <v>168.82409999999999</v>
      </c>
    </row>
    <row r="362" spans="1:5" x14ac:dyDescent="0.35">
      <c r="A362" s="48" t="s">
        <v>313</v>
      </c>
      <c r="B362" s="48" t="s">
        <v>573</v>
      </c>
      <c r="C362" s="52" t="s">
        <v>548</v>
      </c>
      <c r="D362" s="50">
        <v>39248</v>
      </c>
      <c r="E362" s="51">
        <v>168.82409999999999</v>
      </c>
    </row>
    <row r="363" spans="1:5" x14ac:dyDescent="0.35">
      <c r="A363" s="48" t="s">
        <v>313</v>
      </c>
      <c r="B363" s="48" t="s">
        <v>549</v>
      </c>
      <c r="C363" s="52" t="s">
        <v>548</v>
      </c>
      <c r="D363" s="50">
        <v>39257</v>
      </c>
      <c r="E363" s="51">
        <v>174.62880000000001</v>
      </c>
    </row>
    <row r="364" spans="1:5" x14ac:dyDescent="0.35">
      <c r="A364" s="48" t="s">
        <v>300</v>
      </c>
      <c r="B364" s="48" t="s">
        <v>513</v>
      </c>
      <c r="C364" s="52" t="s">
        <v>548</v>
      </c>
      <c r="D364" s="50">
        <v>39264</v>
      </c>
      <c r="E364" s="51">
        <v>140.32570000000001</v>
      </c>
    </row>
    <row r="365" spans="1:5" x14ac:dyDescent="0.35">
      <c r="A365" s="48" t="s">
        <v>304</v>
      </c>
      <c r="B365" s="48" t="s">
        <v>574</v>
      </c>
      <c r="C365" s="52" t="s">
        <v>548</v>
      </c>
      <c r="D365" s="50">
        <v>39277</v>
      </c>
      <c r="E365" s="51">
        <v>138.18539999999999</v>
      </c>
    </row>
    <row r="366" spans="1:5" x14ac:dyDescent="0.35">
      <c r="A366" s="48" t="s">
        <v>306</v>
      </c>
      <c r="B366" s="48" t="s">
        <v>575</v>
      </c>
      <c r="C366" s="52" t="s">
        <v>548</v>
      </c>
      <c r="D366" s="50">
        <v>39280</v>
      </c>
      <c r="E366" s="51">
        <v>118.2955</v>
      </c>
    </row>
    <row r="367" spans="1:5" x14ac:dyDescent="0.35">
      <c r="A367" s="48" t="s">
        <v>313</v>
      </c>
      <c r="B367" s="48" t="s">
        <v>570</v>
      </c>
      <c r="C367" s="52" t="s">
        <v>548</v>
      </c>
      <c r="D367" s="50">
        <v>39286</v>
      </c>
      <c r="E367" s="51">
        <v>168.82409999999999</v>
      </c>
    </row>
    <row r="368" spans="1:5" x14ac:dyDescent="0.35">
      <c r="A368" s="48" t="s">
        <v>313</v>
      </c>
      <c r="B368" s="48" t="s">
        <v>576</v>
      </c>
      <c r="C368" s="52" t="s">
        <v>548</v>
      </c>
      <c r="D368" s="50">
        <v>39287</v>
      </c>
      <c r="E368" s="51">
        <v>170.88329999999999</v>
      </c>
    </row>
    <row r="369" spans="1:5" x14ac:dyDescent="0.35">
      <c r="A369" s="48" t="s">
        <v>306</v>
      </c>
      <c r="B369" s="48" t="s">
        <v>577</v>
      </c>
      <c r="C369" s="52" t="s">
        <v>548</v>
      </c>
      <c r="D369" s="50">
        <v>39291</v>
      </c>
      <c r="E369" s="51">
        <v>135.34620000000001</v>
      </c>
    </row>
    <row r="370" spans="1:5" x14ac:dyDescent="0.35">
      <c r="A370" s="48" t="s">
        <v>313</v>
      </c>
      <c r="B370" s="48" t="s">
        <v>389</v>
      </c>
      <c r="C370" s="52" t="s">
        <v>548</v>
      </c>
      <c r="D370" s="50">
        <v>39294</v>
      </c>
      <c r="E370" s="51">
        <v>168.82409999999999</v>
      </c>
    </row>
    <row r="371" spans="1:5" x14ac:dyDescent="0.35">
      <c r="A371" s="48" t="s">
        <v>306</v>
      </c>
      <c r="B371" s="48" t="s">
        <v>381</v>
      </c>
      <c r="C371" s="52" t="s">
        <v>548</v>
      </c>
      <c r="D371" s="50">
        <v>39294</v>
      </c>
      <c r="E371" s="51">
        <v>171.8022</v>
      </c>
    </row>
    <row r="372" spans="1:5" x14ac:dyDescent="0.35">
      <c r="A372" s="48" t="s">
        <v>313</v>
      </c>
      <c r="B372" s="48" t="s">
        <v>578</v>
      </c>
      <c r="C372" s="52" t="s">
        <v>548</v>
      </c>
      <c r="D372" s="50">
        <v>39297</v>
      </c>
      <c r="E372" s="51">
        <v>154.55369999999999</v>
      </c>
    </row>
    <row r="373" spans="1:5" x14ac:dyDescent="0.35">
      <c r="A373" s="48" t="s">
        <v>313</v>
      </c>
      <c r="B373" s="48" t="s">
        <v>579</v>
      </c>
      <c r="C373" s="52" t="s">
        <v>548</v>
      </c>
      <c r="D373" s="50">
        <v>39299</v>
      </c>
      <c r="E373" s="51">
        <v>175.00149999999999</v>
      </c>
    </row>
    <row r="374" spans="1:5" x14ac:dyDescent="0.35">
      <c r="A374" s="48" t="s">
        <v>313</v>
      </c>
      <c r="B374" s="48" t="s">
        <v>344</v>
      </c>
      <c r="C374" s="52" t="s">
        <v>548</v>
      </c>
      <c r="D374" s="50">
        <v>39300</v>
      </c>
      <c r="E374" s="51">
        <v>168.82409999999999</v>
      </c>
    </row>
    <row r="375" spans="1:5" x14ac:dyDescent="0.35">
      <c r="A375" s="48" t="s">
        <v>313</v>
      </c>
      <c r="B375" s="48" t="s">
        <v>559</v>
      </c>
      <c r="C375" s="52" t="s">
        <v>548</v>
      </c>
      <c r="D375" s="50">
        <v>39300</v>
      </c>
      <c r="E375" s="51">
        <v>174.62880000000001</v>
      </c>
    </row>
    <row r="376" spans="1:5" x14ac:dyDescent="0.35">
      <c r="A376" s="48" t="s">
        <v>306</v>
      </c>
      <c r="B376" s="48" t="s">
        <v>502</v>
      </c>
      <c r="C376" s="52" t="s">
        <v>548</v>
      </c>
      <c r="D376" s="50">
        <v>39304</v>
      </c>
      <c r="E376" s="51">
        <v>124.3043</v>
      </c>
    </row>
    <row r="377" spans="1:5" x14ac:dyDescent="0.35">
      <c r="A377" s="48" t="s">
        <v>313</v>
      </c>
      <c r="B377" s="48" t="s">
        <v>552</v>
      </c>
      <c r="C377" s="52" t="s">
        <v>548</v>
      </c>
      <c r="D377" s="50">
        <v>39314</v>
      </c>
      <c r="E377" s="51">
        <v>175.00149999999999</v>
      </c>
    </row>
    <row r="378" spans="1:5" x14ac:dyDescent="0.35">
      <c r="A378" s="48" t="s">
        <v>313</v>
      </c>
      <c r="B378" s="48" t="s">
        <v>580</v>
      </c>
      <c r="C378" s="52" t="s">
        <v>548</v>
      </c>
      <c r="D378" s="50">
        <v>39321</v>
      </c>
      <c r="E378" s="51">
        <v>168.82409999999999</v>
      </c>
    </row>
    <row r="379" spans="1:5" x14ac:dyDescent="0.35">
      <c r="A379" s="48" t="s">
        <v>306</v>
      </c>
      <c r="B379" s="48" t="s">
        <v>381</v>
      </c>
      <c r="C379" s="52" t="s">
        <v>548</v>
      </c>
      <c r="D379" s="50">
        <v>39327</v>
      </c>
      <c r="E379" s="51">
        <v>171.8022</v>
      </c>
    </row>
    <row r="380" spans="1:5" x14ac:dyDescent="0.35">
      <c r="A380" s="48" t="s">
        <v>306</v>
      </c>
      <c r="B380" s="48" t="s">
        <v>581</v>
      </c>
      <c r="C380" s="52" t="s">
        <v>548</v>
      </c>
      <c r="D380" s="50">
        <v>39328</v>
      </c>
      <c r="E380" s="51">
        <v>155.37</v>
      </c>
    </row>
    <row r="381" spans="1:5" x14ac:dyDescent="0.35">
      <c r="A381" s="48" t="s">
        <v>306</v>
      </c>
      <c r="B381" s="48" t="s">
        <v>582</v>
      </c>
      <c r="C381" s="52" t="s">
        <v>548</v>
      </c>
      <c r="D381" s="50">
        <v>39336</v>
      </c>
      <c r="E381" s="51">
        <v>190.0909</v>
      </c>
    </row>
    <row r="382" spans="1:5" x14ac:dyDescent="0.35">
      <c r="A382" s="48" t="s">
        <v>313</v>
      </c>
      <c r="B382" s="48" t="s">
        <v>562</v>
      </c>
      <c r="C382" s="52" t="s">
        <v>548</v>
      </c>
      <c r="D382" s="50">
        <v>39340</v>
      </c>
      <c r="E382" s="51">
        <v>154.55369999999999</v>
      </c>
    </row>
    <row r="383" spans="1:5" x14ac:dyDescent="0.35">
      <c r="A383" s="48" t="s">
        <v>306</v>
      </c>
      <c r="B383" s="48" t="s">
        <v>453</v>
      </c>
      <c r="C383" s="52" t="s">
        <v>548</v>
      </c>
      <c r="D383" s="50">
        <v>39347</v>
      </c>
      <c r="E383" s="51">
        <v>172.93090000000001</v>
      </c>
    </row>
    <row r="384" spans="1:5" x14ac:dyDescent="0.35">
      <c r="A384" s="48" t="s">
        <v>313</v>
      </c>
      <c r="B384" s="48" t="s">
        <v>562</v>
      </c>
      <c r="C384" s="52" t="s">
        <v>548</v>
      </c>
      <c r="D384" s="50">
        <v>39350</v>
      </c>
      <c r="E384" s="51">
        <v>154.55369999999999</v>
      </c>
    </row>
    <row r="385" spans="1:5" x14ac:dyDescent="0.35">
      <c r="A385" s="48" t="s">
        <v>306</v>
      </c>
      <c r="B385" s="48" t="s">
        <v>429</v>
      </c>
      <c r="C385" s="52" t="s">
        <v>548</v>
      </c>
      <c r="D385" s="50">
        <v>39354</v>
      </c>
      <c r="E385" s="51">
        <v>135.1711</v>
      </c>
    </row>
    <row r="386" spans="1:5" x14ac:dyDescent="0.35">
      <c r="A386" s="48" t="s">
        <v>306</v>
      </c>
      <c r="B386" s="48" t="s">
        <v>431</v>
      </c>
      <c r="C386" s="52" t="s">
        <v>548</v>
      </c>
      <c r="D386" s="50">
        <v>39354</v>
      </c>
      <c r="E386" s="51">
        <v>135.34620000000001</v>
      </c>
    </row>
    <row r="387" spans="1:5" x14ac:dyDescent="0.35">
      <c r="A387" s="48" t="s">
        <v>313</v>
      </c>
      <c r="B387" s="48" t="s">
        <v>580</v>
      </c>
      <c r="C387" s="52" t="s">
        <v>548</v>
      </c>
      <c r="D387" s="50">
        <v>39360</v>
      </c>
      <c r="E387" s="51">
        <v>168.82409999999999</v>
      </c>
    </row>
    <row r="388" spans="1:5" x14ac:dyDescent="0.35">
      <c r="A388" s="48" t="s">
        <v>300</v>
      </c>
      <c r="B388" s="48" t="s">
        <v>433</v>
      </c>
      <c r="C388" s="52" t="s">
        <v>548</v>
      </c>
      <c r="D388" s="50">
        <v>39361</v>
      </c>
      <c r="E388" s="51">
        <v>140.32570000000001</v>
      </c>
    </row>
    <row r="389" spans="1:5" x14ac:dyDescent="0.35">
      <c r="A389" s="48" t="s">
        <v>313</v>
      </c>
      <c r="B389" s="48" t="s">
        <v>583</v>
      </c>
      <c r="C389" s="52" t="s">
        <v>548</v>
      </c>
      <c r="D389" s="50">
        <v>39368</v>
      </c>
      <c r="E389" s="51">
        <v>139.67660000000001</v>
      </c>
    </row>
    <row r="390" spans="1:5" x14ac:dyDescent="0.35">
      <c r="A390" s="48" t="s">
        <v>300</v>
      </c>
      <c r="B390" s="48" t="s">
        <v>584</v>
      </c>
      <c r="C390" s="52" t="s">
        <v>548</v>
      </c>
      <c r="D390" s="50">
        <v>39369</v>
      </c>
      <c r="E390" s="51">
        <v>160.78460000000001</v>
      </c>
    </row>
    <row r="391" spans="1:5" x14ac:dyDescent="0.35">
      <c r="A391" s="48" t="s">
        <v>313</v>
      </c>
      <c r="B391" s="48" t="s">
        <v>425</v>
      </c>
      <c r="C391" s="52" t="s">
        <v>548</v>
      </c>
      <c r="D391" s="50">
        <v>39371</v>
      </c>
      <c r="E391" s="51">
        <v>136.4316</v>
      </c>
    </row>
    <row r="392" spans="1:5" x14ac:dyDescent="0.35">
      <c r="A392" s="48" t="s">
        <v>304</v>
      </c>
      <c r="B392" s="48" t="s">
        <v>585</v>
      </c>
      <c r="C392" s="52" t="s">
        <v>548</v>
      </c>
      <c r="D392" s="50">
        <v>39374</v>
      </c>
      <c r="E392" s="51">
        <v>125.7127</v>
      </c>
    </row>
    <row r="393" spans="1:5" x14ac:dyDescent="0.35">
      <c r="A393" s="48" t="s">
        <v>306</v>
      </c>
      <c r="B393" s="48" t="s">
        <v>429</v>
      </c>
      <c r="C393" s="52" t="s">
        <v>548</v>
      </c>
      <c r="D393" s="50">
        <v>39389</v>
      </c>
      <c r="E393" s="51">
        <v>135.1711</v>
      </c>
    </row>
    <row r="394" spans="1:5" x14ac:dyDescent="0.35">
      <c r="A394" s="48" t="s">
        <v>313</v>
      </c>
      <c r="B394" s="48" t="s">
        <v>586</v>
      </c>
      <c r="C394" s="52" t="s">
        <v>548</v>
      </c>
      <c r="D394" s="50">
        <v>39389</v>
      </c>
      <c r="E394" s="51">
        <v>168.82409999999999</v>
      </c>
    </row>
    <row r="395" spans="1:5" x14ac:dyDescent="0.35">
      <c r="A395" s="48" t="s">
        <v>304</v>
      </c>
      <c r="B395" s="48" t="s">
        <v>574</v>
      </c>
      <c r="C395" s="52" t="s">
        <v>548</v>
      </c>
      <c r="D395" s="50">
        <v>39391</v>
      </c>
      <c r="E395" s="51">
        <v>138.18539999999999</v>
      </c>
    </row>
    <row r="396" spans="1:5" x14ac:dyDescent="0.35">
      <c r="A396" s="48" t="s">
        <v>306</v>
      </c>
      <c r="B396" s="48" t="s">
        <v>502</v>
      </c>
      <c r="C396" s="52" t="s">
        <v>548</v>
      </c>
      <c r="D396" s="50">
        <v>39391</v>
      </c>
      <c r="E396" s="51">
        <v>124.3043</v>
      </c>
    </row>
    <row r="397" spans="1:5" x14ac:dyDescent="0.35">
      <c r="A397" s="48" t="s">
        <v>313</v>
      </c>
      <c r="B397" s="48" t="s">
        <v>328</v>
      </c>
      <c r="C397" s="52" t="s">
        <v>548</v>
      </c>
      <c r="D397" s="50">
        <v>39398</v>
      </c>
      <c r="E397" s="51">
        <v>168.49420000000001</v>
      </c>
    </row>
    <row r="398" spans="1:5" x14ac:dyDescent="0.35">
      <c r="A398" s="48" t="s">
        <v>313</v>
      </c>
      <c r="B398" s="48" t="s">
        <v>587</v>
      </c>
      <c r="C398" s="52" t="s">
        <v>548</v>
      </c>
      <c r="D398" s="50">
        <v>39404</v>
      </c>
      <c r="E398" s="51">
        <v>168.49420000000001</v>
      </c>
    </row>
    <row r="399" spans="1:5" x14ac:dyDescent="0.35">
      <c r="A399" s="48" t="s">
        <v>313</v>
      </c>
      <c r="B399" s="48" t="s">
        <v>376</v>
      </c>
      <c r="C399" s="52" t="s">
        <v>548</v>
      </c>
      <c r="D399" s="50">
        <v>39420</v>
      </c>
      <c r="E399" s="51">
        <v>136.4316</v>
      </c>
    </row>
    <row r="400" spans="1:5" x14ac:dyDescent="0.35">
      <c r="A400" s="48" t="s">
        <v>304</v>
      </c>
      <c r="B400" s="48" t="s">
        <v>588</v>
      </c>
      <c r="C400" s="52" t="s">
        <v>548</v>
      </c>
      <c r="D400" s="50">
        <v>39426</v>
      </c>
      <c r="E400" s="51">
        <v>151.3578</v>
      </c>
    </row>
    <row r="401" spans="1:5" x14ac:dyDescent="0.35">
      <c r="A401" s="48" t="s">
        <v>313</v>
      </c>
      <c r="B401" s="48" t="s">
        <v>589</v>
      </c>
      <c r="C401" s="52" t="s">
        <v>548</v>
      </c>
      <c r="D401" s="50">
        <v>39427</v>
      </c>
      <c r="E401" s="51">
        <v>154.55369999999999</v>
      </c>
    </row>
    <row r="402" spans="1:5" x14ac:dyDescent="0.35">
      <c r="A402" s="48" t="s">
        <v>313</v>
      </c>
      <c r="B402" s="48" t="s">
        <v>590</v>
      </c>
      <c r="C402" s="52" t="s">
        <v>548</v>
      </c>
      <c r="D402" s="50">
        <v>39430</v>
      </c>
      <c r="E402" s="51">
        <v>219.76</v>
      </c>
    </row>
    <row r="403" spans="1:5" x14ac:dyDescent="0.35">
      <c r="A403" s="48" t="s">
        <v>313</v>
      </c>
      <c r="B403" s="48" t="s">
        <v>591</v>
      </c>
      <c r="C403" s="52" t="s">
        <v>548</v>
      </c>
      <c r="D403" s="50">
        <v>39437</v>
      </c>
      <c r="E403" s="51">
        <v>175.00149999999999</v>
      </c>
    </row>
    <row r="404" spans="1:5" x14ac:dyDescent="0.35">
      <c r="A404" s="48" t="s">
        <v>313</v>
      </c>
      <c r="B404" s="48" t="s">
        <v>592</v>
      </c>
      <c r="C404" s="52" t="s">
        <v>548</v>
      </c>
      <c r="D404" s="50">
        <v>39438</v>
      </c>
      <c r="E404" s="51">
        <v>174.62880000000001</v>
      </c>
    </row>
    <row r="405" spans="1:5" x14ac:dyDescent="0.35">
      <c r="A405" s="48" t="s">
        <v>304</v>
      </c>
      <c r="B405" s="48" t="s">
        <v>547</v>
      </c>
      <c r="C405" s="52" t="s">
        <v>593</v>
      </c>
      <c r="D405" s="50">
        <v>39094</v>
      </c>
      <c r="E405" s="51">
        <v>190.66380000000001</v>
      </c>
    </row>
    <row r="406" spans="1:5" x14ac:dyDescent="0.35">
      <c r="A406" s="48" t="s">
        <v>313</v>
      </c>
      <c r="B406" s="48" t="s">
        <v>594</v>
      </c>
      <c r="C406" s="52" t="s">
        <v>593</v>
      </c>
      <c r="D406" s="50">
        <v>39098</v>
      </c>
      <c r="E406" s="51">
        <v>214.17189999999999</v>
      </c>
    </row>
    <row r="407" spans="1:5" x14ac:dyDescent="0.35">
      <c r="A407" s="48" t="s">
        <v>300</v>
      </c>
      <c r="B407" s="48" t="s">
        <v>595</v>
      </c>
      <c r="C407" s="52" t="s">
        <v>593</v>
      </c>
      <c r="D407" s="50">
        <v>39118</v>
      </c>
      <c r="E407" s="51">
        <v>184.0565</v>
      </c>
    </row>
    <row r="408" spans="1:5" x14ac:dyDescent="0.35">
      <c r="A408" s="48" t="s">
        <v>306</v>
      </c>
      <c r="B408" s="48" t="s">
        <v>596</v>
      </c>
      <c r="C408" s="52" t="s">
        <v>593</v>
      </c>
      <c r="D408" s="50">
        <v>39136</v>
      </c>
      <c r="E408" s="51">
        <v>185.70439999999999</v>
      </c>
    </row>
    <row r="409" spans="1:5" x14ac:dyDescent="0.35">
      <c r="A409" s="48" t="s">
        <v>304</v>
      </c>
      <c r="B409" s="48" t="s">
        <v>597</v>
      </c>
      <c r="C409" s="52" t="s">
        <v>593</v>
      </c>
      <c r="D409" s="50">
        <v>39153</v>
      </c>
      <c r="E409" s="51">
        <v>134.53620000000001</v>
      </c>
    </row>
    <row r="410" spans="1:5" x14ac:dyDescent="0.35">
      <c r="A410" s="48" t="s">
        <v>306</v>
      </c>
      <c r="B410" s="48" t="s">
        <v>459</v>
      </c>
      <c r="C410" s="52" t="s">
        <v>593</v>
      </c>
      <c r="D410" s="50">
        <v>39174</v>
      </c>
      <c r="E410" s="51">
        <v>183.9495</v>
      </c>
    </row>
    <row r="411" spans="1:5" x14ac:dyDescent="0.35">
      <c r="A411" s="48" t="s">
        <v>304</v>
      </c>
      <c r="B411" s="48" t="s">
        <v>598</v>
      </c>
      <c r="C411" s="52" t="s">
        <v>593</v>
      </c>
      <c r="D411" s="50">
        <v>39178</v>
      </c>
      <c r="E411" s="51">
        <v>214.1009</v>
      </c>
    </row>
    <row r="412" spans="1:5" x14ac:dyDescent="0.35">
      <c r="A412" s="48" t="s">
        <v>306</v>
      </c>
      <c r="B412" s="48" t="s">
        <v>384</v>
      </c>
      <c r="C412" s="52" t="s">
        <v>593</v>
      </c>
      <c r="D412" s="50">
        <v>39182</v>
      </c>
      <c r="E412" s="51">
        <v>189.41829999999999</v>
      </c>
    </row>
    <row r="413" spans="1:5" x14ac:dyDescent="0.35">
      <c r="A413" s="48" t="s">
        <v>300</v>
      </c>
      <c r="B413" s="48" t="s">
        <v>599</v>
      </c>
      <c r="C413" s="52" t="s">
        <v>593</v>
      </c>
      <c r="D413" s="50">
        <v>39188</v>
      </c>
      <c r="E413" s="51">
        <v>190.96250000000001</v>
      </c>
    </row>
    <row r="414" spans="1:5" x14ac:dyDescent="0.35">
      <c r="A414" s="48" t="s">
        <v>304</v>
      </c>
      <c r="B414" s="48" t="s">
        <v>600</v>
      </c>
      <c r="C414" s="52" t="s">
        <v>593</v>
      </c>
      <c r="D414" s="50">
        <v>39202</v>
      </c>
      <c r="E414" s="51">
        <v>134.53620000000001</v>
      </c>
    </row>
    <row r="415" spans="1:5" x14ac:dyDescent="0.35">
      <c r="A415" s="48" t="s">
        <v>313</v>
      </c>
      <c r="B415" s="48" t="s">
        <v>409</v>
      </c>
      <c r="C415" s="52" t="s">
        <v>593</v>
      </c>
      <c r="D415" s="50">
        <v>39224</v>
      </c>
      <c r="E415" s="51">
        <v>197.95179999999999</v>
      </c>
    </row>
    <row r="416" spans="1:5" x14ac:dyDescent="0.35">
      <c r="A416" s="48" t="s">
        <v>306</v>
      </c>
      <c r="B416" s="48" t="s">
        <v>495</v>
      </c>
      <c r="C416" s="52" t="s">
        <v>593</v>
      </c>
      <c r="D416" s="50">
        <v>39228</v>
      </c>
      <c r="E416" s="51">
        <v>184.2783</v>
      </c>
    </row>
    <row r="417" spans="1:5" x14ac:dyDescent="0.35">
      <c r="A417" s="48" t="s">
        <v>306</v>
      </c>
      <c r="B417" s="48" t="s">
        <v>601</v>
      </c>
      <c r="C417" s="52" t="s">
        <v>593</v>
      </c>
      <c r="D417" s="50">
        <v>39231</v>
      </c>
      <c r="E417" s="51">
        <v>185.70439999999999</v>
      </c>
    </row>
    <row r="418" spans="1:5" x14ac:dyDescent="0.35">
      <c r="A418" s="48" t="s">
        <v>304</v>
      </c>
      <c r="B418" s="48" t="s">
        <v>602</v>
      </c>
      <c r="C418" s="52" t="s">
        <v>593</v>
      </c>
      <c r="D418" s="50">
        <v>39237</v>
      </c>
      <c r="E418" s="51">
        <v>211.05500000000001</v>
      </c>
    </row>
    <row r="419" spans="1:5" x14ac:dyDescent="0.35">
      <c r="A419" s="48" t="s">
        <v>306</v>
      </c>
      <c r="B419" s="48" t="s">
        <v>507</v>
      </c>
      <c r="C419" s="52" t="s">
        <v>593</v>
      </c>
      <c r="D419" s="50">
        <v>39245</v>
      </c>
      <c r="E419" s="51">
        <v>209.44110000000001</v>
      </c>
    </row>
    <row r="420" spans="1:5" x14ac:dyDescent="0.35">
      <c r="A420" s="48" t="s">
        <v>306</v>
      </c>
      <c r="B420" s="48" t="s">
        <v>497</v>
      </c>
      <c r="C420" s="52" t="s">
        <v>593</v>
      </c>
      <c r="D420" s="50">
        <v>39269</v>
      </c>
      <c r="E420" s="51">
        <v>228.13730000000001</v>
      </c>
    </row>
    <row r="421" spans="1:5" x14ac:dyDescent="0.35">
      <c r="A421" s="48" t="s">
        <v>304</v>
      </c>
      <c r="B421" s="48" t="s">
        <v>603</v>
      </c>
      <c r="C421" s="52" t="s">
        <v>593</v>
      </c>
      <c r="D421" s="50">
        <v>39271</v>
      </c>
      <c r="E421" s="51">
        <v>185.15260000000001</v>
      </c>
    </row>
    <row r="422" spans="1:5" x14ac:dyDescent="0.35">
      <c r="A422" s="48" t="s">
        <v>304</v>
      </c>
      <c r="B422" s="48" t="s">
        <v>604</v>
      </c>
      <c r="C422" s="52" t="s">
        <v>593</v>
      </c>
      <c r="D422" s="50">
        <v>39272</v>
      </c>
      <c r="E422" s="51">
        <v>180.18940000000001</v>
      </c>
    </row>
    <row r="423" spans="1:5" x14ac:dyDescent="0.35">
      <c r="A423" s="48" t="s">
        <v>306</v>
      </c>
      <c r="B423" s="48" t="s">
        <v>530</v>
      </c>
      <c r="C423" s="52" t="s">
        <v>593</v>
      </c>
      <c r="D423" s="50">
        <v>39279</v>
      </c>
      <c r="E423" s="51">
        <v>185.70439999999999</v>
      </c>
    </row>
    <row r="424" spans="1:5" x14ac:dyDescent="0.35">
      <c r="A424" s="48" t="s">
        <v>304</v>
      </c>
      <c r="B424" s="48" t="s">
        <v>547</v>
      </c>
      <c r="C424" s="52" t="s">
        <v>593</v>
      </c>
      <c r="D424" s="50">
        <v>39313</v>
      </c>
      <c r="E424" s="51">
        <v>190.66380000000001</v>
      </c>
    </row>
    <row r="425" spans="1:5" x14ac:dyDescent="0.35">
      <c r="A425" s="48" t="s">
        <v>306</v>
      </c>
      <c r="B425" s="48" t="s">
        <v>605</v>
      </c>
      <c r="C425" s="52" t="s">
        <v>593</v>
      </c>
      <c r="D425" s="50">
        <v>39314</v>
      </c>
      <c r="E425" s="51">
        <v>184.0753</v>
      </c>
    </row>
    <row r="426" spans="1:5" x14ac:dyDescent="0.35">
      <c r="A426" s="48" t="s">
        <v>313</v>
      </c>
      <c r="B426" s="48" t="s">
        <v>376</v>
      </c>
      <c r="C426" s="52" t="s">
        <v>593</v>
      </c>
      <c r="D426" s="50">
        <v>39315</v>
      </c>
      <c r="E426" s="51">
        <v>175.8296</v>
      </c>
    </row>
    <row r="427" spans="1:5" x14ac:dyDescent="0.35">
      <c r="A427" s="48" t="s">
        <v>300</v>
      </c>
      <c r="B427" s="48" t="s">
        <v>606</v>
      </c>
      <c r="C427" s="52" t="s">
        <v>593</v>
      </c>
      <c r="D427" s="50">
        <v>39318</v>
      </c>
      <c r="E427" s="51">
        <v>190.96250000000001</v>
      </c>
    </row>
    <row r="428" spans="1:5" x14ac:dyDescent="0.35">
      <c r="A428" s="48" t="s">
        <v>313</v>
      </c>
      <c r="B428" s="48" t="s">
        <v>529</v>
      </c>
      <c r="C428" s="52" t="s">
        <v>593</v>
      </c>
      <c r="D428" s="50">
        <v>39318</v>
      </c>
      <c r="E428" s="51">
        <v>175.8296</v>
      </c>
    </row>
    <row r="429" spans="1:5" x14ac:dyDescent="0.35">
      <c r="A429" s="48" t="s">
        <v>300</v>
      </c>
      <c r="B429" s="48" t="s">
        <v>607</v>
      </c>
      <c r="C429" s="52" t="s">
        <v>593</v>
      </c>
      <c r="D429" s="50">
        <v>39325</v>
      </c>
      <c r="E429" s="51">
        <v>205.8</v>
      </c>
    </row>
    <row r="430" spans="1:5" x14ac:dyDescent="0.35">
      <c r="A430" s="48" t="s">
        <v>313</v>
      </c>
      <c r="B430" s="48" t="s">
        <v>409</v>
      </c>
      <c r="C430" s="52" t="s">
        <v>593</v>
      </c>
      <c r="D430" s="50">
        <v>39328</v>
      </c>
      <c r="E430" s="51">
        <v>197.95179999999999</v>
      </c>
    </row>
    <row r="431" spans="1:5" x14ac:dyDescent="0.35">
      <c r="A431" s="48" t="s">
        <v>313</v>
      </c>
      <c r="B431" s="48" t="s">
        <v>409</v>
      </c>
      <c r="C431" s="52" t="s">
        <v>593</v>
      </c>
      <c r="D431" s="50">
        <v>39332</v>
      </c>
      <c r="E431" s="51">
        <v>197.95179999999999</v>
      </c>
    </row>
    <row r="432" spans="1:5" x14ac:dyDescent="0.35">
      <c r="A432" s="48" t="s">
        <v>306</v>
      </c>
      <c r="B432" s="48" t="s">
        <v>308</v>
      </c>
      <c r="C432" s="52" t="s">
        <v>593</v>
      </c>
      <c r="D432" s="50">
        <v>39348</v>
      </c>
      <c r="E432" s="51">
        <v>197.976</v>
      </c>
    </row>
    <row r="433" spans="1:5" x14ac:dyDescent="0.35">
      <c r="A433" s="48" t="s">
        <v>304</v>
      </c>
      <c r="B433" s="48" t="s">
        <v>608</v>
      </c>
      <c r="C433" s="52" t="s">
        <v>593</v>
      </c>
      <c r="D433" s="50">
        <v>39350</v>
      </c>
      <c r="E433" s="51">
        <v>214.1009</v>
      </c>
    </row>
    <row r="434" spans="1:5" x14ac:dyDescent="0.35">
      <c r="A434" s="48" t="s">
        <v>300</v>
      </c>
      <c r="B434" s="48" t="s">
        <v>609</v>
      </c>
      <c r="C434" s="52" t="s">
        <v>593</v>
      </c>
      <c r="D434" s="50">
        <v>39354</v>
      </c>
      <c r="E434" s="51">
        <v>205.8</v>
      </c>
    </row>
    <row r="435" spans="1:5" x14ac:dyDescent="0.35">
      <c r="A435" s="48" t="s">
        <v>300</v>
      </c>
      <c r="B435" s="48" t="s">
        <v>610</v>
      </c>
      <c r="C435" s="52" t="s">
        <v>593</v>
      </c>
      <c r="D435" s="50">
        <v>39354</v>
      </c>
      <c r="E435" s="51">
        <v>226.506</v>
      </c>
    </row>
    <row r="436" spans="1:5" x14ac:dyDescent="0.35">
      <c r="A436" s="48" t="s">
        <v>313</v>
      </c>
      <c r="B436" s="48" t="s">
        <v>611</v>
      </c>
      <c r="C436" s="52" t="s">
        <v>593</v>
      </c>
      <c r="D436" s="50">
        <v>39356</v>
      </c>
      <c r="E436" s="51">
        <v>204.19800000000001</v>
      </c>
    </row>
    <row r="437" spans="1:5" x14ac:dyDescent="0.35">
      <c r="A437" s="48" t="s">
        <v>304</v>
      </c>
      <c r="B437" s="48" t="s">
        <v>612</v>
      </c>
      <c r="C437" s="52" t="s">
        <v>593</v>
      </c>
      <c r="D437" s="50">
        <v>39361</v>
      </c>
      <c r="E437" s="51">
        <v>214.1009</v>
      </c>
    </row>
    <row r="438" spans="1:5" x14ac:dyDescent="0.35">
      <c r="A438" s="48" t="s">
        <v>300</v>
      </c>
      <c r="B438" s="48" t="s">
        <v>474</v>
      </c>
      <c r="C438" s="52" t="s">
        <v>593</v>
      </c>
      <c r="D438" s="50">
        <v>39364</v>
      </c>
      <c r="E438" s="51">
        <v>190.96250000000001</v>
      </c>
    </row>
    <row r="439" spans="1:5" x14ac:dyDescent="0.35">
      <c r="A439" s="48" t="s">
        <v>313</v>
      </c>
      <c r="B439" s="48" t="s">
        <v>613</v>
      </c>
      <c r="C439" s="52" t="s">
        <v>593</v>
      </c>
      <c r="D439" s="50">
        <v>39364</v>
      </c>
      <c r="E439" s="51">
        <v>197.95179999999999</v>
      </c>
    </row>
    <row r="440" spans="1:5" x14ac:dyDescent="0.35">
      <c r="A440" s="48" t="s">
        <v>304</v>
      </c>
      <c r="B440" s="48" t="s">
        <v>614</v>
      </c>
      <c r="C440" s="52" t="s">
        <v>593</v>
      </c>
      <c r="D440" s="50">
        <v>39370</v>
      </c>
      <c r="E440" s="51">
        <v>211.05500000000001</v>
      </c>
    </row>
    <row r="441" spans="1:5" x14ac:dyDescent="0.35">
      <c r="A441" s="48" t="s">
        <v>304</v>
      </c>
      <c r="B441" s="48" t="s">
        <v>615</v>
      </c>
      <c r="C441" s="52" t="s">
        <v>593</v>
      </c>
      <c r="D441" s="50">
        <v>39384</v>
      </c>
      <c r="E441" s="51">
        <v>190.66380000000001</v>
      </c>
    </row>
    <row r="442" spans="1:5" x14ac:dyDescent="0.35">
      <c r="A442" s="48" t="s">
        <v>313</v>
      </c>
      <c r="B442" s="48" t="s">
        <v>409</v>
      </c>
      <c r="C442" s="52" t="s">
        <v>593</v>
      </c>
      <c r="D442" s="50">
        <v>39384</v>
      </c>
      <c r="E442" s="51">
        <v>197.95179999999999</v>
      </c>
    </row>
    <row r="443" spans="1:5" x14ac:dyDescent="0.35">
      <c r="A443" s="48" t="s">
        <v>300</v>
      </c>
      <c r="B443" s="48" t="s">
        <v>610</v>
      </c>
      <c r="C443" s="52" t="s">
        <v>593</v>
      </c>
      <c r="D443" s="50">
        <v>39388</v>
      </c>
      <c r="E443" s="51">
        <v>226.506</v>
      </c>
    </row>
    <row r="444" spans="1:5" x14ac:dyDescent="0.35">
      <c r="A444" s="48" t="s">
        <v>306</v>
      </c>
      <c r="B444" s="48" t="s">
        <v>530</v>
      </c>
      <c r="C444" s="52" t="s">
        <v>593</v>
      </c>
      <c r="D444" s="50">
        <v>39391</v>
      </c>
      <c r="E444" s="51">
        <v>185.70439999999999</v>
      </c>
    </row>
    <row r="445" spans="1:5" x14ac:dyDescent="0.35">
      <c r="A445" s="48" t="s">
        <v>304</v>
      </c>
      <c r="B445" s="48" t="s">
        <v>418</v>
      </c>
      <c r="C445" s="52" t="s">
        <v>593</v>
      </c>
      <c r="D445" s="50">
        <v>39392</v>
      </c>
      <c r="E445" s="51">
        <v>204.42599999999999</v>
      </c>
    </row>
    <row r="446" spans="1:5" x14ac:dyDescent="0.35">
      <c r="A446" s="48" t="s">
        <v>300</v>
      </c>
      <c r="B446" s="48" t="s">
        <v>616</v>
      </c>
      <c r="C446" s="52" t="s">
        <v>593</v>
      </c>
      <c r="D446" s="50">
        <v>39410</v>
      </c>
      <c r="E446" s="51">
        <v>188.06880000000001</v>
      </c>
    </row>
    <row r="447" spans="1:5" x14ac:dyDescent="0.35">
      <c r="A447" s="48" t="s">
        <v>306</v>
      </c>
      <c r="B447" s="48" t="s">
        <v>502</v>
      </c>
      <c r="C447" s="52" t="s">
        <v>593</v>
      </c>
      <c r="D447" s="50">
        <v>39424</v>
      </c>
      <c r="E447" s="51">
        <v>209.44110000000001</v>
      </c>
    </row>
    <row r="448" spans="1:5" x14ac:dyDescent="0.35">
      <c r="A448" s="48" t="s">
        <v>300</v>
      </c>
      <c r="B448" s="48" t="s">
        <v>617</v>
      </c>
      <c r="C448" s="52" t="s">
        <v>593</v>
      </c>
      <c r="D448" s="50">
        <v>39426</v>
      </c>
      <c r="E448" s="51">
        <v>206.505</v>
      </c>
    </row>
    <row r="449" spans="1:5" x14ac:dyDescent="0.35">
      <c r="A449" s="48" t="s">
        <v>304</v>
      </c>
      <c r="B449" s="48" t="s">
        <v>618</v>
      </c>
      <c r="C449" s="52" t="s">
        <v>593</v>
      </c>
      <c r="D449" s="50">
        <v>39437</v>
      </c>
      <c r="E449" s="51">
        <v>192.2971</v>
      </c>
    </row>
    <row r="450" spans="1:5" x14ac:dyDescent="0.35">
      <c r="A450" s="48" t="s">
        <v>304</v>
      </c>
      <c r="B450" s="48" t="s">
        <v>600</v>
      </c>
      <c r="C450" s="52" t="s">
        <v>593</v>
      </c>
      <c r="D450" s="50">
        <v>39445</v>
      </c>
      <c r="E450" s="51">
        <v>134.53620000000001</v>
      </c>
    </row>
    <row r="451" spans="1:5" x14ac:dyDescent="0.35">
      <c r="A451" s="48" t="s">
        <v>306</v>
      </c>
      <c r="B451" s="48" t="s">
        <v>482</v>
      </c>
      <c r="C451" s="52" t="s">
        <v>593</v>
      </c>
      <c r="D451" s="50">
        <v>39445</v>
      </c>
      <c r="E451" s="51">
        <v>165.44649999999999</v>
      </c>
    </row>
    <row r="452" spans="1:5" x14ac:dyDescent="0.35">
      <c r="A452" s="48" t="s">
        <v>313</v>
      </c>
      <c r="B452" s="48" t="s">
        <v>376</v>
      </c>
      <c r="C452" s="52" t="s">
        <v>593</v>
      </c>
      <c r="D452" s="50">
        <v>39445</v>
      </c>
      <c r="E452" s="51">
        <v>175.8296</v>
      </c>
    </row>
    <row r="453" spans="1:5" x14ac:dyDescent="0.35">
      <c r="A453" s="48" t="s">
        <v>306</v>
      </c>
      <c r="B453" s="48" t="s">
        <v>619</v>
      </c>
      <c r="C453" s="52" t="s">
        <v>593</v>
      </c>
      <c r="D453" s="50">
        <v>39448</v>
      </c>
      <c r="E453" s="51">
        <v>198.9213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C377C-6019-4B8E-A806-5FFCE8854FA1}">
  <dimension ref="A1:H453"/>
  <sheetViews>
    <sheetView zoomScale="144" zoomScaleNormal="145" workbookViewId="0">
      <selection activeCell="H2" sqref="H2"/>
    </sheetView>
  </sheetViews>
  <sheetFormatPr defaultRowHeight="14.5" x14ac:dyDescent="0.35"/>
  <cols>
    <col min="1" max="1" width="8.453125" bestFit="1" customWidth="1"/>
    <col min="2" max="2" width="18" bestFit="1" customWidth="1"/>
    <col min="3" max="3" width="10.81640625" bestFit="1" customWidth="1"/>
    <col min="4" max="4" width="11.7265625" bestFit="1" customWidth="1"/>
    <col min="5" max="5" width="8.54296875" bestFit="1" customWidth="1"/>
    <col min="8" max="8" width="11.1796875" bestFit="1" customWidth="1"/>
  </cols>
  <sheetData>
    <row r="1" spans="1:8" x14ac:dyDescent="0.35">
      <c r="A1" s="75" t="s">
        <v>23</v>
      </c>
      <c r="B1" s="75" t="s">
        <v>296</v>
      </c>
      <c r="C1" s="76" t="s">
        <v>297</v>
      </c>
      <c r="D1" s="76" t="s">
        <v>298</v>
      </c>
      <c r="E1" s="76" t="s">
        <v>299</v>
      </c>
      <c r="H1" s="5" t="s">
        <v>0</v>
      </c>
    </row>
    <row r="2" spans="1:8" x14ac:dyDescent="0.35">
      <c r="A2" s="48" t="s">
        <v>300</v>
      </c>
      <c r="B2" s="48" t="s">
        <v>301</v>
      </c>
      <c r="C2" s="49" t="s">
        <v>302</v>
      </c>
      <c r="D2" s="50">
        <v>39091</v>
      </c>
      <c r="E2" s="51">
        <v>344.3938</v>
      </c>
      <c r="H2" t="s">
        <v>1490</v>
      </c>
    </row>
    <row r="3" spans="1:8" x14ac:dyDescent="0.35">
      <c r="A3" s="48" t="s">
        <v>304</v>
      </c>
      <c r="B3" s="48" t="s">
        <v>305</v>
      </c>
      <c r="C3" s="49" t="s">
        <v>302</v>
      </c>
      <c r="D3" s="50">
        <v>39108</v>
      </c>
      <c r="E3" s="51">
        <v>301.11840000000001</v>
      </c>
      <c r="H3" t="s">
        <v>620</v>
      </c>
    </row>
    <row r="4" spans="1:8" x14ac:dyDescent="0.35">
      <c r="A4" s="48" t="s">
        <v>306</v>
      </c>
      <c r="B4" s="48" t="s">
        <v>307</v>
      </c>
      <c r="C4" s="49" t="s">
        <v>302</v>
      </c>
      <c r="D4" s="50">
        <v>39146</v>
      </c>
      <c r="E4" s="51">
        <v>598.88649999999996</v>
      </c>
    </row>
    <row r="5" spans="1:8" x14ac:dyDescent="0.35">
      <c r="A5" s="48" t="s">
        <v>306</v>
      </c>
      <c r="B5" s="48" t="s">
        <v>308</v>
      </c>
      <c r="C5" s="49" t="s">
        <v>302</v>
      </c>
      <c r="D5" s="50">
        <v>39172</v>
      </c>
      <c r="E5" s="51">
        <v>424.62889999999999</v>
      </c>
      <c r="G5" s="60" t="s">
        <v>164</v>
      </c>
      <c r="H5" s="57">
        <f>SUM(E2:E453)</f>
        <v>73031.126399999936</v>
      </c>
    </row>
    <row r="6" spans="1:8" x14ac:dyDescent="0.35">
      <c r="A6" s="48" t="s">
        <v>306</v>
      </c>
      <c r="B6" s="48" t="s">
        <v>309</v>
      </c>
      <c r="C6" s="49" t="s">
        <v>302</v>
      </c>
      <c r="D6" s="50">
        <v>39175</v>
      </c>
      <c r="E6" s="51">
        <v>424.62889999999999</v>
      </c>
      <c r="G6" s="60" t="s">
        <v>172</v>
      </c>
      <c r="H6" s="57">
        <f>AVERAGE(E2:E453)</f>
        <v>161.57328849557507</v>
      </c>
    </row>
    <row r="7" spans="1:8" x14ac:dyDescent="0.35">
      <c r="A7" s="48" t="s">
        <v>306</v>
      </c>
      <c r="B7" s="48" t="s">
        <v>310</v>
      </c>
      <c r="C7" s="49" t="s">
        <v>302</v>
      </c>
      <c r="D7" s="50">
        <v>39181</v>
      </c>
      <c r="E7" s="51">
        <v>604.47080000000005</v>
      </c>
    </row>
    <row r="8" spans="1:8" x14ac:dyDescent="0.35">
      <c r="A8" s="48" t="s">
        <v>300</v>
      </c>
      <c r="B8" s="48" t="s">
        <v>311</v>
      </c>
      <c r="C8" s="49" t="s">
        <v>302</v>
      </c>
      <c r="D8" s="50">
        <v>39192</v>
      </c>
      <c r="E8" s="51">
        <v>351.30329999999998</v>
      </c>
    </row>
    <row r="9" spans="1:8" x14ac:dyDescent="0.35">
      <c r="A9" s="48" t="s">
        <v>304</v>
      </c>
      <c r="B9" s="48" t="s">
        <v>312</v>
      </c>
      <c r="C9" s="49" t="s">
        <v>302</v>
      </c>
      <c r="D9" s="50">
        <v>39201</v>
      </c>
      <c r="E9" s="51">
        <v>388.93259999999998</v>
      </c>
    </row>
    <row r="10" spans="1:8" x14ac:dyDescent="0.35">
      <c r="A10" s="48" t="s">
        <v>313</v>
      </c>
      <c r="B10" s="48" t="s">
        <v>314</v>
      </c>
      <c r="C10" s="49" t="s">
        <v>302</v>
      </c>
      <c r="D10" s="50">
        <v>39206</v>
      </c>
      <c r="E10" s="51">
        <v>482.15460000000002</v>
      </c>
    </row>
    <row r="11" spans="1:8" x14ac:dyDescent="0.35">
      <c r="A11" s="48" t="s">
        <v>300</v>
      </c>
      <c r="B11" s="48" t="s">
        <v>301</v>
      </c>
      <c r="C11" s="49" t="s">
        <v>302</v>
      </c>
      <c r="D11" s="50">
        <v>39210</v>
      </c>
      <c r="E11" s="51">
        <v>344.3938</v>
      </c>
    </row>
    <row r="12" spans="1:8" x14ac:dyDescent="0.35">
      <c r="A12" s="48" t="s">
        <v>306</v>
      </c>
      <c r="B12" s="48" t="s">
        <v>315</v>
      </c>
      <c r="C12" s="49" t="s">
        <v>302</v>
      </c>
      <c r="D12" s="50">
        <v>39221</v>
      </c>
      <c r="E12" s="51">
        <v>484.20249999999999</v>
      </c>
    </row>
    <row r="13" spans="1:8" x14ac:dyDescent="0.35">
      <c r="A13" s="48" t="s">
        <v>313</v>
      </c>
      <c r="B13" s="48" t="s">
        <v>316</v>
      </c>
      <c r="C13" s="49" t="s">
        <v>302</v>
      </c>
      <c r="D13" s="50">
        <v>39221</v>
      </c>
      <c r="E13" s="51">
        <v>474.30430000000001</v>
      </c>
    </row>
    <row r="14" spans="1:8" x14ac:dyDescent="0.35">
      <c r="A14" s="48" t="s">
        <v>313</v>
      </c>
      <c r="B14" s="48" t="s">
        <v>317</v>
      </c>
      <c r="C14" s="49" t="s">
        <v>302</v>
      </c>
      <c r="D14" s="50">
        <v>39224</v>
      </c>
      <c r="E14" s="51">
        <v>566.70860000000005</v>
      </c>
    </row>
    <row r="15" spans="1:8" x14ac:dyDescent="0.35">
      <c r="A15" s="48" t="s">
        <v>304</v>
      </c>
      <c r="B15" s="48" t="s">
        <v>318</v>
      </c>
      <c r="C15" s="49" t="s">
        <v>302</v>
      </c>
      <c r="D15" s="50">
        <v>39236</v>
      </c>
      <c r="E15" s="51">
        <v>388.93259999999998</v>
      </c>
    </row>
    <row r="16" spans="1:8" x14ac:dyDescent="0.35">
      <c r="A16" s="48" t="s">
        <v>306</v>
      </c>
      <c r="B16" s="48" t="s">
        <v>319</v>
      </c>
      <c r="C16" s="49" t="s">
        <v>302</v>
      </c>
      <c r="D16" s="50">
        <v>39244</v>
      </c>
      <c r="E16" s="51">
        <v>401.57470000000001</v>
      </c>
    </row>
    <row r="17" spans="1:5" x14ac:dyDescent="0.35">
      <c r="A17" s="48" t="s">
        <v>304</v>
      </c>
      <c r="B17" s="48" t="s">
        <v>320</v>
      </c>
      <c r="C17" s="49" t="s">
        <v>302</v>
      </c>
      <c r="D17" s="50">
        <v>39252</v>
      </c>
      <c r="E17" s="51">
        <v>528.53489999999999</v>
      </c>
    </row>
    <row r="18" spans="1:5" x14ac:dyDescent="0.35">
      <c r="A18" s="48" t="s">
        <v>304</v>
      </c>
      <c r="B18" s="48" t="s">
        <v>321</v>
      </c>
      <c r="C18" s="49" t="s">
        <v>302</v>
      </c>
      <c r="D18" s="50">
        <v>39256</v>
      </c>
      <c r="E18" s="51">
        <v>388.93259999999998</v>
      </c>
    </row>
    <row r="19" spans="1:5" x14ac:dyDescent="0.35">
      <c r="A19" s="48" t="s">
        <v>304</v>
      </c>
      <c r="B19" s="48" t="s">
        <v>322</v>
      </c>
      <c r="C19" s="49" t="s">
        <v>302</v>
      </c>
      <c r="D19" s="50">
        <v>39264</v>
      </c>
      <c r="E19" s="51">
        <v>416.76530000000002</v>
      </c>
    </row>
    <row r="20" spans="1:5" x14ac:dyDescent="0.35">
      <c r="A20" s="48" t="s">
        <v>300</v>
      </c>
      <c r="B20" s="48" t="s">
        <v>323</v>
      </c>
      <c r="C20" s="49" t="s">
        <v>302</v>
      </c>
      <c r="D20" s="50">
        <v>39265</v>
      </c>
      <c r="E20" s="51">
        <v>344.3938</v>
      </c>
    </row>
    <row r="21" spans="1:5" x14ac:dyDescent="0.35">
      <c r="A21" s="48" t="s">
        <v>304</v>
      </c>
      <c r="B21" s="48" t="s">
        <v>324</v>
      </c>
      <c r="C21" s="49" t="s">
        <v>302</v>
      </c>
      <c r="D21" s="50">
        <v>39278</v>
      </c>
      <c r="E21" s="51">
        <v>388.93259999999998</v>
      </c>
    </row>
    <row r="22" spans="1:5" x14ac:dyDescent="0.35">
      <c r="A22" s="48" t="s">
        <v>304</v>
      </c>
      <c r="B22" s="48" t="s">
        <v>325</v>
      </c>
      <c r="C22" s="49" t="s">
        <v>302</v>
      </c>
      <c r="D22" s="50">
        <v>39284</v>
      </c>
      <c r="E22" s="51">
        <v>388.93259999999998</v>
      </c>
    </row>
    <row r="23" spans="1:5" x14ac:dyDescent="0.35">
      <c r="A23" s="48" t="s">
        <v>304</v>
      </c>
      <c r="B23" s="48" t="s">
        <v>326</v>
      </c>
      <c r="C23" s="49" t="s">
        <v>302</v>
      </c>
      <c r="D23" s="50">
        <v>39305</v>
      </c>
      <c r="E23" s="51">
        <v>528.53489999999999</v>
      </c>
    </row>
    <row r="24" spans="1:5" x14ac:dyDescent="0.35">
      <c r="A24" s="48" t="s">
        <v>304</v>
      </c>
      <c r="B24" s="48" t="s">
        <v>327</v>
      </c>
      <c r="C24" s="49" t="s">
        <v>302</v>
      </c>
      <c r="D24" s="50">
        <v>39307</v>
      </c>
      <c r="E24" s="51">
        <v>445.23489999999998</v>
      </c>
    </row>
    <row r="25" spans="1:5" x14ac:dyDescent="0.35">
      <c r="A25" s="48" t="s">
        <v>304</v>
      </c>
      <c r="B25" s="48" t="s">
        <v>318</v>
      </c>
      <c r="C25" s="49" t="s">
        <v>302</v>
      </c>
      <c r="D25" s="50">
        <v>39334</v>
      </c>
      <c r="E25" s="51">
        <v>388.93259999999998</v>
      </c>
    </row>
    <row r="26" spans="1:5" x14ac:dyDescent="0.35">
      <c r="A26" s="48" t="s">
        <v>313</v>
      </c>
      <c r="B26" s="48" t="s">
        <v>328</v>
      </c>
      <c r="C26" s="49" t="s">
        <v>302</v>
      </c>
      <c r="D26" s="50">
        <v>39336</v>
      </c>
      <c r="E26" s="51">
        <v>630.7242</v>
      </c>
    </row>
    <row r="27" spans="1:5" x14ac:dyDescent="0.35">
      <c r="A27" s="48" t="s">
        <v>306</v>
      </c>
      <c r="B27" s="48" t="s">
        <v>329</v>
      </c>
      <c r="C27" s="49" t="s">
        <v>302</v>
      </c>
      <c r="D27" s="50">
        <v>39391</v>
      </c>
      <c r="E27" s="51">
        <v>484.20249999999999</v>
      </c>
    </row>
    <row r="28" spans="1:5" x14ac:dyDescent="0.35">
      <c r="A28" s="48" t="s">
        <v>306</v>
      </c>
      <c r="B28" s="48" t="s">
        <v>329</v>
      </c>
      <c r="C28" s="49" t="s">
        <v>302</v>
      </c>
      <c r="D28" s="50">
        <v>39391</v>
      </c>
      <c r="E28" s="51">
        <v>484.20249999999999</v>
      </c>
    </row>
    <row r="29" spans="1:5" x14ac:dyDescent="0.35">
      <c r="A29" s="48" t="s">
        <v>300</v>
      </c>
      <c r="B29" s="48" t="s">
        <v>330</v>
      </c>
      <c r="C29" s="49" t="s">
        <v>302</v>
      </c>
      <c r="D29" s="50">
        <v>39403</v>
      </c>
      <c r="E29" s="51">
        <v>361.43680000000001</v>
      </c>
    </row>
    <row r="30" spans="1:5" x14ac:dyDescent="0.35">
      <c r="A30" s="48" t="s">
        <v>304</v>
      </c>
      <c r="B30" s="48" t="s">
        <v>331</v>
      </c>
      <c r="C30" s="49" t="s">
        <v>302</v>
      </c>
      <c r="D30" s="50">
        <v>39433</v>
      </c>
      <c r="E30" s="51">
        <v>445.23489999999998</v>
      </c>
    </row>
    <row r="31" spans="1:5" x14ac:dyDescent="0.35">
      <c r="A31" s="48" t="s">
        <v>306</v>
      </c>
      <c r="B31" s="48" t="s">
        <v>332</v>
      </c>
      <c r="C31" s="49" t="s">
        <v>333</v>
      </c>
      <c r="D31" s="50">
        <v>39091</v>
      </c>
      <c r="E31" s="51">
        <v>100.6961</v>
      </c>
    </row>
    <row r="32" spans="1:5" x14ac:dyDescent="0.35">
      <c r="A32" s="48" t="s">
        <v>313</v>
      </c>
      <c r="B32" s="48" t="s">
        <v>334</v>
      </c>
      <c r="C32" s="49" t="s">
        <v>333</v>
      </c>
      <c r="D32" s="50">
        <v>39096</v>
      </c>
      <c r="E32" s="51">
        <v>114.4649</v>
      </c>
    </row>
    <row r="33" spans="1:5" x14ac:dyDescent="0.35">
      <c r="A33" s="48" t="s">
        <v>313</v>
      </c>
      <c r="B33" s="48" t="s">
        <v>335</v>
      </c>
      <c r="C33" s="49" t="s">
        <v>333</v>
      </c>
      <c r="D33" s="50">
        <v>39098</v>
      </c>
      <c r="E33" s="51">
        <v>124.3728</v>
      </c>
    </row>
    <row r="34" spans="1:5" x14ac:dyDescent="0.35">
      <c r="A34" s="48" t="s">
        <v>306</v>
      </c>
      <c r="B34" s="48" t="s">
        <v>336</v>
      </c>
      <c r="C34" s="49" t="s">
        <v>333</v>
      </c>
      <c r="D34" s="50">
        <v>39101</v>
      </c>
      <c r="E34" s="51">
        <v>107.9136</v>
      </c>
    </row>
    <row r="35" spans="1:5" x14ac:dyDescent="0.35">
      <c r="A35" s="48" t="s">
        <v>306</v>
      </c>
      <c r="B35" s="48" t="s">
        <v>337</v>
      </c>
      <c r="C35" s="49" t="s">
        <v>333</v>
      </c>
      <c r="D35" s="50">
        <v>39116</v>
      </c>
      <c r="E35" s="51">
        <v>112.3938</v>
      </c>
    </row>
    <row r="36" spans="1:5" x14ac:dyDescent="0.35">
      <c r="A36" s="48" t="s">
        <v>300</v>
      </c>
      <c r="B36" s="48" t="s">
        <v>338</v>
      </c>
      <c r="C36" s="49" t="s">
        <v>333</v>
      </c>
      <c r="D36" s="50">
        <v>39117</v>
      </c>
      <c r="E36" s="51">
        <v>112.0056</v>
      </c>
    </row>
    <row r="37" spans="1:5" x14ac:dyDescent="0.35">
      <c r="A37" s="48" t="s">
        <v>306</v>
      </c>
      <c r="B37" s="48" t="s">
        <v>339</v>
      </c>
      <c r="C37" s="49" t="s">
        <v>333</v>
      </c>
      <c r="D37" s="50">
        <v>39117</v>
      </c>
      <c r="E37" s="51">
        <v>128.88990000000001</v>
      </c>
    </row>
    <row r="38" spans="1:5" x14ac:dyDescent="0.35">
      <c r="A38" s="48" t="s">
        <v>306</v>
      </c>
      <c r="B38" s="48" t="s">
        <v>340</v>
      </c>
      <c r="C38" s="49" t="s">
        <v>333</v>
      </c>
      <c r="D38" s="50">
        <v>39117</v>
      </c>
      <c r="E38" s="51">
        <v>111.11790000000001</v>
      </c>
    </row>
    <row r="39" spans="1:5" x14ac:dyDescent="0.35">
      <c r="A39" s="48" t="s">
        <v>306</v>
      </c>
      <c r="B39" s="48" t="s">
        <v>341</v>
      </c>
      <c r="C39" s="49" t="s">
        <v>333</v>
      </c>
      <c r="D39" s="50">
        <v>39119</v>
      </c>
      <c r="E39" s="51">
        <v>100.6961</v>
      </c>
    </row>
    <row r="40" spans="1:5" x14ac:dyDescent="0.35">
      <c r="A40" s="48" t="s">
        <v>313</v>
      </c>
      <c r="B40" s="48" t="s">
        <v>342</v>
      </c>
      <c r="C40" s="49" t="s">
        <v>333</v>
      </c>
      <c r="D40" s="50">
        <v>39122</v>
      </c>
      <c r="E40" s="51">
        <v>125.2332</v>
      </c>
    </row>
    <row r="41" spans="1:5" x14ac:dyDescent="0.35">
      <c r="A41" s="48" t="s">
        <v>306</v>
      </c>
      <c r="B41" s="48" t="s">
        <v>343</v>
      </c>
      <c r="C41" s="49" t="s">
        <v>333</v>
      </c>
      <c r="D41" s="50">
        <v>39123</v>
      </c>
      <c r="E41" s="51">
        <v>128.88990000000001</v>
      </c>
    </row>
    <row r="42" spans="1:5" x14ac:dyDescent="0.35">
      <c r="A42" s="48" t="s">
        <v>313</v>
      </c>
      <c r="B42" s="48" t="s">
        <v>344</v>
      </c>
      <c r="C42" s="49" t="s">
        <v>333</v>
      </c>
      <c r="D42" s="50">
        <v>39125</v>
      </c>
      <c r="E42" s="51">
        <v>124.3728</v>
      </c>
    </row>
    <row r="43" spans="1:5" x14ac:dyDescent="0.35">
      <c r="A43" s="48" t="s">
        <v>300</v>
      </c>
      <c r="B43" s="48" t="s">
        <v>345</v>
      </c>
      <c r="C43" s="49" t="s">
        <v>333</v>
      </c>
      <c r="D43" s="50">
        <v>39125</v>
      </c>
      <c r="E43" s="51">
        <v>119.38079999999999</v>
      </c>
    </row>
    <row r="44" spans="1:5" x14ac:dyDescent="0.35">
      <c r="A44" s="48" t="s">
        <v>313</v>
      </c>
      <c r="B44" s="48" t="s">
        <v>346</v>
      </c>
      <c r="C44" s="49" t="s">
        <v>333</v>
      </c>
      <c r="D44" s="50">
        <v>39130</v>
      </c>
      <c r="E44" s="51">
        <v>125.2332</v>
      </c>
    </row>
    <row r="45" spans="1:5" x14ac:dyDescent="0.35">
      <c r="A45" s="48" t="s">
        <v>306</v>
      </c>
      <c r="B45" s="48" t="s">
        <v>329</v>
      </c>
      <c r="C45" s="49" t="s">
        <v>333</v>
      </c>
      <c r="D45" s="50">
        <v>39131</v>
      </c>
      <c r="E45" s="51">
        <v>124.32640000000001</v>
      </c>
    </row>
    <row r="46" spans="1:5" x14ac:dyDescent="0.35">
      <c r="A46" s="48" t="s">
        <v>313</v>
      </c>
      <c r="B46" s="48" t="s">
        <v>347</v>
      </c>
      <c r="C46" s="49" t="s">
        <v>333</v>
      </c>
      <c r="D46" s="50">
        <v>39136</v>
      </c>
      <c r="E46" s="51">
        <v>129.38419999999999</v>
      </c>
    </row>
    <row r="47" spans="1:5" x14ac:dyDescent="0.35">
      <c r="A47" s="48" t="s">
        <v>306</v>
      </c>
      <c r="B47" s="48" t="s">
        <v>348</v>
      </c>
      <c r="C47" s="49" t="s">
        <v>333</v>
      </c>
      <c r="D47" s="50">
        <v>39137</v>
      </c>
      <c r="E47" s="51">
        <v>111.32640000000001</v>
      </c>
    </row>
    <row r="48" spans="1:5" x14ac:dyDescent="0.35">
      <c r="A48" s="48" t="s">
        <v>306</v>
      </c>
      <c r="B48" s="48" t="s">
        <v>349</v>
      </c>
      <c r="C48" s="49" t="s">
        <v>333</v>
      </c>
      <c r="D48" s="50">
        <v>39137</v>
      </c>
      <c r="E48" s="51">
        <v>104.8154</v>
      </c>
    </row>
    <row r="49" spans="1:5" x14ac:dyDescent="0.35">
      <c r="A49" s="48" t="s">
        <v>306</v>
      </c>
      <c r="B49" s="48" t="s">
        <v>350</v>
      </c>
      <c r="C49" s="49" t="s">
        <v>333</v>
      </c>
      <c r="D49" s="50">
        <v>39137</v>
      </c>
      <c r="E49" s="51">
        <v>124.32640000000001</v>
      </c>
    </row>
    <row r="50" spans="1:5" x14ac:dyDescent="0.35">
      <c r="A50" s="48" t="s">
        <v>304</v>
      </c>
      <c r="B50" s="48" t="s">
        <v>351</v>
      </c>
      <c r="C50" s="49" t="s">
        <v>333</v>
      </c>
      <c r="D50" s="50">
        <v>39138</v>
      </c>
      <c r="E50" s="51">
        <v>115.6814</v>
      </c>
    </row>
    <row r="51" spans="1:5" x14ac:dyDescent="0.35">
      <c r="A51" s="48" t="s">
        <v>304</v>
      </c>
      <c r="B51" s="48" t="s">
        <v>352</v>
      </c>
      <c r="C51" s="49" t="s">
        <v>333</v>
      </c>
      <c r="D51" s="50">
        <v>39138</v>
      </c>
      <c r="E51" s="51">
        <v>115.6814</v>
      </c>
    </row>
    <row r="52" spans="1:5" x14ac:dyDescent="0.35">
      <c r="A52" s="48" t="s">
        <v>313</v>
      </c>
      <c r="B52" s="48" t="s">
        <v>317</v>
      </c>
      <c r="C52" s="49" t="s">
        <v>333</v>
      </c>
      <c r="D52" s="50">
        <v>39140</v>
      </c>
      <c r="E52" s="51">
        <v>112.1285</v>
      </c>
    </row>
    <row r="53" spans="1:5" x14ac:dyDescent="0.35">
      <c r="A53" s="48" t="s">
        <v>300</v>
      </c>
      <c r="B53" s="48" t="s">
        <v>353</v>
      </c>
      <c r="C53" s="49" t="s">
        <v>333</v>
      </c>
      <c r="D53" s="50">
        <v>39140</v>
      </c>
      <c r="E53" s="51">
        <v>108.5147</v>
      </c>
    </row>
    <row r="54" spans="1:5" x14ac:dyDescent="0.35">
      <c r="A54" s="48" t="s">
        <v>300</v>
      </c>
      <c r="B54" s="48" t="s">
        <v>354</v>
      </c>
      <c r="C54" s="49" t="s">
        <v>333</v>
      </c>
      <c r="D54" s="50">
        <v>39140</v>
      </c>
      <c r="E54" s="51">
        <v>108.5147</v>
      </c>
    </row>
    <row r="55" spans="1:5" x14ac:dyDescent="0.35">
      <c r="A55" s="48" t="s">
        <v>313</v>
      </c>
      <c r="B55" s="48" t="s">
        <v>355</v>
      </c>
      <c r="C55" s="49" t="s">
        <v>333</v>
      </c>
      <c r="D55" s="50">
        <v>39140</v>
      </c>
      <c r="E55" s="51">
        <v>115.76049999999999</v>
      </c>
    </row>
    <row r="56" spans="1:5" x14ac:dyDescent="0.35">
      <c r="A56" s="48" t="s">
        <v>300</v>
      </c>
      <c r="B56" s="48" t="s">
        <v>356</v>
      </c>
      <c r="C56" s="49" t="s">
        <v>333</v>
      </c>
      <c r="D56" s="50">
        <v>39140</v>
      </c>
      <c r="E56" s="51">
        <v>121.9118</v>
      </c>
    </row>
    <row r="57" spans="1:5" x14ac:dyDescent="0.35">
      <c r="A57" s="48" t="s">
        <v>313</v>
      </c>
      <c r="B57" s="48" t="s">
        <v>357</v>
      </c>
      <c r="C57" s="49" t="s">
        <v>333</v>
      </c>
      <c r="D57" s="50">
        <v>39150</v>
      </c>
      <c r="E57" s="51">
        <v>124.4336</v>
      </c>
    </row>
    <row r="58" spans="1:5" x14ac:dyDescent="0.35">
      <c r="A58" s="48" t="s">
        <v>306</v>
      </c>
      <c r="B58" s="48" t="s">
        <v>358</v>
      </c>
      <c r="C58" s="49" t="s">
        <v>333</v>
      </c>
      <c r="D58" s="50">
        <v>39152</v>
      </c>
      <c r="E58" s="51">
        <v>124.32640000000001</v>
      </c>
    </row>
    <row r="59" spans="1:5" x14ac:dyDescent="0.35">
      <c r="A59" s="48" t="s">
        <v>304</v>
      </c>
      <c r="B59" s="48" t="s">
        <v>359</v>
      </c>
      <c r="C59" s="49" t="s">
        <v>333</v>
      </c>
      <c r="D59" s="50">
        <v>39154</v>
      </c>
      <c r="E59" s="51">
        <v>115.6814</v>
      </c>
    </row>
    <row r="60" spans="1:5" x14ac:dyDescent="0.35">
      <c r="A60" s="48" t="s">
        <v>304</v>
      </c>
      <c r="B60" s="48" t="s">
        <v>360</v>
      </c>
      <c r="C60" s="49" t="s">
        <v>333</v>
      </c>
      <c r="D60" s="50">
        <v>39157</v>
      </c>
      <c r="E60" s="51">
        <v>127.0779</v>
      </c>
    </row>
    <row r="61" spans="1:5" x14ac:dyDescent="0.35">
      <c r="A61" s="48" t="s">
        <v>300</v>
      </c>
      <c r="B61" s="48" t="s">
        <v>361</v>
      </c>
      <c r="C61" s="49" t="s">
        <v>333</v>
      </c>
      <c r="D61" s="50">
        <v>39167</v>
      </c>
      <c r="E61" s="51">
        <v>124.29349999999999</v>
      </c>
    </row>
    <row r="62" spans="1:5" x14ac:dyDescent="0.35">
      <c r="A62" s="48" t="s">
        <v>306</v>
      </c>
      <c r="B62" s="48" t="s">
        <v>362</v>
      </c>
      <c r="C62" s="49" t="s">
        <v>333</v>
      </c>
      <c r="D62" s="50">
        <v>39192</v>
      </c>
      <c r="E62" s="51">
        <v>108.7929</v>
      </c>
    </row>
    <row r="63" spans="1:5" x14ac:dyDescent="0.35">
      <c r="A63" s="48" t="s">
        <v>313</v>
      </c>
      <c r="B63" s="48" t="s">
        <v>363</v>
      </c>
      <c r="C63" s="49" t="s">
        <v>333</v>
      </c>
      <c r="D63" s="50">
        <v>39196</v>
      </c>
      <c r="E63" s="51">
        <v>124.3728</v>
      </c>
    </row>
    <row r="64" spans="1:5" x14ac:dyDescent="0.35">
      <c r="A64" s="48" t="s">
        <v>306</v>
      </c>
      <c r="B64" s="48" t="s">
        <v>364</v>
      </c>
      <c r="C64" s="49" t="s">
        <v>333</v>
      </c>
      <c r="D64" s="50">
        <v>39203</v>
      </c>
      <c r="E64" s="51">
        <v>107.9136</v>
      </c>
    </row>
    <row r="65" spans="1:5" x14ac:dyDescent="0.35">
      <c r="A65" s="48" t="s">
        <v>300</v>
      </c>
      <c r="B65" s="48" t="s">
        <v>365</v>
      </c>
      <c r="C65" s="49" t="s">
        <v>333</v>
      </c>
      <c r="D65" s="50">
        <v>39203</v>
      </c>
      <c r="E65" s="51">
        <v>108.5147</v>
      </c>
    </row>
    <row r="66" spans="1:5" x14ac:dyDescent="0.35">
      <c r="A66" s="48" t="s">
        <v>313</v>
      </c>
      <c r="B66" s="48" t="s">
        <v>317</v>
      </c>
      <c r="C66" s="49" t="s">
        <v>333</v>
      </c>
      <c r="D66" s="50">
        <v>39207</v>
      </c>
      <c r="E66" s="51">
        <v>112.1285</v>
      </c>
    </row>
    <row r="67" spans="1:5" x14ac:dyDescent="0.35">
      <c r="A67" s="48" t="s">
        <v>313</v>
      </c>
      <c r="B67" s="48" t="s">
        <v>366</v>
      </c>
      <c r="C67" s="49" t="s">
        <v>333</v>
      </c>
      <c r="D67" s="50">
        <v>39209</v>
      </c>
      <c r="E67" s="51">
        <v>125.2332</v>
      </c>
    </row>
    <row r="68" spans="1:5" x14ac:dyDescent="0.35">
      <c r="A68" s="48" t="s">
        <v>300</v>
      </c>
      <c r="B68" s="48" t="s">
        <v>367</v>
      </c>
      <c r="C68" s="49" t="s">
        <v>333</v>
      </c>
      <c r="D68" s="50">
        <v>39216</v>
      </c>
      <c r="E68" s="51">
        <v>122.8494</v>
      </c>
    </row>
    <row r="69" spans="1:5" x14ac:dyDescent="0.35">
      <c r="A69" s="48" t="s">
        <v>313</v>
      </c>
      <c r="B69" s="48" t="s">
        <v>357</v>
      </c>
      <c r="C69" s="49" t="s">
        <v>333</v>
      </c>
      <c r="D69" s="50">
        <v>39220</v>
      </c>
      <c r="E69" s="51">
        <v>124.4336</v>
      </c>
    </row>
    <row r="70" spans="1:5" x14ac:dyDescent="0.35">
      <c r="A70" s="48" t="s">
        <v>304</v>
      </c>
      <c r="B70" s="48" t="s">
        <v>368</v>
      </c>
      <c r="C70" s="49" t="s">
        <v>333</v>
      </c>
      <c r="D70" s="50">
        <v>39220</v>
      </c>
      <c r="E70" s="51">
        <v>127.0779</v>
      </c>
    </row>
    <row r="71" spans="1:5" x14ac:dyDescent="0.35">
      <c r="A71" s="48" t="s">
        <v>304</v>
      </c>
      <c r="B71" s="48" t="s">
        <v>369</v>
      </c>
      <c r="C71" s="49" t="s">
        <v>333</v>
      </c>
      <c r="D71" s="50">
        <v>39221</v>
      </c>
      <c r="E71" s="51">
        <v>122.7343</v>
      </c>
    </row>
    <row r="72" spans="1:5" x14ac:dyDescent="0.35">
      <c r="A72" s="48" t="s">
        <v>313</v>
      </c>
      <c r="B72" s="48" t="s">
        <v>370</v>
      </c>
      <c r="C72" s="49" t="s">
        <v>333</v>
      </c>
      <c r="D72" s="50">
        <v>39224</v>
      </c>
      <c r="E72" s="51">
        <v>125.2332</v>
      </c>
    </row>
    <row r="73" spans="1:5" x14ac:dyDescent="0.35">
      <c r="A73" s="48" t="s">
        <v>304</v>
      </c>
      <c r="B73" s="48" t="s">
        <v>371</v>
      </c>
      <c r="C73" s="49" t="s">
        <v>333</v>
      </c>
      <c r="D73" s="50">
        <v>39224</v>
      </c>
      <c r="E73" s="51">
        <v>115.6814</v>
      </c>
    </row>
    <row r="74" spans="1:5" x14ac:dyDescent="0.35">
      <c r="A74" s="48" t="s">
        <v>313</v>
      </c>
      <c r="B74" s="48" t="s">
        <v>372</v>
      </c>
      <c r="C74" s="49" t="s">
        <v>333</v>
      </c>
      <c r="D74" s="50">
        <v>39229</v>
      </c>
      <c r="E74" s="51">
        <v>141.53649999999999</v>
      </c>
    </row>
    <row r="75" spans="1:5" x14ac:dyDescent="0.35">
      <c r="A75" s="48" t="s">
        <v>306</v>
      </c>
      <c r="B75" s="48" t="s">
        <v>373</v>
      </c>
      <c r="C75" s="49" t="s">
        <v>333</v>
      </c>
      <c r="D75" s="50">
        <v>39231</v>
      </c>
      <c r="E75" s="51">
        <v>112.3938</v>
      </c>
    </row>
    <row r="76" spans="1:5" x14ac:dyDescent="0.35">
      <c r="A76" s="48" t="s">
        <v>306</v>
      </c>
      <c r="B76" s="48" t="s">
        <v>374</v>
      </c>
      <c r="C76" s="49" t="s">
        <v>333</v>
      </c>
      <c r="D76" s="50">
        <v>39234</v>
      </c>
      <c r="E76" s="51">
        <v>100.6961</v>
      </c>
    </row>
    <row r="77" spans="1:5" x14ac:dyDescent="0.35">
      <c r="A77" s="48" t="s">
        <v>313</v>
      </c>
      <c r="B77" s="48" t="s">
        <v>357</v>
      </c>
      <c r="C77" s="49" t="s">
        <v>333</v>
      </c>
      <c r="D77" s="50">
        <v>39234</v>
      </c>
      <c r="E77" s="51">
        <v>124.4336</v>
      </c>
    </row>
    <row r="78" spans="1:5" x14ac:dyDescent="0.35">
      <c r="A78" s="48" t="s">
        <v>313</v>
      </c>
      <c r="B78" s="48" t="s">
        <v>375</v>
      </c>
      <c r="C78" s="49" t="s">
        <v>333</v>
      </c>
      <c r="D78" s="50">
        <v>39234</v>
      </c>
      <c r="E78" s="51">
        <v>124.4336</v>
      </c>
    </row>
    <row r="79" spans="1:5" x14ac:dyDescent="0.35">
      <c r="A79" s="48" t="s">
        <v>313</v>
      </c>
      <c r="B79" s="48" t="s">
        <v>376</v>
      </c>
      <c r="C79" s="49" t="s">
        <v>333</v>
      </c>
      <c r="D79" s="50">
        <v>39237</v>
      </c>
      <c r="E79" s="51">
        <v>124.4336</v>
      </c>
    </row>
    <row r="80" spans="1:5" x14ac:dyDescent="0.35">
      <c r="A80" s="48" t="s">
        <v>306</v>
      </c>
      <c r="B80" s="48" t="s">
        <v>350</v>
      </c>
      <c r="C80" s="49" t="s">
        <v>333</v>
      </c>
      <c r="D80" s="50">
        <v>39241</v>
      </c>
      <c r="E80" s="51">
        <v>124.32640000000001</v>
      </c>
    </row>
    <row r="81" spans="1:5" x14ac:dyDescent="0.35">
      <c r="A81" s="48" t="s">
        <v>304</v>
      </c>
      <c r="B81" s="48" t="s">
        <v>377</v>
      </c>
      <c r="C81" s="49" t="s">
        <v>333</v>
      </c>
      <c r="D81" s="50">
        <v>39241</v>
      </c>
      <c r="E81" s="51">
        <v>127.0779</v>
      </c>
    </row>
    <row r="82" spans="1:5" x14ac:dyDescent="0.35">
      <c r="A82" s="48" t="s">
        <v>313</v>
      </c>
      <c r="B82" s="48" t="s">
        <v>347</v>
      </c>
      <c r="C82" s="49" t="s">
        <v>333</v>
      </c>
      <c r="D82" s="50">
        <v>39243</v>
      </c>
      <c r="E82" s="51">
        <v>129.38419999999999</v>
      </c>
    </row>
    <row r="83" spans="1:5" x14ac:dyDescent="0.35">
      <c r="A83" s="48" t="s">
        <v>313</v>
      </c>
      <c r="B83" s="48" t="s">
        <v>378</v>
      </c>
      <c r="C83" s="49" t="s">
        <v>333</v>
      </c>
      <c r="D83" s="50">
        <v>39244</v>
      </c>
      <c r="E83" s="51">
        <v>124.3728</v>
      </c>
    </row>
    <row r="84" spans="1:5" x14ac:dyDescent="0.35">
      <c r="A84" s="48" t="s">
        <v>304</v>
      </c>
      <c r="B84" s="48" t="s">
        <v>379</v>
      </c>
      <c r="C84" s="49" t="s">
        <v>333</v>
      </c>
      <c r="D84" s="50">
        <v>39251</v>
      </c>
      <c r="E84" s="51">
        <v>114.515</v>
      </c>
    </row>
    <row r="85" spans="1:5" x14ac:dyDescent="0.35">
      <c r="A85" s="48" t="s">
        <v>306</v>
      </c>
      <c r="B85" s="48" t="s">
        <v>380</v>
      </c>
      <c r="C85" s="49" t="s">
        <v>333</v>
      </c>
      <c r="D85" s="50">
        <v>39256</v>
      </c>
      <c r="E85" s="51">
        <v>107.9136</v>
      </c>
    </row>
    <row r="86" spans="1:5" x14ac:dyDescent="0.35">
      <c r="A86" s="48" t="s">
        <v>306</v>
      </c>
      <c r="B86" s="48" t="s">
        <v>381</v>
      </c>
      <c r="C86" s="49" t="s">
        <v>333</v>
      </c>
      <c r="D86" s="50">
        <v>39262</v>
      </c>
      <c r="E86" s="51">
        <v>100.6961</v>
      </c>
    </row>
    <row r="87" spans="1:5" x14ac:dyDescent="0.35">
      <c r="A87" s="48" t="s">
        <v>304</v>
      </c>
      <c r="B87" s="48" t="s">
        <v>382</v>
      </c>
      <c r="C87" s="49" t="s">
        <v>333</v>
      </c>
      <c r="D87" s="50">
        <v>39263</v>
      </c>
      <c r="E87" s="51">
        <v>113.6033</v>
      </c>
    </row>
    <row r="88" spans="1:5" x14ac:dyDescent="0.35">
      <c r="A88" s="48" t="s">
        <v>304</v>
      </c>
      <c r="B88" s="48" t="s">
        <v>383</v>
      </c>
      <c r="C88" s="49" t="s">
        <v>333</v>
      </c>
      <c r="D88" s="50">
        <v>39265</v>
      </c>
      <c r="E88" s="51">
        <v>107.97369999999999</v>
      </c>
    </row>
    <row r="89" spans="1:5" x14ac:dyDescent="0.35">
      <c r="A89" s="48" t="s">
        <v>313</v>
      </c>
      <c r="B89" s="48" t="s">
        <v>347</v>
      </c>
      <c r="C89" s="49" t="s">
        <v>333</v>
      </c>
      <c r="D89" s="50">
        <v>39284</v>
      </c>
      <c r="E89" s="51">
        <v>129.38419999999999</v>
      </c>
    </row>
    <row r="90" spans="1:5" x14ac:dyDescent="0.35">
      <c r="A90" s="48" t="s">
        <v>306</v>
      </c>
      <c r="B90" s="48" t="s">
        <v>384</v>
      </c>
      <c r="C90" s="49" t="s">
        <v>333</v>
      </c>
      <c r="D90" s="50">
        <v>39287</v>
      </c>
      <c r="E90" s="51">
        <v>100.6961</v>
      </c>
    </row>
    <row r="91" spans="1:5" x14ac:dyDescent="0.35">
      <c r="A91" s="48" t="s">
        <v>306</v>
      </c>
      <c r="B91" s="48" t="s">
        <v>385</v>
      </c>
      <c r="C91" s="49" t="s">
        <v>333</v>
      </c>
      <c r="D91" s="50">
        <v>39291</v>
      </c>
      <c r="E91" s="51">
        <v>111.11790000000001</v>
      </c>
    </row>
    <row r="92" spans="1:5" x14ac:dyDescent="0.35">
      <c r="A92" s="48" t="s">
        <v>300</v>
      </c>
      <c r="B92" s="48" t="s">
        <v>386</v>
      </c>
      <c r="C92" s="49" t="s">
        <v>333</v>
      </c>
      <c r="D92" s="50">
        <v>39292</v>
      </c>
      <c r="E92" s="51">
        <v>124.29349999999999</v>
      </c>
    </row>
    <row r="93" spans="1:5" x14ac:dyDescent="0.35">
      <c r="A93" s="48" t="s">
        <v>306</v>
      </c>
      <c r="B93" s="48" t="s">
        <v>387</v>
      </c>
      <c r="C93" s="49" t="s">
        <v>333</v>
      </c>
      <c r="D93" s="50">
        <v>39292</v>
      </c>
      <c r="E93" s="51">
        <v>112.3938</v>
      </c>
    </row>
    <row r="94" spans="1:5" x14ac:dyDescent="0.35">
      <c r="A94" s="48" t="s">
        <v>313</v>
      </c>
      <c r="B94" s="48" t="s">
        <v>375</v>
      </c>
      <c r="C94" s="49" t="s">
        <v>333</v>
      </c>
      <c r="D94" s="50">
        <v>39292</v>
      </c>
      <c r="E94" s="51">
        <v>124.4336</v>
      </c>
    </row>
    <row r="95" spans="1:5" x14ac:dyDescent="0.35">
      <c r="A95" s="48" t="s">
        <v>304</v>
      </c>
      <c r="B95" s="48" t="s">
        <v>388</v>
      </c>
      <c r="C95" s="49" t="s">
        <v>333</v>
      </c>
      <c r="D95" s="50">
        <v>39294</v>
      </c>
      <c r="E95" s="51">
        <v>121.82380000000001</v>
      </c>
    </row>
    <row r="96" spans="1:5" x14ac:dyDescent="0.35">
      <c r="A96" s="48" t="s">
        <v>313</v>
      </c>
      <c r="B96" s="48" t="s">
        <v>389</v>
      </c>
      <c r="C96" s="49" t="s">
        <v>333</v>
      </c>
      <c r="D96" s="50">
        <v>39294</v>
      </c>
      <c r="E96" s="51">
        <v>124.3728</v>
      </c>
    </row>
    <row r="97" spans="1:5" x14ac:dyDescent="0.35">
      <c r="A97" s="48" t="s">
        <v>304</v>
      </c>
      <c r="B97" s="48" t="s">
        <v>390</v>
      </c>
      <c r="C97" s="49" t="s">
        <v>333</v>
      </c>
      <c r="D97" s="50">
        <v>39297</v>
      </c>
      <c r="E97" s="51">
        <v>107.97369999999999</v>
      </c>
    </row>
    <row r="98" spans="1:5" x14ac:dyDescent="0.35">
      <c r="A98" s="48" t="s">
        <v>304</v>
      </c>
      <c r="B98" s="48" t="s">
        <v>369</v>
      </c>
      <c r="C98" s="49" t="s">
        <v>333</v>
      </c>
      <c r="D98" s="50">
        <v>39297</v>
      </c>
      <c r="E98" s="51">
        <v>122.7343</v>
      </c>
    </row>
    <row r="99" spans="1:5" x14ac:dyDescent="0.35">
      <c r="A99" s="48" t="s">
        <v>313</v>
      </c>
      <c r="B99" s="48" t="s">
        <v>391</v>
      </c>
      <c r="C99" s="49" t="s">
        <v>333</v>
      </c>
      <c r="D99" s="50">
        <v>39298</v>
      </c>
      <c r="E99" s="51">
        <v>124.3728</v>
      </c>
    </row>
    <row r="100" spans="1:5" x14ac:dyDescent="0.35">
      <c r="A100" s="48" t="s">
        <v>300</v>
      </c>
      <c r="B100" s="48" t="s">
        <v>392</v>
      </c>
      <c r="C100" s="49" t="s">
        <v>333</v>
      </c>
      <c r="D100" s="50">
        <v>39301</v>
      </c>
      <c r="E100" s="51">
        <v>119.38079999999999</v>
      </c>
    </row>
    <row r="101" spans="1:5" x14ac:dyDescent="0.35">
      <c r="A101" s="48" t="s">
        <v>306</v>
      </c>
      <c r="B101" s="48" t="s">
        <v>348</v>
      </c>
      <c r="C101" s="49" t="s">
        <v>333</v>
      </c>
      <c r="D101" s="50">
        <v>39304</v>
      </c>
      <c r="E101" s="51">
        <v>111.32640000000001</v>
      </c>
    </row>
    <row r="102" spans="1:5" x14ac:dyDescent="0.35">
      <c r="A102" s="48" t="s">
        <v>304</v>
      </c>
      <c r="B102" s="48" t="s">
        <v>393</v>
      </c>
      <c r="C102" s="49" t="s">
        <v>333</v>
      </c>
      <c r="D102" s="50">
        <v>39304</v>
      </c>
      <c r="E102" s="51">
        <v>127.0779</v>
      </c>
    </row>
    <row r="103" spans="1:5" x14ac:dyDescent="0.35">
      <c r="A103" s="48" t="s">
        <v>313</v>
      </c>
      <c r="B103" s="48" t="s">
        <v>317</v>
      </c>
      <c r="C103" s="49" t="s">
        <v>333</v>
      </c>
      <c r="D103" s="50">
        <v>39306</v>
      </c>
      <c r="E103" s="51">
        <v>112.1285</v>
      </c>
    </row>
    <row r="104" spans="1:5" x14ac:dyDescent="0.35">
      <c r="A104" s="48" t="s">
        <v>313</v>
      </c>
      <c r="B104" s="48" t="s">
        <v>394</v>
      </c>
      <c r="C104" s="49" t="s">
        <v>333</v>
      </c>
      <c r="D104" s="50">
        <v>39306</v>
      </c>
      <c r="E104" s="51">
        <v>112.1285</v>
      </c>
    </row>
    <row r="105" spans="1:5" x14ac:dyDescent="0.35">
      <c r="A105" s="48" t="s">
        <v>306</v>
      </c>
      <c r="B105" s="48" t="s">
        <v>395</v>
      </c>
      <c r="C105" s="49" t="s">
        <v>333</v>
      </c>
      <c r="D105" s="50">
        <v>39306</v>
      </c>
      <c r="E105" s="51">
        <v>111.11790000000001</v>
      </c>
    </row>
    <row r="106" spans="1:5" x14ac:dyDescent="0.35">
      <c r="A106" s="48" t="s">
        <v>304</v>
      </c>
      <c r="B106" s="48" t="s">
        <v>396</v>
      </c>
      <c r="C106" s="49" t="s">
        <v>333</v>
      </c>
      <c r="D106" s="50">
        <v>39307</v>
      </c>
      <c r="E106" s="51">
        <v>107.97369999999999</v>
      </c>
    </row>
    <row r="107" spans="1:5" x14ac:dyDescent="0.35">
      <c r="A107" s="48" t="s">
        <v>304</v>
      </c>
      <c r="B107" s="48" t="s">
        <v>397</v>
      </c>
      <c r="C107" s="49" t="s">
        <v>333</v>
      </c>
      <c r="D107" s="50">
        <v>39307</v>
      </c>
      <c r="E107" s="51">
        <v>127.0779</v>
      </c>
    </row>
    <row r="108" spans="1:5" x14ac:dyDescent="0.35">
      <c r="A108" s="48" t="s">
        <v>306</v>
      </c>
      <c r="B108" s="48" t="s">
        <v>398</v>
      </c>
      <c r="C108" s="49" t="s">
        <v>333</v>
      </c>
      <c r="D108" s="50">
        <v>39308</v>
      </c>
      <c r="E108" s="51">
        <v>124.32640000000001</v>
      </c>
    </row>
    <row r="109" spans="1:5" x14ac:dyDescent="0.35">
      <c r="A109" s="48" t="s">
        <v>304</v>
      </c>
      <c r="B109" s="48" t="s">
        <v>305</v>
      </c>
      <c r="C109" s="49" t="s">
        <v>333</v>
      </c>
      <c r="D109" s="50">
        <v>39308</v>
      </c>
      <c r="E109" s="51">
        <v>114.3595</v>
      </c>
    </row>
    <row r="110" spans="1:5" x14ac:dyDescent="0.35">
      <c r="A110" s="48" t="s">
        <v>304</v>
      </c>
      <c r="B110" s="48" t="s">
        <v>399</v>
      </c>
      <c r="C110" s="49" t="s">
        <v>333</v>
      </c>
      <c r="D110" s="50">
        <v>39315</v>
      </c>
      <c r="E110" s="51">
        <v>115.6814</v>
      </c>
    </row>
    <row r="111" spans="1:5" x14ac:dyDescent="0.35">
      <c r="A111" s="48" t="s">
        <v>306</v>
      </c>
      <c r="B111" s="48" t="s">
        <v>400</v>
      </c>
      <c r="C111" s="49" t="s">
        <v>333</v>
      </c>
      <c r="D111" s="50">
        <v>39321</v>
      </c>
      <c r="E111" s="51">
        <v>111.11790000000001</v>
      </c>
    </row>
    <row r="112" spans="1:5" x14ac:dyDescent="0.35">
      <c r="A112" s="48" t="s">
        <v>300</v>
      </c>
      <c r="B112" s="48" t="s">
        <v>401</v>
      </c>
      <c r="C112" s="49" t="s">
        <v>333</v>
      </c>
      <c r="D112" s="50">
        <v>39332</v>
      </c>
      <c r="E112" s="51">
        <v>119.38079999999999</v>
      </c>
    </row>
    <row r="113" spans="1:5" x14ac:dyDescent="0.35">
      <c r="A113" s="48" t="s">
        <v>313</v>
      </c>
      <c r="B113" s="48" t="s">
        <v>366</v>
      </c>
      <c r="C113" s="49" t="s">
        <v>333</v>
      </c>
      <c r="D113" s="50">
        <v>39335</v>
      </c>
      <c r="E113" s="51">
        <v>125.2332</v>
      </c>
    </row>
    <row r="114" spans="1:5" x14ac:dyDescent="0.35">
      <c r="A114" s="48" t="s">
        <v>306</v>
      </c>
      <c r="B114" s="48" t="s">
        <v>402</v>
      </c>
      <c r="C114" s="49" t="s">
        <v>333</v>
      </c>
      <c r="D114" s="50">
        <v>39336</v>
      </c>
      <c r="E114" s="51">
        <v>124.32640000000001</v>
      </c>
    </row>
    <row r="115" spans="1:5" x14ac:dyDescent="0.35">
      <c r="A115" s="48" t="s">
        <v>300</v>
      </c>
      <c r="B115" s="48" t="s">
        <v>353</v>
      </c>
      <c r="C115" s="49" t="s">
        <v>333</v>
      </c>
      <c r="D115" s="50">
        <v>39340</v>
      </c>
      <c r="E115" s="51">
        <v>108.5147</v>
      </c>
    </row>
    <row r="116" spans="1:5" x14ac:dyDescent="0.35">
      <c r="A116" s="48" t="s">
        <v>300</v>
      </c>
      <c r="B116" s="48" t="s">
        <v>403</v>
      </c>
      <c r="C116" s="49" t="s">
        <v>333</v>
      </c>
      <c r="D116" s="50">
        <v>39342</v>
      </c>
      <c r="E116" s="51">
        <v>112.0056</v>
      </c>
    </row>
    <row r="117" spans="1:5" x14ac:dyDescent="0.35">
      <c r="A117" s="48" t="s">
        <v>300</v>
      </c>
      <c r="B117" s="48" t="s">
        <v>404</v>
      </c>
      <c r="C117" s="49" t="s">
        <v>333</v>
      </c>
      <c r="D117" s="50">
        <v>39343</v>
      </c>
      <c r="E117" s="51">
        <v>119.8659</v>
      </c>
    </row>
    <row r="118" spans="1:5" x14ac:dyDescent="0.35">
      <c r="A118" s="48" t="s">
        <v>300</v>
      </c>
      <c r="B118" s="48" t="s">
        <v>405</v>
      </c>
      <c r="C118" s="49" t="s">
        <v>333</v>
      </c>
      <c r="D118" s="50">
        <v>39343</v>
      </c>
      <c r="E118" s="51">
        <v>117.611</v>
      </c>
    </row>
    <row r="119" spans="1:5" x14ac:dyDescent="0.35">
      <c r="A119" s="48" t="s">
        <v>313</v>
      </c>
      <c r="B119" s="48" t="s">
        <v>406</v>
      </c>
      <c r="C119" s="49" t="s">
        <v>333</v>
      </c>
      <c r="D119" s="50">
        <v>39346</v>
      </c>
      <c r="E119" s="51">
        <v>119.64279999999999</v>
      </c>
    </row>
    <row r="120" spans="1:5" x14ac:dyDescent="0.35">
      <c r="A120" s="48" t="s">
        <v>300</v>
      </c>
      <c r="B120" s="48" t="s">
        <v>407</v>
      </c>
      <c r="C120" s="49" t="s">
        <v>333</v>
      </c>
      <c r="D120" s="50">
        <v>39348</v>
      </c>
      <c r="E120" s="51">
        <v>108.5147</v>
      </c>
    </row>
    <row r="121" spans="1:5" x14ac:dyDescent="0.35">
      <c r="A121" s="48" t="s">
        <v>313</v>
      </c>
      <c r="B121" s="48" t="s">
        <v>408</v>
      </c>
      <c r="C121" s="49" t="s">
        <v>333</v>
      </c>
      <c r="D121" s="50">
        <v>39350</v>
      </c>
      <c r="E121" s="51">
        <v>119.64279999999999</v>
      </c>
    </row>
    <row r="122" spans="1:5" x14ac:dyDescent="0.35">
      <c r="A122" s="48" t="s">
        <v>313</v>
      </c>
      <c r="B122" s="48" t="s">
        <v>409</v>
      </c>
      <c r="C122" s="49" t="s">
        <v>333</v>
      </c>
      <c r="D122" s="50">
        <v>39350</v>
      </c>
      <c r="E122" s="51">
        <v>119.64279999999999</v>
      </c>
    </row>
    <row r="123" spans="1:5" x14ac:dyDescent="0.35">
      <c r="A123" s="48" t="s">
        <v>306</v>
      </c>
      <c r="B123" s="48" t="s">
        <v>329</v>
      </c>
      <c r="C123" s="49" t="s">
        <v>333</v>
      </c>
      <c r="D123" s="50">
        <v>39355</v>
      </c>
      <c r="E123" s="51">
        <v>124.32640000000001</v>
      </c>
    </row>
    <row r="124" spans="1:5" x14ac:dyDescent="0.35">
      <c r="A124" s="48" t="s">
        <v>313</v>
      </c>
      <c r="B124" s="48" t="s">
        <v>410</v>
      </c>
      <c r="C124" s="49" t="s">
        <v>333</v>
      </c>
      <c r="D124" s="50">
        <v>39357</v>
      </c>
      <c r="E124" s="51">
        <v>124.3728</v>
      </c>
    </row>
    <row r="125" spans="1:5" x14ac:dyDescent="0.35">
      <c r="A125" s="48" t="s">
        <v>304</v>
      </c>
      <c r="B125" s="48" t="s">
        <v>396</v>
      </c>
      <c r="C125" s="49" t="s">
        <v>333</v>
      </c>
      <c r="D125" s="50">
        <v>39364</v>
      </c>
      <c r="E125" s="51">
        <v>107.97369999999999</v>
      </c>
    </row>
    <row r="126" spans="1:5" x14ac:dyDescent="0.35">
      <c r="A126" s="48" t="s">
        <v>304</v>
      </c>
      <c r="B126" s="48" t="s">
        <v>411</v>
      </c>
      <c r="C126" s="49" t="s">
        <v>333</v>
      </c>
      <c r="D126" s="50">
        <v>39364</v>
      </c>
      <c r="E126" s="51">
        <v>115.6814</v>
      </c>
    </row>
    <row r="127" spans="1:5" x14ac:dyDescent="0.35">
      <c r="A127" s="48" t="s">
        <v>306</v>
      </c>
      <c r="B127" s="48" t="s">
        <v>329</v>
      </c>
      <c r="C127" s="49" t="s">
        <v>333</v>
      </c>
      <c r="D127" s="50">
        <v>39368</v>
      </c>
      <c r="E127" s="51">
        <v>124.32640000000001</v>
      </c>
    </row>
    <row r="128" spans="1:5" x14ac:dyDescent="0.35">
      <c r="A128" s="48" t="s">
        <v>300</v>
      </c>
      <c r="B128" s="48" t="s">
        <v>412</v>
      </c>
      <c r="C128" s="49" t="s">
        <v>333</v>
      </c>
      <c r="D128" s="50">
        <v>39368</v>
      </c>
      <c r="E128" s="51">
        <v>112.0056</v>
      </c>
    </row>
    <row r="129" spans="1:5" x14ac:dyDescent="0.35">
      <c r="A129" s="48" t="s">
        <v>306</v>
      </c>
      <c r="B129" s="48" t="s">
        <v>413</v>
      </c>
      <c r="C129" s="49" t="s">
        <v>333</v>
      </c>
      <c r="D129" s="50">
        <v>39375</v>
      </c>
      <c r="E129" s="51">
        <v>112.3938</v>
      </c>
    </row>
    <row r="130" spans="1:5" x14ac:dyDescent="0.35">
      <c r="A130" s="48" t="s">
        <v>313</v>
      </c>
      <c r="B130" s="48" t="s">
        <v>414</v>
      </c>
      <c r="C130" s="49" t="s">
        <v>333</v>
      </c>
      <c r="D130" s="50">
        <v>39375</v>
      </c>
      <c r="E130" s="51">
        <v>114.4649</v>
      </c>
    </row>
    <row r="131" spans="1:5" x14ac:dyDescent="0.35">
      <c r="A131" s="48" t="s">
        <v>313</v>
      </c>
      <c r="B131" s="48" t="s">
        <v>415</v>
      </c>
      <c r="C131" s="49" t="s">
        <v>333</v>
      </c>
      <c r="D131" s="50">
        <v>39375</v>
      </c>
      <c r="E131" s="51">
        <v>124.4336</v>
      </c>
    </row>
    <row r="132" spans="1:5" x14ac:dyDescent="0.35">
      <c r="A132" s="48" t="s">
        <v>313</v>
      </c>
      <c r="B132" s="48" t="s">
        <v>378</v>
      </c>
      <c r="C132" s="49" t="s">
        <v>333</v>
      </c>
      <c r="D132" s="50">
        <v>39378</v>
      </c>
      <c r="E132" s="51">
        <v>124.3728</v>
      </c>
    </row>
    <row r="133" spans="1:5" x14ac:dyDescent="0.35">
      <c r="A133" s="48" t="s">
        <v>304</v>
      </c>
      <c r="B133" s="48" t="s">
        <v>416</v>
      </c>
      <c r="C133" s="49" t="s">
        <v>333</v>
      </c>
      <c r="D133" s="50">
        <v>39378</v>
      </c>
      <c r="E133" s="51">
        <v>107.97369999999999</v>
      </c>
    </row>
    <row r="134" spans="1:5" x14ac:dyDescent="0.35">
      <c r="A134" s="48" t="s">
        <v>304</v>
      </c>
      <c r="B134" s="48" t="s">
        <v>417</v>
      </c>
      <c r="C134" s="49" t="s">
        <v>333</v>
      </c>
      <c r="D134" s="50">
        <v>39381</v>
      </c>
      <c r="E134" s="51">
        <v>115.6814</v>
      </c>
    </row>
    <row r="135" spans="1:5" x14ac:dyDescent="0.35">
      <c r="A135" s="48" t="s">
        <v>304</v>
      </c>
      <c r="B135" s="48" t="s">
        <v>418</v>
      </c>
      <c r="C135" s="49" t="s">
        <v>333</v>
      </c>
      <c r="D135" s="50">
        <v>39382</v>
      </c>
      <c r="E135" s="51">
        <v>107.97369999999999</v>
      </c>
    </row>
    <row r="136" spans="1:5" x14ac:dyDescent="0.35">
      <c r="A136" s="48" t="s">
        <v>306</v>
      </c>
      <c r="B136" s="48" t="s">
        <v>419</v>
      </c>
      <c r="C136" s="49" t="s">
        <v>333</v>
      </c>
      <c r="D136" s="50">
        <v>39384</v>
      </c>
      <c r="E136" s="51">
        <v>124.32640000000001</v>
      </c>
    </row>
    <row r="137" spans="1:5" x14ac:dyDescent="0.35">
      <c r="A137" s="48" t="s">
        <v>313</v>
      </c>
      <c r="B137" s="48" t="s">
        <v>420</v>
      </c>
      <c r="C137" s="49" t="s">
        <v>333</v>
      </c>
      <c r="D137" s="50">
        <v>39392</v>
      </c>
      <c r="E137" s="51">
        <v>124.3728</v>
      </c>
    </row>
    <row r="138" spans="1:5" x14ac:dyDescent="0.35">
      <c r="A138" s="48" t="s">
        <v>304</v>
      </c>
      <c r="B138" s="48" t="s">
        <v>327</v>
      </c>
      <c r="C138" s="49" t="s">
        <v>333</v>
      </c>
      <c r="D138" s="50">
        <v>39397</v>
      </c>
      <c r="E138" s="51">
        <v>121.82380000000001</v>
      </c>
    </row>
    <row r="139" spans="1:5" x14ac:dyDescent="0.35">
      <c r="A139" s="48" t="s">
        <v>313</v>
      </c>
      <c r="B139" s="48" t="s">
        <v>406</v>
      </c>
      <c r="C139" s="49" t="s">
        <v>333</v>
      </c>
      <c r="D139" s="50">
        <v>39402</v>
      </c>
      <c r="E139" s="51">
        <v>119.64279999999999</v>
      </c>
    </row>
    <row r="140" spans="1:5" x14ac:dyDescent="0.35">
      <c r="A140" s="48" t="s">
        <v>313</v>
      </c>
      <c r="B140" s="48" t="s">
        <v>376</v>
      </c>
      <c r="C140" s="49" t="s">
        <v>333</v>
      </c>
      <c r="D140" s="50">
        <v>39410</v>
      </c>
      <c r="E140" s="51">
        <v>124.4336</v>
      </c>
    </row>
    <row r="141" spans="1:5" x14ac:dyDescent="0.35">
      <c r="A141" s="48" t="s">
        <v>313</v>
      </c>
      <c r="B141" s="48" t="s">
        <v>421</v>
      </c>
      <c r="C141" s="49" t="s">
        <v>333</v>
      </c>
      <c r="D141" s="50">
        <v>39412</v>
      </c>
      <c r="E141" s="51">
        <v>112.1285</v>
      </c>
    </row>
    <row r="142" spans="1:5" x14ac:dyDescent="0.35">
      <c r="A142" s="48" t="s">
        <v>306</v>
      </c>
      <c r="B142" s="48" t="s">
        <v>329</v>
      </c>
      <c r="C142" s="49" t="s">
        <v>333</v>
      </c>
      <c r="D142" s="50">
        <v>39418</v>
      </c>
      <c r="E142" s="51">
        <v>124.32640000000001</v>
      </c>
    </row>
    <row r="143" spans="1:5" x14ac:dyDescent="0.35">
      <c r="A143" s="48" t="s">
        <v>304</v>
      </c>
      <c r="B143" s="48" t="s">
        <v>422</v>
      </c>
      <c r="C143" s="49" t="s">
        <v>333</v>
      </c>
      <c r="D143" s="50">
        <v>39418</v>
      </c>
      <c r="E143" s="51">
        <v>115.6814</v>
      </c>
    </row>
    <row r="144" spans="1:5" x14ac:dyDescent="0.35">
      <c r="A144" s="48" t="s">
        <v>304</v>
      </c>
      <c r="B144" s="48" t="s">
        <v>423</v>
      </c>
      <c r="C144" s="49" t="s">
        <v>333</v>
      </c>
      <c r="D144" s="50">
        <v>39419</v>
      </c>
      <c r="E144" s="51">
        <v>115.6814</v>
      </c>
    </row>
    <row r="145" spans="1:5" x14ac:dyDescent="0.35">
      <c r="A145" s="48" t="s">
        <v>300</v>
      </c>
      <c r="B145" s="48" t="s">
        <v>424</v>
      </c>
      <c r="C145" s="49" t="s">
        <v>333</v>
      </c>
      <c r="D145" s="50">
        <v>39420</v>
      </c>
      <c r="E145" s="51">
        <v>124.29349999999999</v>
      </c>
    </row>
    <row r="146" spans="1:5" x14ac:dyDescent="0.35">
      <c r="A146" s="48" t="s">
        <v>306</v>
      </c>
      <c r="B146" s="48" t="s">
        <v>348</v>
      </c>
      <c r="C146" s="49" t="s">
        <v>333</v>
      </c>
      <c r="D146" s="50">
        <v>39420</v>
      </c>
      <c r="E146" s="51">
        <v>111.32640000000001</v>
      </c>
    </row>
    <row r="147" spans="1:5" x14ac:dyDescent="0.35">
      <c r="A147" s="48" t="s">
        <v>313</v>
      </c>
      <c r="B147" s="48" t="s">
        <v>425</v>
      </c>
      <c r="C147" s="49" t="s">
        <v>333</v>
      </c>
      <c r="D147" s="50">
        <v>39420</v>
      </c>
      <c r="E147" s="51">
        <v>124.4336</v>
      </c>
    </row>
    <row r="148" spans="1:5" x14ac:dyDescent="0.35">
      <c r="A148" s="48" t="s">
        <v>300</v>
      </c>
      <c r="B148" s="48" t="s">
        <v>345</v>
      </c>
      <c r="C148" s="49" t="s">
        <v>333</v>
      </c>
      <c r="D148" s="50">
        <v>39448</v>
      </c>
      <c r="E148" s="51">
        <v>119.38079999999999</v>
      </c>
    </row>
    <row r="149" spans="1:5" x14ac:dyDescent="0.35">
      <c r="A149" s="48" t="s">
        <v>300</v>
      </c>
      <c r="B149" s="48" t="s">
        <v>426</v>
      </c>
      <c r="C149" s="49" t="s">
        <v>427</v>
      </c>
      <c r="D149" s="50">
        <v>39089</v>
      </c>
      <c r="E149" s="51">
        <v>109.53230000000001</v>
      </c>
    </row>
    <row r="150" spans="1:5" x14ac:dyDescent="0.35">
      <c r="A150" s="48" t="s">
        <v>300</v>
      </c>
      <c r="B150" s="48" t="s">
        <v>428</v>
      </c>
      <c r="C150" s="49" t="s">
        <v>427</v>
      </c>
      <c r="D150" s="50">
        <v>39090</v>
      </c>
      <c r="E150" s="51">
        <v>142.5857</v>
      </c>
    </row>
    <row r="151" spans="1:5" x14ac:dyDescent="0.35">
      <c r="A151" s="48" t="s">
        <v>306</v>
      </c>
      <c r="B151" s="48" t="s">
        <v>429</v>
      </c>
      <c r="C151" s="49" t="s">
        <v>427</v>
      </c>
      <c r="D151" s="50">
        <v>39094</v>
      </c>
      <c r="E151" s="51">
        <v>123.67910000000001</v>
      </c>
    </row>
    <row r="152" spans="1:5" x14ac:dyDescent="0.35">
      <c r="A152" s="48" t="s">
        <v>306</v>
      </c>
      <c r="B152" s="48" t="s">
        <v>430</v>
      </c>
      <c r="C152" s="49" t="s">
        <v>427</v>
      </c>
      <c r="D152" s="50">
        <v>39096</v>
      </c>
      <c r="E152" s="51">
        <v>122.89019999999999</v>
      </c>
    </row>
    <row r="153" spans="1:5" x14ac:dyDescent="0.35">
      <c r="A153" s="48" t="s">
        <v>306</v>
      </c>
      <c r="B153" s="48" t="s">
        <v>431</v>
      </c>
      <c r="C153" s="49" t="s">
        <v>427</v>
      </c>
      <c r="D153" s="50">
        <v>39104</v>
      </c>
      <c r="E153" s="51">
        <v>121.1307</v>
      </c>
    </row>
    <row r="154" spans="1:5" x14ac:dyDescent="0.35">
      <c r="A154" s="48" t="s">
        <v>306</v>
      </c>
      <c r="B154" s="48" t="s">
        <v>432</v>
      </c>
      <c r="C154" s="49" t="s">
        <v>427</v>
      </c>
      <c r="D154" s="50">
        <v>39105</v>
      </c>
      <c r="E154" s="51">
        <v>138.51929999999999</v>
      </c>
    </row>
    <row r="155" spans="1:5" x14ac:dyDescent="0.35">
      <c r="A155" s="48" t="s">
        <v>300</v>
      </c>
      <c r="B155" s="48" t="s">
        <v>433</v>
      </c>
      <c r="C155" s="49" t="s">
        <v>427</v>
      </c>
      <c r="D155" s="50">
        <v>39112</v>
      </c>
      <c r="E155" s="51">
        <v>142.47020000000001</v>
      </c>
    </row>
    <row r="156" spans="1:5" x14ac:dyDescent="0.35">
      <c r="A156" s="48" t="s">
        <v>304</v>
      </c>
      <c r="B156" s="48" t="s">
        <v>434</v>
      </c>
      <c r="C156" s="49" t="s">
        <v>427</v>
      </c>
      <c r="D156" s="50">
        <v>39117</v>
      </c>
      <c r="E156" s="51">
        <v>139.1114</v>
      </c>
    </row>
    <row r="157" spans="1:5" x14ac:dyDescent="0.35">
      <c r="A157" s="48" t="s">
        <v>306</v>
      </c>
      <c r="B157" s="48" t="s">
        <v>429</v>
      </c>
      <c r="C157" s="49" t="s">
        <v>427</v>
      </c>
      <c r="D157" s="50">
        <v>39118</v>
      </c>
      <c r="E157" s="51">
        <v>123.67910000000001</v>
      </c>
    </row>
    <row r="158" spans="1:5" x14ac:dyDescent="0.35">
      <c r="A158" s="48" t="s">
        <v>306</v>
      </c>
      <c r="B158" s="48" t="s">
        <v>435</v>
      </c>
      <c r="C158" s="49" t="s">
        <v>427</v>
      </c>
      <c r="D158" s="50">
        <v>39118</v>
      </c>
      <c r="E158" s="51">
        <v>121.1307</v>
      </c>
    </row>
    <row r="159" spans="1:5" x14ac:dyDescent="0.35">
      <c r="A159" s="48" t="s">
        <v>306</v>
      </c>
      <c r="B159" s="48" t="s">
        <v>436</v>
      </c>
      <c r="C159" s="49" t="s">
        <v>427</v>
      </c>
      <c r="D159" s="50">
        <v>39122</v>
      </c>
      <c r="E159" s="51">
        <v>122.89019999999999</v>
      </c>
    </row>
    <row r="160" spans="1:5" x14ac:dyDescent="0.35">
      <c r="A160" s="48" t="s">
        <v>306</v>
      </c>
      <c r="B160" s="48" t="s">
        <v>437</v>
      </c>
      <c r="C160" s="49" t="s">
        <v>427</v>
      </c>
      <c r="D160" s="50">
        <v>39124</v>
      </c>
      <c r="E160" s="51">
        <v>123.67910000000001</v>
      </c>
    </row>
    <row r="161" spans="1:5" x14ac:dyDescent="0.35">
      <c r="A161" s="48" t="s">
        <v>300</v>
      </c>
      <c r="B161" s="48" t="s">
        <v>438</v>
      </c>
      <c r="C161" s="49" t="s">
        <v>427</v>
      </c>
      <c r="D161" s="50">
        <v>39124</v>
      </c>
      <c r="E161" s="51">
        <v>125.0718</v>
      </c>
    </row>
    <row r="162" spans="1:5" x14ac:dyDescent="0.35">
      <c r="A162" s="48" t="s">
        <v>306</v>
      </c>
      <c r="B162" s="48" t="s">
        <v>439</v>
      </c>
      <c r="C162" s="49" t="s">
        <v>427</v>
      </c>
      <c r="D162" s="50">
        <v>39125</v>
      </c>
      <c r="E162" s="51">
        <v>127.1681</v>
      </c>
    </row>
    <row r="163" spans="1:5" x14ac:dyDescent="0.35">
      <c r="A163" s="48" t="s">
        <v>304</v>
      </c>
      <c r="B163" s="48" t="s">
        <v>440</v>
      </c>
      <c r="C163" s="49" t="s">
        <v>427</v>
      </c>
      <c r="D163" s="50">
        <v>39125</v>
      </c>
      <c r="E163" s="51">
        <v>139.1114</v>
      </c>
    </row>
    <row r="164" spans="1:5" x14ac:dyDescent="0.35">
      <c r="A164" s="48" t="s">
        <v>300</v>
      </c>
      <c r="B164" s="48" t="s">
        <v>441</v>
      </c>
      <c r="C164" s="49" t="s">
        <v>427</v>
      </c>
      <c r="D164" s="50">
        <v>39126</v>
      </c>
      <c r="E164" s="51">
        <v>109.53230000000001</v>
      </c>
    </row>
    <row r="165" spans="1:5" x14ac:dyDescent="0.35">
      <c r="A165" s="48" t="s">
        <v>306</v>
      </c>
      <c r="B165" s="48" t="s">
        <v>442</v>
      </c>
      <c r="C165" s="49" t="s">
        <v>427</v>
      </c>
      <c r="D165" s="50">
        <v>39130</v>
      </c>
      <c r="E165" s="51">
        <v>122.89019999999999</v>
      </c>
    </row>
    <row r="166" spans="1:5" x14ac:dyDescent="0.35">
      <c r="A166" s="48" t="s">
        <v>306</v>
      </c>
      <c r="B166" s="48" t="s">
        <v>443</v>
      </c>
      <c r="C166" s="49" t="s">
        <v>427</v>
      </c>
      <c r="D166" s="50">
        <v>39130</v>
      </c>
      <c r="E166" s="51">
        <v>121.1307</v>
      </c>
    </row>
    <row r="167" spans="1:5" x14ac:dyDescent="0.35">
      <c r="A167" s="48" t="s">
        <v>306</v>
      </c>
      <c r="B167" s="48" t="s">
        <v>444</v>
      </c>
      <c r="C167" s="49" t="s">
        <v>427</v>
      </c>
      <c r="D167" s="50">
        <v>39131</v>
      </c>
      <c r="E167" s="51">
        <v>121.1307</v>
      </c>
    </row>
    <row r="168" spans="1:5" x14ac:dyDescent="0.35">
      <c r="A168" s="48" t="s">
        <v>313</v>
      </c>
      <c r="B168" s="48" t="s">
        <v>445</v>
      </c>
      <c r="C168" s="49" t="s">
        <v>427</v>
      </c>
      <c r="D168" s="50">
        <v>39132</v>
      </c>
      <c r="E168" s="51">
        <v>145.02260000000001</v>
      </c>
    </row>
    <row r="169" spans="1:5" x14ac:dyDescent="0.35">
      <c r="A169" s="48" t="s">
        <v>313</v>
      </c>
      <c r="B169" s="48" t="s">
        <v>446</v>
      </c>
      <c r="C169" s="49" t="s">
        <v>427</v>
      </c>
      <c r="D169" s="50">
        <v>39133</v>
      </c>
      <c r="E169" s="51">
        <v>155.43700000000001</v>
      </c>
    </row>
    <row r="170" spans="1:5" x14ac:dyDescent="0.35">
      <c r="A170" s="48" t="s">
        <v>306</v>
      </c>
      <c r="B170" s="48" t="s">
        <v>436</v>
      </c>
      <c r="C170" s="49" t="s">
        <v>427</v>
      </c>
      <c r="D170" s="50">
        <v>39136</v>
      </c>
      <c r="E170" s="51">
        <v>122.89019999999999</v>
      </c>
    </row>
    <row r="171" spans="1:5" x14ac:dyDescent="0.35">
      <c r="A171" s="48" t="s">
        <v>306</v>
      </c>
      <c r="B171" s="48" t="s">
        <v>447</v>
      </c>
      <c r="C171" s="49" t="s">
        <v>427</v>
      </c>
      <c r="D171" s="50">
        <v>39136</v>
      </c>
      <c r="E171" s="51">
        <v>157.5171</v>
      </c>
    </row>
    <row r="172" spans="1:5" x14ac:dyDescent="0.35">
      <c r="A172" s="48" t="s">
        <v>306</v>
      </c>
      <c r="B172" s="48" t="s">
        <v>448</v>
      </c>
      <c r="C172" s="49" t="s">
        <v>427</v>
      </c>
      <c r="D172" s="50">
        <v>39137</v>
      </c>
      <c r="E172" s="51">
        <v>136.4366</v>
      </c>
    </row>
    <row r="173" spans="1:5" x14ac:dyDescent="0.35">
      <c r="A173" s="48" t="s">
        <v>306</v>
      </c>
      <c r="B173" s="48" t="s">
        <v>449</v>
      </c>
      <c r="C173" s="49" t="s">
        <v>427</v>
      </c>
      <c r="D173" s="50">
        <v>39137</v>
      </c>
      <c r="E173" s="51">
        <v>121.1307</v>
      </c>
    </row>
    <row r="174" spans="1:5" x14ac:dyDescent="0.35">
      <c r="A174" s="48" t="s">
        <v>313</v>
      </c>
      <c r="B174" s="48" t="s">
        <v>450</v>
      </c>
      <c r="C174" s="49" t="s">
        <v>427</v>
      </c>
      <c r="D174" s="50">
        <v>39139</v>
      </c>
      <c r="E174" s="51">
        <v>157.822</v>
      </c>
    </row>
    <row r="175" spans="1:5" x14ac:dyDescent="0.35">
      <c r="A175" s="48" t="s">
        <v>300</v>
      </c>
      <c r="B175" s="48" t="s">
        <v>451</v>
      </c>
      <c r="C175" s="49" t="s">
        <v>427</v>
      </c>
      <c r="D175" s="50">
        <v>39139</v>
      </c>
      <c r="E175" s="51">
        <v>110.79219999999999</v>
      </c>
    </row>
    <row r="176" spans="1:5" x14ac:dyDescent="0.35">
      <c r="A176" s="48" t="s">
        <v>306</v>
      </c>
      <c r="B176" s="48" t="s">
        <v>452</v>
      </c>
      <c r="C176" s="49" t="s">
        <v>427</v>
      </c>
      <c r="D176" s="50">
        <v>39140</v>
      </c>
      <c r="E176" s="51">
        <v>158.60230000000001</v>
      </c>
    </row>
    <row r="177" spans="1:5" x14ac:dyDescent="0.35">
      <c r="A177" s="48" t="s">
        <v>306</v>
      </c>
      <c r="B177" s="48" t="s">
        <v>453</v>
      </c>
      <c r="C177" s="49" t="s">
        <v>427</v>
      </c>
      <c r="D177" s="50">
        <v>39140</v>
      </c>
      <c r="E177" s="51">
        <v>157.5171</v>
      </c>
    </row>
    <row r="178" spans="1:5" x14ac:dyDescent="0.35">
      <c r="A178" s="48" t="s">
        <v>306</v>
      </c>
      <c r="B178" s="48" t="s">
        <v>454</v>
      </c>
      <c r="C178" s="49" t="s">
        <v>427</v>
      </c>
      <c r="D178" s="50">
        <v>39144</v>
      </c>
      <c r="E178" s="51">
        <v>123.67910000000001</v>
      </c>
    </row>
    <row r="179" spans="1:5" x14ac:dyDescent="0.35">
      <c r="A179" s="48" t="s">
        <v>313</v>
      </c>
      <c r="B179" s="48" t="s">
        <v>455</v>
      </c>
      <c r="C179" s="49" t="s">
        <v>427</v>
      </c>
      <c r="D179" s="50">
        <v>39146</v>
      </c>
      <c r="E179" s="51">
        <v>161.15479999999999</v>
      </c>
    </row>
    <row r="180" spans="1:5" x14ac:dyDescent="0.35">
      <c r="A180" s="48" t="s">
        <v>306</v>
      </c>
      <c r="B180" s="48" t="s">
        <v>350</v>
      </c>
      <c r="C180" s="49" t="s">
        <v>427</v>
      </c>
      <c r="D180" s="50">
        <v>39147</v>
      </c>
      <c r="E180" s="51">
        <v>157.5171</v>
      </c>
    </row>
    <row r="181" spans="1:5" x14ac:dyDescent="0.35">
      <c r="A181" s="48" t="s">
        <v>306</v>
      </c>
      <c r="B181" s="48" t="s">
        <v>456</v>
      </c>
      <c r="C181" s="49" t="s">
        <v>427</v>
      </c>
      <c r="D181" s="50">
        <v>39153</v>
      </c>
      <c r="E181" s="51">
        <v>158.60230000000001</v>
      </c>
    </row>
    <row r="182" spans="1:5" x14ac:dyDescent="0.35">
      <c r="A182" s="48" t="s">
        <v>313</v>
      </c>
      <c r="B182" s="48" t="s">
        <v>457</v>
      </c>
      <c r="C182" s="49" t="s">
        <v>427</v>
      </c>
      <c r="D182" s="50">
        <v>39157</v>
      </c>
      <c r="E182" s="51">
        <v>141.33619999999999</v>
      </c>
    </row>
    <row r="183" spans="1:5" x14ac:dyDescent="0.35">
      <c r="A183" s="48" t="s">
        <v>306</v>
      </c>
      <c r="B183" s="48" t="s">
        <v>458</v>
      </c>
      <c r="C183" s="49" t="s">
        <v>427</v>
      </c>
      <c r="D183" s="50">
        <v>39159</v>
      </c>
      <c r="E183" s="51">
        <v>138.24</v>
      </c>
    </row>
    <row r="184" spans="1:5" x14ac:dyDescent="0.35">
      <c r="A184" s="48" t="s">
        <v>306</v>
      </c>
      <c r="B184" s="48" t="s">
        <v>459</v>
      </c>
      <c r="C184" s="49" t="s">
        <v>427</v>
      </c>
      <c r="D184" s="50">
        <v>39165</v>
      </c>
      <c r="E184" s="51">
        <v>122.89019999999999</v>
      </c>
    </row>
    <row r="185" spans="1:5" x14ac:dyDescent="0.35">
      <c r="A185" s="48" t="s">
        <v>306</v>
      </c>
      <c r="B185" s="48" t="s">
        <v>402</v>
      </c>
      <c r="C185" s="49" t="s">
        <v>427</v>
      </c>
      <c r="D185" s="50">
        <v>39166</v>
      </c>
      <c r="E185" s="51">
        <v>157.5171</v>
      </c>
    </row>
    <row r="186" spans="1:5" x14ac:dyDescent="0.35">
      <c r="A186" s="48" t="s">
        <v>313</v>
      </c>
      <c r="B186" s="48" t="s">
        <v>357</v>
      </c>
      <c r="C186" s="49" t="s">
        <v>427</v>
      </c>
      <c r="D186" s="50">
        <v>39167</v>
      </c>
      <c r="E186" s="51">
        <v>157.9188</v>
      </c>
    </row>
    <row r="187" spans="1:5" x14ac:dyDescent="0.35">
      <c r="A187" s="48" t="s">
        <v>306</v>
      </c>
      <c r="B187" s="48" t="s">
        <v>460</v>
      </c>
      <c r="C187" s="49" t="s">
        <v>427</v>
      </c>
      <c r="D187" s="50">
        <v>39172</v>
      </c>
      <c r="E187" s="51">
        <v>138.24</v>
      </c>
    </row>
    <row r="188" spans="1:5" x14ac:dyDescent="0.35">
      <c r="A188" s="48" t="s">
        <v>304</v>
      </c>
      <c r="B188" s="48" t="s">
        <v>461</v>
      </c>
      <c r="C188" s="49" t="s">
        <v>427</v>
      </c>
      <c r="D188" s="50">
        <v>39172</v>
      </c>
      <c r="E188" s="51">
        <v>150.67850000000001</v>
      </c>
    </row>
    <row r="189" spans="1:5" x14ac:dyDescent="0.35">
      <c r="A189" s="48" t="s">
        <v>306</v>
      </c>
      <c r="B189" s="48" t="s">
        <v>462</v>
      </c>
      <c r="C189" s="49" t="s">
        <v>427</v>
      </c>
      <c r="D189" s="50">
        <v>39173</v>
      </c>
      <c r="E189" s="51">
        <v>123.67910000000001</v>
      </c>
    </row>
    <row r="190" spans="1:5" x14ac:dyDescent="0.35">
      <c r="A190" s="48" t="s">
        <v>300</v>
      </c>
      <c r="B190" s="48" t="s">
        <v>463</v>
      </c>
      <c r="C190" s="49" t="s">
        <v>427</v>
      </c>
      <c r="D190" s="50">
        <v>39173</v>
      </c>
      <c r="E190" s="51">
        <v>117.8608</v>
      </c>
    </row>
    <row r="191" spans="1:5" x14ac:dyDescent="0.35">
      <c r="A191" s="48" t="s">
        <v>313</v>
      </c>
      <c r="B191" s="48" t="s">
        <v>464</v>
      </c>
      <c r="C191" s="49" t="s">
        <v>427</v>
      </c>
      <c r="D191" s="50">
        <v>39175</v>
      </c>
      <c r="E191" s="51">
        <v>155.43700000000001</v>
      </c>
    </row>
    <row r="192" spans="1:5" x14ac:dyDescent="0.35">
      <c r="A192" s="48" t="s">
        <v>313</v>
      </c>
      <c r="B192" s="48" t="s">
        <v>389</v>
      </c>
      <c r="C192" s="49" t="s">
        <v>427</v>
      </c>
      <c r="D192" s="50">
        <v>39180</v>
      </c>
      <c r="E192" s="51">
        <v>149.3853</v>
      </c>
    </row>
    <row r="193" spans="1:5" x14ac:dyDescent="0.35">
      <c r="A193" s="48" t="s">
        <v>306</v>
      </c>
      <c r="B193" s="48" t="s">
        <v>465</v>
      </c>
      <c r="C193" s="49" t="s">
        <v>427</v>
      </c>
      <c r="D193" s="50">
        <v>39180</v>
      </c>
      <c r="E193" s="51">
        <v>122.89019999999999</v>
      </c>
    </row>
    <row r="194" spans="1:5" x14ac:dyDescent="0.35">
      <c r="A194" s="48" t="s">
        <v>306</v>
      </c>
      <c r="B194" s="48" t="s">
        <v>466</v>
      </c>
      <c r="C194" s="49" t="s">
        <v>427</v>
      </c>
      <c r="D194" s="50">
        <v>39181</v>
      </c>
      <c r="E194" s="51">
        <v>123.67910000000001</v>
      </c>
    </row>
    <row r="195" spans="1:5" x14ac:dyDescent="0.35">
      <c r="A195" s="48" t="s">
        <v>306</v>
      </c>
      <c r="B195" s="48" t="s">
        <v>467</v>
      </c>
      <c r="C195" s="49" t="s">
        <v>427</v>
      </c>
      <c r="D195" s="50">
        <v>39182</v>
      </c>
      <c r="E195" s="51">
        <v>121.1307</v>
      </c>
    </row>
    <row r="196" spans="1:5" x14ac:dyDescent="0.35">
      <c r="A196" s="48" t="s">
        <v>300</v>
      </c>
      <c r="B196" s="48" t="s">
        <v>468</v>
      </c>
      <c r="C196" s="49" t="s">
        <v>427</v>
      </c>
      <c r="D196" s="50">
        <v>39185</v>
      </c>
      <c r="E196" s="51">
        <v>156.3133</v>
      </c>
    </row>
    <row r="197" spans="1:5" x14ac:dyDescent="0.35">
      <c r="A197" s="48" t="s">
        <v>304</v>
      </c>
      <c r="B197" s="48" t="s">
        <v>469</v>
      </c>
      <c r="C197" s="49" t="s">
        <v>427</v>
      </c>
      <c r="D197" s="50">
        <v>39186</v>
      </c>
      <c r="E197" s="51">
        <v>150.67850000000001</v>
      </c>
    </row>
    <row r="198" spans="1:5" x14ac:dyDescent="0.35">
      <c r="A198" s="48" t="s">
        <v>304</v>
      </c>
      <c r="B198" s="48" t="s">
        <v>305</v>
      </c>
      <c r="C198" s="49" t="s">
        <v>427</v>
      </c>
      <c r="D198" s="50">
        <v>39188</v>
      </c>
      <c r="E198" s="51">
        <v>129.91820000000001</v>
      </c>
    </row>
    <row r="199" spans="1:5" x14ac:dyDescent="0.35">
      <c r="A199" s="48" t="s">
        <v>300</v>
      </c>
      <c r="B199" s="48" t="s">
        <v>433</v>
      </c>
      <c r="C199" s="49" t="s">
        <v>427</v>
      </c>
      <c r="D199" s="50">
        <v>39189</v>
      </c>
      <c r="E199" s="51">
        <v>142.47020000000001</v>
      </c>
    </row>
    <row r="200" spans="1:5" x14ac:dyDescent="0.35">
      <c r="A200" s="48" t="s">
        <v>306</v>
      </c>
      <c r="B200" s="48" t="s">
        <v>431</v>
      </c>
      <c r="C200" s="49" t="s">
        <v>427</v>
      </c>
      <c r="D200" s="50">
        <v>39189</v>
      </c>
      <c r="E200" s="51">
        <v>121.1307</v>
      </c>
    </row>
    <row r="201" spans="1:5" x14ac:dyDescent="0.35">
      <c r="A201" s="48" t="s">
        <v>306</v>
      </c>
      <c r="B201" s="48" t="s">
        <v>470</v>
      </c>
      <c r="C201" s="49" t="s">
        <v>427</v>
      </c>
      <c r="D201" s="50">
        <v>39192</v>
      </c>
      <c r="E201" s="51">
        <v>122.89019999999999</v>
      </c>
    </row>
    <row r="202" spans="1:5" x14ac:dyDescent="0.35">
      <c r="A202" s="48" t="s">
        <v>313</v>
      </c>
      <c r="B202" s="48" t="s">
        <v>471</v>
      </c>
      <c r="C202" s="49" t="s">
        <v>427</v>
      </c>
      <c r="D202" s="50">
        <v>39195</v>
      </c>
      <c r="E202" s="51">
        <v>157.9188</v>
      </c>
    </row>
    <row r="203" spans="1:5" x14ac:dyDescent="0.35">
      <c r="A203" s="48" t="s">
        <v>313</v>
      </c>
      <c r="B203" s="48" t="s">
        <v>472</v>
      </c>
      <c r="C203" s="49" t="s">
        <v>427</v>
      </c>
      <c r="D203" s="50">
        <v>39195</v>
      </c>
      <c r="E203" s="51">
        <v>161.15479999999999</v>
      </c>
    </row>
    <row r="204" spans="1:5" x14ac:dyDescent="0.35">
      <c r="A204" s="48" t="s">
        <v>306</v>
      </c>
      <c r="B204" s="48" t="s">
        <v>473</v>
      </c>
      <c r="C204" s="49" t="s">
        <v>427</v>
      </c>
      <c r="D204" s="50">
        <v>39196</v>
      </c>
      <c r="E204" s="51">
        <v>123.67910000000001</v>
      </c>
    </row>
    <row r="205" spans="1:5" x14ac:dyDescent="0.35">
      <c r="A205" s="48" t="s">
        <v>306</v>
      </c>
      <c r="B205" s="48" t="s">
        <v>459</v>
      </c>
      <c r="C205" s="49" t="s">
        <v>427</v>
      </c>
      <c r="D205" s="50">
        <v>39196</v>
      </c>
      <c r="E205" s="51">
        <v>122.89019999999999</v>
      </c>
    </row>
    <row r="206" spans="1:5" x14ac:dyDescent="0.35">
      <c r="A206" s="48" t="s">
        <v>300</v>
      </c>
      <c r="B206" s="48" t="s">
        <v>474</v>
      </c>
      <c r="C206" s="49" t="s">
        <v>427</v>
      </c>
      <c r="D206" s="50">
        <v>39196</v>
      </c>
      <c r="E206" s="51">
        <v>117.8608</v>
      </c>
    </row>
    <row r="207" spans="1:5" x14ac:dyDescent="0.35">
      <c r="A207" s="48" t="s">
        <v>306</v>
      </c>
      <c r="B207" s="48" t="s">
        <v>475</v>
      </c>
      <c r="C207" s="49" t="s">
        <v>427</v>
      </c>
      <c r="D207" s="50">
        <v>39196</v>
      </c>
      <c r="E207" s="51">
        <v>157.5171</v>
      </c>
    </row>
    <row r="208" spans="1:5" x14ac:dyDescent="0.35">
      <c r="A208" s="48" t="s">
        <v>313</v>
      </c>
      <c r="B208" s="48" t="s">
        <v>347</v>
      </c>
      <c r="C208" s="49" t="s">
        <v>427</v>
      </c>
      <c r="D208" s="50">
        <v>39201</v>
      </c>
      <c r="E208" s="51">
        <v>178.99520000000001</v>
      </c>
    </row>
    <row r="209" spans="1:5" x14ac:dyDescent="0.35">
      <c r="A209" s="48" t="s">
        <v>300</v>
      </c>
      <c r="B209" s="48" t="s">
        <v>476</v>
      </c>
      <c r="C209" s="49" t="s">
        <v>427</v>
      </c>
      <c r="D209" s="50">
        <v>39202</v>
      </c>
      <c r="E209" s="51">
        <v>125.0718</v>
      </c>
    </row>
    <row r="210" spans="1:5" x14ac:dyDescent="0.35">
      <c r="A210" s="48" t="s">
        <v>304</v>
      </c>
      <c r="B210" s="48" t="s">
        <v>477</v>
      </c>
      <c r="C210" s="49" t="s">
        <v>427</v>
      </c>
      <c r="D210" s="50">
        <v>39202</v>
      </c>
      <c r="E210" s="51">
        <v>142.50970000000001</v>
      </c>
    </row>
    <row r="211" spans="1:5" x14ac:dyDescent="0.35">
      <c r="A211" s="48" t="s">
        <v>304</v>
      </c>
      <c r="B211" s="48" t="s">
        <v>478</v>
      </c>
      <c r="C211" s="49" t="s">
        <v>427</v>
      </c>
      <c r="D211" s="50">
        <v>39203</v>
      </c>
      <c r="E211" s="51">
        <v>145.00890000000001</v>
      </c>
    </row>
    <row r="212" spans="1:5" x14ac:dyDescent="0.35">
      <c r="A212" s="48" t="s">
        <v>306</v>
      </c>
      <c r="B212" s="48" t="s">
        <v>479</v>
      </c>
      <c r="C212" s="49" t="s">
        <v>427</v>
      </c>
      <c r="D212" s="50">
        <v>39206</v>
      </c>
      <c r="E212" s="51">
        <v>137.0196</v>
      </c>
    </row>
    <row r="213" spans="1:5" x14ac:dyDescent="0.35">
      <c r="A213" s="48" t="s">
        <v>304</v>
      </c>
      <c r="B213" s="48" t="s">
        <v>480</v>
      </c>
      <c r="C213" s="49" t="s">
        <v>427</v>
      </c>
      <c r="D213" s="50">
        <v>39206</v>
      </c>
      <c r="E213" s="51">
        <v>150.67850000000001</v>
      </c>
    </row>
    <row r="214" spans="1:5" x14ac:dyDescent="0.35">
      <c r="A214" s="48" t="s">
        <v>300</v>
      </c>
      <c r="B214" s="48" t="s">
        <v>481</v>
      </c>
      <c r="C214" s="49" t="s">
        <v>427</v>
      </c>
      <c r="D214" s="50">
        <v>39208</v>
      </c>
      <c r="E214" s="51">
        <v>146.52520000000001</v>
      </c>
    </row>
    <row r="215" spans="1:5" x14ac:dyDescent="0.35">
      <c r="A215" s="48" t="s">
        <v>306</v>
      </c>
      <c r="B215" s="48" t="s">
        <v>482</v>
      </c>
      <c r="C215" s="49" t="s">
        <v>427</v>
      </c>
      <c r="D215" s="50">
        <v>39208</v>
      </c>
      <c r="E215" s="51">
        <v>158.60230000000001</v>
      </c>
    </row>
    <row r="216" spans="1:5" x14ac:dyDescent="0.35">
      <c r="A216" s="48" t="s">
        <v>306</v>
      </c>
      <c r="B216" s="48" t="s">
        <v>483</v>
      </c>
      <c r="C216" s="49" t="s">
        <v>427</v>
      </c>
      <c r="D216" s="50">
        <v>39208</v>
      </c>
      <c r="E216" s="51">
        <v>157.5171</v>
      </c>
    </row>
    <row r="217" spans="1:5" x14ac:dyDescent="0.35">
      <c r="A217" s="48" t="s">
        <v>306</v>
      </c>
      <c r="B217" s="48" t="s">
        <v>484</v>
      </c>
      <c r="C217" s="49" t="s">
        <v>427</v>
      </c>
      <c r="D217" s="50">
        <v>39210</v>
      </c>
      <c r="E217" s="51">
        <v>157.5171</v>
      </c>
    </row>
    <row r="218" spans="1:5" x14ac:dyDescent="0.35">
      <c r="A218" s="48" t="s">
        <v>313</v>
      </c>
      <c r="B218" s="48" t="s">
        <v>347</v>
      </c>
      <c r="C218" s="49" t="s">
        <v>427</v>
      </c>
      <c r="D218" s="50">
        <v>39213</v>
      </c>
      <c r="E218" s="51">
        <v>178.99520000000001</v>
      </c>
    </row>
    <row r="219" spans="1:5" x14ac:dyDescent="0.35">
      <c r="A219" s="48" t="s">
        <v>313</v>
      </c>
      <c r="B219" s="48" t="s">
        <v>485</v>
      </c>
      <c r="C219" s="49" t="s">
        <v>427</v>
      </c>
      <c r="D219" s="50">
        <v>39214</v>
      </c>
      <c r="E219" s="51">
        <v>157.9188</v>
      </c>
    </row>
    <row r="220" spans="1:5" x14ac:dyDescent="0.35">
      <c r="A220" s="48" t="s">
        <v>313</v>
      </c>
      <c r="B220" s="48" t="s">
        <v>486</v>
      </c>
      <c r="C220" s="49" t="s">
        <v>427</v>
      </c>
      <c r="D220" s="50">
        <v>39220</v>
      </c>
      <c r="E220" s="51">
        <v>149.3853</v>
      </c>
    </row>
    <row r="221" spans="1:5" x14ac:dyDescent="0.35">
      <c r="A221" s="48" t="s">
        <v>306</v>
      </c>
      <c r="B221" s="48" t="s">
        <v>487</v>
      </c>
      <c r="C221" s="49" t="s">
        <v>427</v>
      </c>
      <c r="D221" s="50">
        <v>39221</v>
      </c>
      <c r="E221" s="51">
        <v>122.89019999999999</v>
      </c>
    </row>
    <row r="222" spans="1:5" x14ac:dyDescent="0.35">
      <c r="A222" s="48" t="s">
        <v>313</v>
      </c>
      <c r="B222" s="48" t="s">
        <v>342</v>
      </c>
      <c r="C222" s="49" t="s">
        <v>427</v>
      </c>
      <c r="D222" s="50">
        <v>39221</v>
      </c>
      <c r="E222" s="51">
        <v>161.15479999999999</v>
      </c>
    </row>
    <row r="223" spans="1:5" x14ac:dyDescent="0.35">
      <c r="A223" s="48" t="s">
        <v>300</v>
      </c>
      <c r="B223" s="48" t="s">
        <v>488</v>
      </c>
      <c r="C223" s="49" t="s">
        <v>427</v>
      </c>
      <c r="D223" s="50">
        <v>39222</v>
      </c>
      <c r="E223" s="51">
        <v>109.53230000000001</v>
      </c>
    </row>
    <row r="224" spans="1:5" x14ac:dyDescent="0.35">
      <c r="A224" s="48" t="s">
        <v>300</v>
      </c>
      <c r="B224" s="48" t="s">
        <v>489</v>
      </c>
      <c r="C224" s="49" t="s">
        <v>427</v>
      </c>
      <c r="D224" s="50">
        <v>39224</v>
      </c>
      <c r="E224" s="51">
        <v>125.0718</v>
      </c>
    </row>
    <row r="225" spans="1:5" x14ac:dyDescent="0.35">
      <c r="A225" s="48" t="s">
        <v>304</v>
      </c>
      <c r="B225" s="48" t="s">
        <v>440</v>
      </c>
      <c r="C225" s="49" t="s">
        <v>427</v>
      </c>
      <c r="D225" s="50">
        <v>39230</v>
      </c>
      <c r="E225" s="51">
        <v>139.1114</v>
      </c>
    </row>
    <row r="226" spans="1:5" x14ac:dyDescent="0.35">
      <c r="A226" s="48" t="s">
        <v>306</v>
      </c>
      <c r="B226" s="48" t="s">
        <v>350</v>
      </c>
      <c r="C226" s="49" t="s">
        <v>427</v>
      </c>
      <c r="D226" s="50">
        <v>39231</v>
      </c>
      <c r="E226" s="51">
        <v>157.5171</v>
      </c>
    </row>
    <row r="227" spans="1:5" x14ac:dyDescent="0.35">
      <c r="A227" s="48" t="s">
        <v>306</v>
      </c>
      <c r="B227" s="48" t="s">
        <v>490</v>
      </c>
      <c r="C227" s="49" t="s">
        <v>427</v>
      </c>
      <c r="D227" s="50">
        <v>39234</v>
      </c>
      <c r="E227" s="51">
        <v>126.3828</v>
      </c>
    </row>
    <row r="228" spans="1:5" x14ac:dyDescent="0.35">
      <c r="A228" s="48" t="s">
        <v>300</v>
      </c>
      <c r="B228" s="48" t="s">
        <v>433</v>
      </c>
      <c r="C228" s="49" t="s">
        <v>427</v>
      </c>
      <c r="D228" s="50">
        <v>39241</v>
      </c>
      <c r="E228" s="51">
        <v>142.47020000000001</v>
      </c>
    </row>
    <row r="229" spans="1:5" x14ac:dyDescent="0.35">
      <c r="A229" s="48" t="s">
        <v>313</v>
      </c>
      <c r="B229" s="48" t="s">
        <v>491</v>
      </c>
      <c r="C229" s="49" t="s">
        <v>427</v>
      </c>
      <c r="D229" s="50">
        <v>39241</v>
      </c>
      <c r="E229" s="51">
        <v>161.15479999999999</v>
      </c>
    </row>
    <row r="230" spans="1:5" x14ac:dyDescent="0.35">
      <c r="A230" s="48" t="s">
        <v>313</v>
      </c>
      <c r="B230" s="48" t="s">
        <v>492</v>
      </c>
      <c r="C230" s="49" t="s">
        <v>427</v>
      </c>
      <c r="D230" s="50">
        <v>39243</v>
      </c>
      <c r="E230" s="51">
        <v>145.02260000000001</v>
      </c>
    </row>
    <row r="231" spans="1:5" x14ac:dyDescent="0.35">
      <c r="A231" s="48" t="s">
        <v>304</v>
      </c>
      <c r="B231" s="48" t="s">
        <v>493</v>
      </c>
      <c r="C231" s="49" t="s">
        <v>427</v>
      </c>
      <c r="D231" s="50">
        <v>39243</v>
      </c>
      <c r="E231" s="51">
        <v>150.67850000000001</v>
      </c>
    </row>
    <row r="232" spans="1:5" x14ac:dyDescent="0.35">
      <c r="A232" s="48" t="s">
        <v>306</v>
      </c>
      <c r="B232" s="48" t="s">
        <v>348</v>
      </c>
      <c r="C232" s="49" t="s">
        <v>427</v>
      </c>
      <c r="D232" s="50">
        <v>39244</v>
      </c>
      <c r="E232" s="51">
        <v>138.51929999999999</v>
      </c>
    </row>
    <row r="233" spans="1:5" x14ac:dyDescent="0.35">
      <c r="A233" s="48" t="s">
        <v>300</v>
      </c>
      <c r="B233" s="48" t="s">
        <v>494</v>
      </c>
      <c r="C233" s="49" t="s">
        <v>427</v>
      </c>
      <c r="D233" s="50">
        <v>39248</v>
      </c>
      <c r="E233" s="51">
        <v>125.0718</v>
      </c>
    </row>
    <row r="234" spans="1:5" x14ac:dyDescent="0.35">
      <c r="A234" s="48" t="s">
        <v>313</v>
      </c>
      <c r="B234" s="48" t="s">
        <v>376</v>
      </c>
      <c r="C234" s="49" t="s">
        <v>427</v>
      </c>
      <c r="D234" s="50">
        <v>39249</v>
      </c>
      <c r="E234" s="51">
        <v>157.9188</v>
      </c>
    </row>
    <row r="235" spans="1:5" x14ac:dyDescent="0.35">
      <c r="A235" s="48" t="s">
        <v>306</v>
      </c>
      <c r="B235" s="48" t="s">
        <v>495</v>
      </c>
      <c r="C235" s="49" t="s">
        <v>427</v>
      </c>
      <c r="D235" s="50">
        <v>39249</v>
      </c>
      <c r="E235" s="51">
        <v>157.5171</v>
      </c>
    </row>
    <row r="236" spans="1:5" x14ac:dyDescent="0.35">
      <c r="A236" s="48" t="s">
        <v>304</v>
      </c>
      <c r="B236" s="48" t="s">
        <v>305</v>
      </c>
      <c r="C236" s="49" t="s">
        <v>427</v>
      </c>
      <c r="D236" s="50">
        <v>39249</v>
      </c>
      <c r="E236" s="51">
        <v>129.91820000000001</v>
      </c>
    </row>
    <row r="237" spans="1:5" x14ac:dyDescent="0.35">
      <c r="A237" s="48" t="s">
        <v>300</v>
      </c>
      <c r="B237" s="48" t="s">
        <v>345</v>
      </c>
      <c r="C237" s="49" t="s">
        <v>427</v>
      </c>
      <c r="D237" s="50">
        <v>39250</v>
      </c>
      <c r="E237" s="51">
        <v>156.3133</v>
      </c>
    </row>
    <row r="238" spans="1:5" x14ac:dyDescent="0.35">
      <c r="A238" s="48" t="s">
        <v>306</v>
      </c>
      <c r="B238" s="48" t="s">
        <v>373</v>
      </c>
      <c r="C238" s="49" t="s">
        <v>427</v>
      </c>
      <c r="D238" s="50">
        <v>39252</v>
      </c>
      <c r="E238" s="51">
        <v>138.24</v>
      </c>
    </row>
    <row r="239" spans="1:5" x14ac:dyDescent="0.35">
      <c r="A239" s="48" t="s">
        <v>313</v>
      </c>
      <c r="B239" s="48" t="s">
        <v>496</v>
      </c>
      <c r="C239" s="49" t="s">
        <v>427</v>
      </c>
      <c r="D239" s="50">
        <v>39273</v>
      </c>
      <c r="E239" s="51">
        <v>178.99520000000001</v>
      </c>
    </row>
    <row r="240" spans="1:5" x14ac:dyDescent="0.35">
      <c r="A240" s="48" t="s">
        <v>306</v>
      </c>
      <c r="B240" s="48" t="s">
        <v>497</v>
      </c>
      <c r="C240" s="49" t="s">
        <v>427</v>
      </c>
      <c r="D240" s="50">
        <v>39276</v>
      </c>
      <c r="E240" s="51">
        <v>138.51929999999999</v>
      </c>
    </row>
    <row r="241" spans="1:5" x14ac:dyDescent="0.35">
      <c r="A241" s="48" t="s">
        <v>306</v>
      </c>
      <c r="B241" s="48" t="s">
        <v>498</v>
      </c>
      <c r="C241" s="49" t="s">
        <v>427</v>
      </c>
      <c r="D241" s="50">
        <v>39278</v>
      </c>
      <c r="E241" s="51">
        <v>137.0196</v>
      </c>
    </row>
    <row r="242" spans="1:5" x14ac:dyDescent="0.35">
      <c r="A242" s="48" t="s">
        <v>306</v>
      </c>
      <c r="B242" s="48" t="s">
        <v>499</v>
      </c>
      <c r="C242" s="49" t="s">
        <v>427</v>
      </c>
      <c r="D242" s="50">
        <v>39280</v>
      </c>
      <c r="E242" s="51">
        <v>136.4366</v>
      </c>
    </row>
    <row r="243" spans="1:5" x14ac:dyDescent="0.35">
      <c r="A243" s="48" t="s">
        <v>306</v>
      </c>
      <c r="B243" s="48" t="s">
        <v>348</v>
      </c>
      <c r="C243" s="49" t="s">
        <v>427</v>
      </c>
      <c r="D243" s="50">
        <v>39287</v>
      </c>
      <c r="E243" s="51">
        <v>138.51929999999999</v>
      </c>
    </row>
    <row r="244" spans="1:5" x14ac:dyDescent="0.35">
      <c r="A244" s="48" t="s">
        <v>313</v>
      </c>
      <c r="B244" s="48" t="s">
        <v>342</v>
      </c>
      <c r="C244" s="49" t="s">
        <v>427</v>
      </c>
      <c r="D244" s="50">
        <v>39287</v>
      </c>
      <c r="E244" s="51">
        <v>161.15479999999999</v>
      </c>
    </row>
    <row r="245" spans="1:5" x14ac:dyDescent="0.35">
      <c r="A245" s="48" t="s">
        <v>300</v>
      </c>
      <c r="B245" s="48" t="s">
        <v>474</v>
      </c>
      <c r="C245" s="49" t="s">
        <v>427</v>
      </c>
      <c r="D245" s="50">
        <v>39290</v>
      </c>
      <c r="E245" s="51">
        <v>117.8608</v>
      </c>
    </row>
    <row r="246" spans="1:5" x14ac:dyDescent="0.35">
      <c r="A246" s="48" t="s">
        <v>306</v>
      </c>
      <c r="B246" s="48" t="s">
        <v>500</v>
      </c>
      <c r="C246" s="49" t="s">
        <v>427</v>
      </c>
      <c r="D246" s="50">
        <v>39290</v>
      </c>
      <c r="E246" s="51">
        <v>126.3828</v>
      </c>
    </row>
    <row r="247" spans="1:5" x14ac:dyDescent="0.35">
      <c r="A247" s="48" t="s">
        <v>313</v>
      </c>
      <c r="B247" s="48" t="s">
        <v>464</v>
      </c>
      <c r="C247" s="49" t="s">
        <v>427</v>
      </c>
      <c r="D247" s="50">
        <v>39290</v>
      </c>
      <c r="E247" s="51">
        <v>155.43700000000001</v>
      </c>
    </row>
    <row r="248" spans="1:5" x14ac:dyDescent="0.35">
      <c r="A248" s="48" t="s">
        <v>313</v>
      </c>
      <c r="B248" s="48" t="s">
        <v>501</v>
      </c>
      <c r="C248" s="49" t="s">
        <v>427</v>
      </c>
      <c r="D248" s="50">
        <v>39291</v>
      </c>
      <c r="E248" s="51">
        <v>157.9188</v>
      </c>
    </row>
    <row r="249" spans="1:5" x14ac:dyDescent="0.35">
      <c r="A249" s="48" t="s">
        <v>306</v>
      </c>
      <c r="B249" s="48" t="s">
        <v>502</v>
      </c>
      <c r="C249" s="49" t="s">
        <v>427</v>
      </c>
      <c r="D249" s="50">
        <v>39291</v>
      </c>
      <c r="E249" s="51">
        <v>126.3828</v>
      </c>
    </row>
    <row r="250" spans="1:5" x14ac:dyDescent="0.35">
      <c r="A250" s="48" t="s">
        <v>306</v>
      </c>
      <c r="B250" s="48" t="s">
        <v>437</v>
      </c>
      <c r="C250" s="49" t="s">
        <v>427</v>
      </c>
      <c r="D250" s="50">
        <v>39292</v>
      </c>
      <c r="E250" s="51">
        <v>123.67910000000001</v>
      </c>
    </row>
    <row r="251" spans="1:5" x14ac:dyDescent="0.35">
      <c r="A251" s="48" t="s">
        <v>306</v>
      </c>
      <c r="B251" s="48" t="s">
        <v>503</v>
      </c>
      <c r="C251" s="49" t="s">
        <v>427</v>
      </c>
      <c r="D251" s="50">
        <v>39292</v>
      </c>
      <c r="E251" s="51">
        <v>138.24</v>
      </c>
    </row>
    <row r="252" spans="1:5" x14ac:dyDescent="0.35">
      <c r="A252" s="48" t="s">
        <v>306</v>
      </c>
      <c r="B252" s="48" t="s">
        <v>504</v>
      </c>
      <c r="C252" s="49" t="s">
        <v>427</v>
      </c>
      <c r="D252" s="50">
        <v>39294</v>
      </c>
      <c r="E252" s="51">
        <v>123.67910000000001</v>
      </c>
    </row>
    <row r="253" spans="1:5" x14ac:dyDescent="0.35">
      <c r="A253" s="48" t="s">
        <v>313</v>
      </c>
      <c r="B253" s="48" t="s">
        <v>505</v>
      </c>
      <c r="C253" s="49" t="s">
        <v>427</v>
      </c>
      <c r="D253" s="50">
        <v>39299</v>
      </c>
      <c r="E253" s="51">
        <v>157.822</v>
      </c>
    </row>
    <row r="254" spans="1:5" x14ac:dyDescent="0.35">
      <c r="A254" s="48" t="s">
        <v>313</v>
      </c>
      <c r="B254" s="48" t="s">
        <v>376</v>
      </c>
      <c r="C254" s="49" t="s">
        <v>427</v>
      </c>
      <c r="D254" s="50">
        <v>39299</v>
      </c>
      <c r="E254" s="51">
        <v>157.9188</v>
      </c>
    </row>
    <row r="255" spans="1:5" x14ac:dyDescent="0.35">
      <c r="A255" s="48" t="s">
        <v>306</v>
      </c>
      <c r="B255" s="48" t="s">
        <v>506</v>
      </c>
      <c r="C255" s="49" t="s">
        <v>427</v>
      </c>
      <c r="D255" s="50">
        <v>39300</v>
      </c>
      <c r="E255" s="51">
        <v>123.67910000000001</v>
      </c>
    </row>
    <row r="256" spans="1:5" x14ac:dyDescent="0.35">
      <c r="A256" s="48" t="s">
        <v>306</v>
      </c>
      <c r="B256" s="48" t="s">
        <v>507</v>
      </c>
      <c r="C256" s="49" t="s">
        <v>427</v>
      </c>
      <c r="D256" s="50">
        <v>39301</v>
      </c>
      <c r="E256" s="51">
        <v>126.3828</v>
      </c>
    </row>
    <row r="257" spans="1:5" x14ac:dyDescent="0.35">
      <c r="A257" s="48" t="s">
        <v>300</v>
      </c>
      <c r="B257" s="48" t="s">
        <v>508</v>
      </c>
      <c r="C257" s="49" t="s">
        <v>427</v>
      </c>
      <c r="D257" s="50">
        <v>39304</v>
      </c>
      <c r="E257" s="51">
        <v>117.8608</v>
      </c>
    </row>
    <row r="258" spans="1:5" x14ac:dyDescent="0.35">
      <c r="A258" s="48" t="s">
        <v>300</v>
      </c>
      <c r="B258" s="48" t="s">
        <v>488</v>
      </c>
      <c r="C258" s="49" t="s">
        <v>427</v>
      </c>
      <c r="D258" s="50">
        <v>39307</v>
      </c>
      <c r="E258" s="51">
        <v>109.53230000000001</v>
      </c>
    </row>
    <row r="259" spans="1:5" x14ac:dyDescent="0.35">
      <c r="A259" s="48" t="s">
        <v>306</v>
      </c>
      <c r="B259" s="48" t="s">
        <v>380</v>
      </c>
      <c r="C259" s="49" t="s">
        <v>427</v>
      </c>
      <c r="D259" s="50">
        <v>39308</v>
      </c>
      <c r="E259" s="51">
        <v>137.0196</v>
      </c>
    </row>
    <row r="260" spans="1:5" x14ac:dyDescent="0.35">
      <c r="A260" s="48" t="s">
        <v>306</v>
      </c>
      <c r="B260" s="48" t="s">
        <v>509</v>
      </c>
      <c r="C260" s="49" t="s">
        <v>427</v>
      </c>
      <c r="D260" s="50">
        <v>39313</v>
      </c>
      <c r="E260" s="51">
        <v>137.0196</v>
      </c>
    </row>
    <row r="261" spans="1:5" x14ac:dyDescent="0.35">
      <c r="A261" s="48" t="s">
        <v>304</v>
      </c>
      <c r="B261" s="48" t="s">
        <v>479</v>
      </c>
      <c r="C261" s="49" t="s">
        <v>427</v>
      </c>
      <c r="D261" s="50">
        <v>39313</v>
      </c>
      <c r="E261" s="51">
        <v>130.5522</v>
      </c>
    </row>
    <row r="262" spans="1:5" x14ac:dyDescent="0.35">
      <c r="A262" s="48" t="s">
        <v>300</v>
      </c>
      <c r="B262" s="48" t="s">
        <v>510</v>
      </c>
      <c r="C262" s="49" t="s">
        <v>427</v>
      </c>
      <c r="D262" s="50">
        <v>39318</v>
      </c>
      <c r="E262" s="51">
        <v>146.52520000000001</v>
      </c>
    </row>
    <row r="263" spans="1:5" x14ac:dyDescent="0.35">
      <c r="A263" s="48" t="s">
        <v>313</v>
      </c>
      <c r="B263" s="48" t="s">
        <v>455</v>
      </c>
      <c r="C263" s="49" t="s">
        <v>427</v>
      </c>
      <c r="D263" s="50">
        <v>39325</v>
      </c>
      <c r="E263" s="51">
        <v>161.15479999999999</v>
      </c>
    </row>
    <row r="264" spans="1:5" x14ac:dyDescent="0.35">
      <c r="A264" s="48" t="s">
        <v>304</v>
      </c>
      <c r="B264" s="48" t="s">
        <v>326</v>
      </c>
      <c r="C264" s="49" t="s">
        <v>427</v>
      </c>
      <c r="D264" s="50">
        <v>39332</v>
      </c>
      <c r="E264" s="51">
        <v>130.5522</v>
      </c>
    </row>
    <row r="265" spans="1:5" x14ac:dyDescent="0.35">
      <c r="A265" s="48" t="s">
        <v>306</v>
      </c>
      <c r="B265" s="48" t="s">
        <v>437</v>
      </c>
      <c r="C265" s="49" t="s">
        <v>427</v>
      </c>
      <c r="D265" s="50">
        <v>39341</v>
      </c>
      <c r="E265" s="51">
        <v>123.67910000000001</v>
      </c>
    </row>
    <row r="266" spans="1:5" x14ac:dyDescent="0.35">
      <c r="A266" s="48" t="s">
        <v>306</v>
      </c>
      <c r="B266" s="48" t="s">
        <v>502</v>
      </c>
      <c r="C266" s="49" t="s">
        <v>427</v>
      </c>
      <c r="D266" s="50">
        <v>39341</v>
      </c>
      <c r="E266" s="51">
        <v>126.3828</v>
      </c>
    </row>
    <row r="267" spans="1:5" x14ac:dyDescent="0.35">
      <c r="A267" s="48" t="s">
        <v>300</v>
      </c>
      <c r="B267" s="48" t="s">
        <v>511</v>
      </c>
      <c r="C267" s="49" t="s">
        <v>427</v>
      </c>
      <c r="D267" s="50">
        <v>39342</v>
      </c>
      <c r="E267" s="51">
        <v>155.97980000000001</v>
      </c>
    </row>
    <row r="268" spans="1:5" x14ac:dyDescent="0.35">
      <c r="A268" s="48" t="s">
        <v>300</v>
      </c>
      <c r="B268" s="48" t="s">
        <v>512</v>
      </c>
      <c r="C268" s="49" t="s">
        <v>427</v>
      </c>
      <c r="D268" s="50">
        <v>39342</v>
      </c>
      <c r="E268" s="51">
        <v>117.8608</v>
      </c>
    </row>
    <row r="269" spans="1:5" x14ac:dyDescent="0.35">
      <c r="A269" s="48" t="s">
        <v>304</v>
      </c>
      <c r="B269" s="48" t="s">
        <v>513</v>
      </c>
      <c r="C269" s="49" t="s">
        <v>427</v>
      </c>
      <c r="D269" s="50">
        <v>39343</v>
      </c>
      <c r="E269" s="51">
        <v>130.5522</v>
      </c>
    </row>
    <row r="270" spans="1:5" x14ac:dyDescent="0.35">
      <c r="A270" s="48" t="s">
        <v>306</v>
      </c>
      <c r="B270" s="48" t="s">
        <v>502</v>
      </c>
      <c r="C270" s="49" t="s">
        <v>427</v>
      </c>
      <c r="D270" s="50">
        <v>39343</v>
      </c>
      <c r="E270" s="51">
        <v>126.3828</v>
      </c>
    </row>
    <row r="271" spans="1:5" x14ac:dyDescent="0.35">
      <c r="A271" s="48" t="s">
        <v>313</v>
      </c>
      <c r="B271" s="48" t="s">
        <v>514</v>
      </c>
      <c r="C271" s="49" t="s">
        <v>427</v>
      </c>
      <c r="D271" s="50">
        <v>39348</v>
      </c>
      <c r="E271" s="51">
        <v>179.9939</v>
      </c>
    </row>
    <row r="272" spans="1:5" x14ac:dyDescent="0.35">
      <c r="A272" s="48" t="s">
        <v>306</v>
      </c>
      <c r="B272" s="48" t="s">
        <v>503</v>
      </c>
      <c r="C272" s="49" t="s">
        <v>427</v>
      </c>
      <c r="D272" s="50">
        <v>39348</v>
      </c>
      <c r="E272" s="51">
        <v>138.24</v>
      </c>
    </row>
    <row r="273" spans="1:5" x14ac:dyDescent="0.35">
      <c r="A273" s="48" t="s">
        <v>306</v>
      </c>
      <c r="B273" s="48" t="s">
        <v>437</v>
      </c>
      <c r="C273" s="49" t="s">
        <v>427</v>
      </c>
      <c r="D273" s="50">
        <v>39350</v>
      </c>
      <c r="E273" s="51">
        <v>123.67910000000001</v>
      </c>
    </row>
    <row r="274" spans="1:5" x14ac:dyDescent="0.35">
      <c r="A274" s="48" t="s">
        <v>306</v>
      </c>
      <c r="B274" s="48" t="s">
        <v>515</v>
      </c>
      <c r="C274" s="49" t="s">
        <v>427</v>
      </c>
      <c r="D274" s="50">
        <v>39353</v>
      </c>
      <c r="E274" s="51">
        <v>138.24</v>
      </c>
    </row>
    <row r="275" spans="1:5" x14ac:dyDescent="0.35">
      <c r="A275" s="48" t="s">
        <v>306</v>
      </c>
      <c r="B275" s="48" t="s">
        <v>516</v>
      </c>
      <c r="C275" s="49" t="s">
        <v>427</v>
      </c>
      <c r="D275" s="50">
        <v>39356</v>
      </c>
      <c r="E275" s="51">
        <v>126.3828</v>
      </c>
    </row>
    <row r="276" spans="1:5" x14ac:dyDescent="0.35">
      <c r="A276" s="48" t="s">
        <v>306</v>
      </c>
      <c r="B276" s="48" t="s">
        <v>517</v>
      </c>
      <c r="C276" s="49" t="s">
        <v>427</v>
      </c>
      <c r="D276" s="50">
        <v>39360</v>
      </c>
      <c r="E276" s="51">
        <v>123.67910000000001</v>
      </c>
    </row>
    <row r="277" spans="1:5" x14ac:dyDescent="0.35">
      <c r="A277" s="48" t="s">
        <v>300</v>
      </c>
      <c r="B277" s="48" t="s">
        <v>474</v>
      </c>
      <c r="C277" s="49" t="s">
        <v>427</v>
      </c>
      <c r="D277" s="50">
        <v>39360</v>
      </c>
      <c r="E277" s="51">
        <v>117.8608</v>
      </c>
    </row>
    <row r="278" spans="1:5" x14ac:dyDescent="0.35">
      <c r="A278" s="48" t="s">
        <v>304</v>
      </c>
      <c r="B278" s="48" t="s">
        <v>326</v>
      </c>
      <c r="C278" s="49" t="s">
        <v>427</v>
      </c>
      <c r="D278" s="50">
        <v>39361</v>
      </c>
      <c r="E278" s="51">
        <v>130.5522</v>
      </c>
    </row>
    <row r="279" spans="1:5" x14ac:dyDescent="0.35">
      <c r="A279" s="48" t="s">
        <v>306</v>
      </c>
      <c r="B279" s="48" t="s">
        <v>518</v>
      </c>
      <c r="C279" s="49" t="s">
        <v>427</v>
      </c>
      <c r="D279" s="50">
        <v>39361</v>
      </c>
      <c r="E279" s="51">
        <v>138.24</v>
      </c>
    </row>
    <row r="280" spans="1:5" x14ac:dyDescent="0.35">
      <c r="A280" s="48" t="s">
        <v>300</v>
      </c>
      <c r="B280" s="48" t="s">
        <v>519</v>
      </c>
      <c r="C280" s="49" t="s">
        <v>427</v>
      </c>
      <c r="D280" s="50">
        <v>39363</v>
      </c>
      <c r="E280" s="51">
        <v>142.5857</v>
      </c>
    </row>
    <row r="281" spans="1:5" x14ac:dyDescent="0.35">
      <c r="A281" s="48" t="s">
        <v>313</v>
      </c>
      <c r="B281" s="48" t="s">
        <v>520</v>
      </c>
      <c r="C281" s="49" t="s">
        <v>427</v>
      </c>
      <c r="D281" s="50">
        <v>39364</v>
      </c>
      <c r="E281" s="51">
        <v>141.33619999999999</v>
      </c>
    </row>
    <row r="282" spans="1:5" x14ac:dyDescent="0.35">
      <c r="A282" s="48" t="s">
        <v>300</v>
      </c>
      <c r="B282" s="48" t="s">
        <v>474</v>
      </c>
      <c r="C282" s="49" t="s">
        <v>427</v>
      </c>
      <c r="D282" s="50">
        <v>39364</v>
      </c>
      <c r="E282" s="51">
        <v>117.8608</v>
      </c>
    </row>
    <row r="283" spans="1:5" x14ac:dyDescent="0.35">
      <c r="A283" s="48" t="s">
        <v>306</v>
      </c>
      <c r="B283" s="48" t="s">
        <v>521</v>
      </c>
      <c r="C283" s="49" t="s">
        <v>427</v>
      </c>
      <c r="D283" s="50">
        <v>39368</v>
      </c>
      <c r="E283" s="51">
        <v>136.7543</v>
      </c>
    </row>
    <row r="284" spans="1:5" x14ac:dyDescent="0.35">
      <c r="A284" s="48" t="s">
        <v>304</v>
      </c>
      <c r="B284" s="48" t="s">
        <v>522</v>
      </c>
      <c r="C284" s="49" t="s">
        <v>427</v>
      </c>
      <c r="D284" s="50">
        <v>39368</v>
      </c>
      <c r="E284" s="51">
        <v>130.5522</v>
      </c>
    </row>
    <row r="285" spans="1:5" x14ac:dyDescent="0.35">
      <c r="A285" s="48" t="s">
        <v>300</v>
      </c>
      <c r="B285" s="48" t="s">
        <v>523</v>
      </c>
      <c r="C285" s="49" t="s">
        <v>427</v>
      </c>
      <c r="D285" s="50">
        <v>39369</v>
      </c>
      <c r="E285" s="51">
        <v>110.79219999999999</v>
      </c>
    </row>
    <row r="286" spans="1:5" x14ac:dyDescent="0.35">
      <c r="A286" s="48" t="s">
        <v>304</v>
      </c>
      <c r="B286" s="48" t="s">
        <v>524</v>
      </c>
      <c r="C286" s="49" t="s">
        <v>427</v>
      </c>
      <c r="D286" s="50">
        <v>39369</v>
      </c>
      <c r="E286" s="51">
        <v>129.91820000000001</v>
      </c>
    </row>
    <row r="287" spans="1:5" x14ac:dyDescent="0.35">
      <c r="A287" s="48" t="s">
        <v>306</v>
      </c>
      <c r="B287" s="48" t="s">
        <v>437</v>
      </c>
      <c r="C287" s="49" t="s">
        <v>427</v>
      </c>
      <c r="D287" s="50">
        <v>39370</v>
      </c>
      <c r="E287" s="51">
        <v>123.67910000000001</v>
      </c>
    </row>
    <row r="288" spans="1:5" x14ac:dyDescent="0.35">
      <c r="A288" s="48" t="s">
        <v>306</v>
      </c>
      <c r="B288" s="48" t="s">
        <v>525</v>
      </c>
      <c r="C288" s="49" t="s">
        <v>427</v>
      </c>
      <c r="D288" s="50">
        <v>39370</v>
      </c>
      <c r="E288" s="51">
        <v>138.51929999999999</v>
      </c>
    </row>
    <row r="289" spans="1:5" x14ac:dyDescent="0.35">
      <c r="A289" s="48" t="s">
        <v>300</v>
      </c>
      <c r="B289" s="48" t="s">
        <v>526</v>
      </c>
      <c r="C289" s="49" t="s">
        <v>427</v>
      </c>
      <c r="D289" s="50">
        <v>39374</v>
      </c>
      <c r="E289" s="51">
        <v>110.79219999999999</v>
      </c>
    </row>
    <row r="290" spans="1:5" x14ac:dyDescent="0.35">
      <c r="A290" s="48" t="s">
        <v>306</v>
      </c>
      <c r="B290" s="48" t="s">
        <v>527</v>
      </c>
      <c r="C290" s="49" t="s">
        <v>427</v>
      </c>
      <c r="D290" s="50">
        <v>39378</v>
      </c>
      <c r="E290" s="51">
        <v>157.5171</v>
      </c>
    </row>
    <row r="291" spans="1:5" x14ac:dyDescent="0.35">
      <c r="A291" s="48" t="s">
        <v>306</v>
      </c>
      <c r="B291" s="48" t="s">
        <v>528</v>
      </c>
      <c r="C291" s="49" t="s">
        <v>427</v>
      </c>
      <c r="D291" s="50">
        <v>39381</v>
      </c>
      <c r="E291" s="51">
        <v>122.89019999999999</v>
      </c>
    </row>
    <row r="292" spans="1:5" x14ac:dyDescent="0.35">
      <c r="A292" s="48" t="s">
        <v>300</v>
      </c>
      <c r="B292" s="48" t="s">
        <v>301</v>
      </c>
      <c r="C292" s="49" t="s">
        <v>427</v>
      </c>
      <c r="D292" s="50">
        <v>39388</v>
      </c>
      <c r="E292" s="51">
        <v>110.79219999999999</v>
      </c>
    </row>
    <row r="293" spans="1:5" x14ac:dyDescent="0.35">
      <c r="A293" s="48" t="s">
        <v>306</v>
      </c>
      <c r="B293" s="48" t="s">
        <v>495</v>
      </c>
      <c r="C293" s="49" t="s">
        <v>427</v>
      </c>
      <c r="D293" s="50">
        <v>39388</v>
      </c>
      <c r="E293" s="51">
        <v>157.5171</v>
      </c>
    </row>
    <row r="294" spans="1:5" x14ac:dyDescent="0.35">
      <c r="A294" s="48" t="s">
        <v>306</v>
      </c>
      <c r="B294" s="48" t="s">
        <v>498</v>
      </c>
      <c r="C294" s="49" t="s">
        <v>427</v>
      </c>
      <c r="D294" s="50">
        <v>39389</v>
      </c>
      <c r="E294" s="51">
        <v>137.0196</v>
      </c>
    </row>
    <row r="295" spans="1:5" x14ac:dyDescent="0.35">
      <c r="A295" s="48" t="s">
        <v>313</v>
      </c>
      <c r="B295" s="48" t="s">
        <v>529</v>
      </c>
      <c r="C295" s="49" t="s">
        <v>427</v>
      </c>
      <c r="D295" s="50">
        <v>39389</v>
      </c>
      <c r="E295" s="51">
        <v>157.9188</v>
      </c>
    </row>
    <row r="296" spans="1:5" x14ac:dyDescent="0.35">
      <c r="A296" s="48" t="s">
        <v>306</v>
      </c>
      <c r="B296" s="48" t="s">
        <v>530</v>
      </c>
      <c r="C296" s="49" t="s">
        <v>427</v>
      </c>
      <c r="D296" s="50">
        <v>39389</v>
      </c>
      <c r="E296" s="51">
        <v>121.1307</v>
      </c>
    </row>
    <row r="297" spans="1:5" x14ac:dyDescent="0.35">
      <c r="A297" s="48" t="s">
        <v>304</v>
      </c>
      <c r="B297" s="48" t="s">
        <v>531</v>
      </c>
      <c r="C297" s="49" t="s">
        <v>427</v>
      </c>
      <c r="D297" s="50">
        <v>39391</v>
      </c>
      <c r="E297" s="51">
        <v>130.5522</v>
      </c>
    </row>
    <row r="298" spans="1:5" x14ac:dyDescent="0.35">
      <c r="A298" s="48" t="s">
        <v>313</v>
      </c>
      <c r="B298" s="48" t="s">
        <v>532</v>
      </c>
      <c r="C298" s="49" t="s">
        <v>427</v>
      </c>
      <c r="D298" s="50">
        <v>39391</v>
      </c>
      <c r="E298" s="51">
        <v>161.15479999999999</v>
      </c>
    </row>
    <row r="299" spans="1:5" x14ac:dyDescent="0.35">
      <c r="A299" s="48" t="s">
        <v>304</v>
      </c>
      <c r="B299" s="48" t="s">
        <v>533</v>
      </c>
      <c r="C299" s="49" t="s">
        <v>427</v>
      </c>
      <c r="D299" s="50">
        <v>39392</v>
      </c>
      <c r="E299" s="51">
        <v>145.00890000000001</v>
      </c>
    </row>
    <row r="300" spans="1:5" x14ac:dyDescent="0.35">
      <c r="A300" s="48" t="s">
        <v>300</v>
      </c>
      <c r="B300" s="48" t="s">
        <v>534</v>
      </c>
      <c r="C300" s="49" t="s">
        <v>427</v>
      </c>
      <c r="D300" s="50">
        <v>39396</v>
      </c>
      <c r="E300" s="51">
        <v>151.73840000000001</v>
      </c>
    </row>
    <row r="301" spans="1:5" x14ac:dyDescent="0.35">
      <c r="A301" s="48" t="s">
        <v>313</v>
      </c>
      <c r="B301" s="48" t="s">
        <v>535</v>
      </c>
      <c r="C301" s="49" t="s">
        <v>427</v>
      </c>
      <c r="D301" s="50">
        <v>39396</v>
      </c>
      <c r="E301" s="51">
        <v>157.9188</v>
      </c>
    </row>
    <row r="302" spans="1:5" x14ac:dyDescent="0.35">
      <c r="A302" s="48" t="s">
        <v>306</v>
      </c>
      <c r="B302" s="48" t="s">
        <v>502</v>
      </c>
      <c r="C302" s="49" t="s">
        <v>427</v>
      </c>
      <c r="D302" s="50">
        <v>39402</v>
      </c>
      <c r="E302" s="51">
        <v>126.3828</v>
      </c>
    </row>
    <row r="303" spans="1:5" x14ac:dyDescent="0.35">
      <c r="A303" s="48" t="s">
        <v>313</v>
      </c>
      <c r="B303" s="48" t="s">
        <v>536</v>
      </c>
      <c r="C303" s="49" t="s">
        <v>427</v>
      </c>
      <c r="D303" s="50">
        <v>39406</v>
      </c>
      <c r="E303" s="51">
        <v>161.15479999999999</v>
      </c>
    </row>
    <row r="304" spans="1:5" x14ac:dyDescent="0.35">
      <c r="A304" s="48" t="s">
        <v>306</v>
      </c>
      <c r="B304" s="48" t="s">
        <v>459</v>
      </c>
      <c r="C304" s="49" t="s">
        <v>427</v>
      </c>
      <c r="D304" s="50">
        <v>39410</v>
      </c>
      <c r="E304" s="51">
        <v>122.89019999999999</v>
      </c>
    </row>
    <row r="305" spans="1:5" x14ac:dyDescent="0.35">
      <c r="A305" s="48" t="s">
        <v>300</v>
      </c>
      <c r="B305" s="48" t="s">
        <v>537</v>
      </c>
      <c r="C305" s="49" t="s">
        <v>427</v>
      </c>
      <c r="D305" s="50">
        <v>39410</v>
      </c>
      <c r="E305" s="51">
        <v>110.79219999999999</v>
      </c>
    </row>
    <row r="306" spans="1:5" x14ac:dyDescent="0.35">
      <c r="A306" s="48" t="s">
        <v>313</v>
      </c>
      <c r="B306" s="48" t="s">
        <v>457</v>
      </c>
      <c r="C306" s="49" t="s">
        <v>427</v>
      </c>
      <c r="D306" s="50">
        <v>39412</v>
      </c>
      <c r="E306" s="51">
        <v>141.33619999999999</v>
      </c>
    </row>
    <row r="307" spans="1:5" x14ac:dyDescent="0.35">
      <c r="A307" s="48" t="s">
        <v>306</v>
      </c>
      <c r="B307" s="48" t="s">
        <v>538</v>
      </c>
      <c r="C307" s="49" t="s">
        <v>427</v>
      </c>
      <c r="D307" s="50">
        <v>39417</v>
      </c>
      <c r="E307" s="51">
        <v>136.4366</v>
      </c>
    </row>
    <row r="308" spans="1:5" x14ac:dyDescent="0.35">
      <c r="A308" s="48" t="s">
        <v>306</v>
      </c>
      <c r="B308" s="48" t="s">
        <v>539</v>
      </c>
      <c r="C308" s="49" t="s">
        <v>427</v>
      </c>
      <c r="D308" s="50">
        <v>39417</v>
      </c>
      <c r="E308" s="51">
        <v>121.1307</v>
      </c>
    </row>
    <row r="309" spans="1:5" x14ac:dyDescent="0.35">
      <c r="A309" s="48" t="s">
        <v>300</v>
      </c>
      <c r="B309" s="48" t="s">
        <v>540</v>
      </c>
      <c r="C309" s="49" t="s">
        <v>427</v>
      </c>
      <c r="D309" s="50">
        <v>39418</v>
      </c>
      <c r="E309" s="51">
        <v>151.73840000000001</v>
      </c>
    </row>
    <row r="310" spans="1:5" x14ac:dyDescent="0.35">
      <c r="A310" s="48" t="s">
        <v>300</v>
      </c>
      <c r="B310" s="48" t="s">
        <v>541</v>
      </c>
      <c r="C310" s="49" t="s">
        <v>427</v>
      </c>
      <c r="D310" s="50">
        <v>39419</v>
      </c>
      <c r="E310" s="51">
        <v>125.0718</v>
      </c>
    </row>
    <row r="311" spans="1:5" x14ac:dyDescent="0.35">
      <c r="A311" s="48" t="s">
        <v>304</v>
      </c>
      <c r="B311" s="48" t="s">
        <v>542</v>
      </c>
      <c r="C311" s="49" t="s">
        <v>427</v>
      </c>
      <c r="D311" s="50">
        <v>39419</v>
      </c>
      <c r="E311" s="51">
        <v>150.67850000000001</v>
      </c>
    </row>
    <row r="312" spans="1:5" x14ac:dyDescent="0.35">
      <c r="A312" s="48" t="s">
        <v>313</v>
      </c>
      <c r="B312" s="48" t="s">
        <v>543</v>
      </c>
      <c r="C312" s="49" t="s">
        <v>427</v>
      </c>
      <c r="D312" s="50">
        <v>39424</v>
      </c>
      <c r="E312" s="51">
        <v>145.02260000000001</v>
      </c>
    </row>
    <row r="313" spans="1:5" x14ac:dyDescent="0.35">
      <c r="A313" s="48" t="s">
        <v>313</v>
      </c>
      <c r="B313" s="48" t="s">
        <v>544</v>
      </c>
      <c r="C313" s="49" t="s">
        <v>427</v>
      </c>
      <c r="D313" s="50">
        <v>39430</v>
      </c>
      <c r="E313" s="51">
        <v>157.9188</v>
      </c>
    </row>
    <row r="314" spans="1:5" x14ac:dyDescent="0.35">
      <c r="A314" s="48" t="s">
        <v>300</v>
      </c>
      <c r="B314" s="48" t="s">
        <v>488</v>
      </c>
      <c r="C314" s="49" t="s">
        <v>427</v>
      </c>
      <c r="D314" s="50">
        <v>39432</v>
      </c>
      <c r="E314" s="51">
        <v>109.53230000000001</v>
      </c>
    </row>
    <row r="315" spans="1:5" x14ac:dyDescent="0.35">
      <c r="A315" s="48" t="s">
        <v>300</v>
      </c>
      <c r="B315" s="48" t="s">
        <v>545</v>
      </c>
      <c r="C315" s="49" t="s">
        <v>427</v>
      </c>
      <c r="D315" s="50">
        <v>39433</v>
      </c>
      <c r="E315" s="51">
        <v>110.79219999999999</v>
      </c>
    </row>
    <row r="316" spans="1:5" x14ac:dyDescent="0.35">
      <c r="A316" s="48" t="s">
        <v>313</v>
      </c>
      <c r="B316" s="48" t="s">
        <v>376</v>
      </c>
      <c r="C316" s="49" t="s">
        <v>427</v>
      </c>
      <c r="D316" s="50">
        <v>39433</v>
      </c>
      <c r="E316" s="51">
        <v>157.9188</v>
      </c>
    </row>
    <row r="317" spans="1:5" x14ac:dyDescent="0.35">
      <c r="A317" s="48" t="s">
        <v>313</v>
      </c>
      <c r="B317" s="48" t="s">
        <v>546</v>
      </c>
      <c r="C317" s="49" t="s">
        <v>427</v>
      </c>
      <c r="D317" s="50">
        <v>39445</v>
      </c>
      <c r="E317" s="51">
        <v>157.9188</v>
      </c>
    </row>
    <row r="318" spans="1:5" x14ac:dyDescent="0.35">
      <c r="A318" s="48" t="s">
        <v>306</v>
      </c>
      <c r="B318" s="48" t="s">
        <v>332</v>
      </c>
      <c r="C318" s="49" t="s">
        <v>427</v>
      </c>
      <c r="D318" s="50">
        <v>39446</v>
      </c>
      <c r="E318" s="51">
        <v>136.4366</v>
      </c>
    </row>
    <row r="319" spans="1:5" x14ac:dyDescent="0.35">
      <c r="A319" s="48" t="s">
        <v>304</v>
      </c>
      <c r="B319" s="48" t="s">
        <v>547</v>
      </c>
      <c r="C319" s="49" t="s">
        <v>427</v>
      </c>
      <c r="D319" s="50">
        <v>39446</v>
      </c>
      <c r="E319" s="51">
        <v>148.84110000000001</v>
      </c>
    </row>
    <row r="320" spans="1:5" x14ac:dyDescent="0.35">
      <c r="A320" s="48" t="s">
        <v>313</v>
      </c>
      <c r="B320" s="48" t="s">
        <v>376</v>
      </c>
      <c r="C320" s="52" t="s">
        <v>548</v>
      </c>
      <c r="D320" s="50">
        <v>39088</v>
      </c>
      <c r="E320" s="51">
        <v>136.4316</v>
      </c>
    </row>
    <row r="321" spans="1:5" x14ac:dyDescent="0.35">
      <c r="A321" s="48" t="s">
        <v>313</v>
      </c>
      <c r="B321" s="48" t="s">
        <v>549</v>
      </c>
      <c r="C321" s="52" t="s">
        <v>548</v>
      </c>
      <c r="D321" s="50">
        <v>39090</v>
      </c>
      <c r="E321" s="51">
        <v>174.62880000000001</v>
      </c>
    </row>
    <row r="322" spans="1:5" x14ac:dyDescent="0.35">
      <c r="A322" s="48" t="s">
        <v>304</v>
      </c>
      <c r="B322" s="48" t="s">
        <v>550</v>
      </c>
      <c r="C322" s="52" t="s">
        <v>548</v>
      </c>
      <c r="D322" s="50">
        <v>39097</v>
      </c>
      <c r="E322" s="51">
        <v>191.3192</v>
      </c>
    </row>
    <row r="323" spans="1:5" x14ac:dyDescent="0.35">
      <c r="A323" s="48" t="s">
        <v>313</v>
      </c>
      <c r="B323" s="48" t="s">
        <v>551</v>
      </c>
      <c r="C323" s="52" t="s">
        <v>548</v>
      </c>
      <c r="D323" s="50">
        <v>39098</v>
      </c>
      <c r="E323" s="51">
        <v>154.55369999999999</v>
      </c>
    </row>
    <row r="324" spans="1:5" x14ac:dyDescent="0.35">
      <c r="A324" s="48" t="s">
        <v>313</v>
      </c>
      <c r="B324" s="48" t="s">
        <v>409</v>
      </c>
      <c r="C324" s="52" t="s">
        <v>548</v>
      </c>
      <c r="D324" s="50">
        <v>39110</v>
      </c>
      <c r="E324" s="51">
        <v>139.67660000000001</v>
      </c>
    </row>
    <row r="325" spans="1:5" x14ac:dyDescent="0.35">
      <c r="A325" s="48" t="s">
        <v>306</v>
      </c>
      <c r="B325" s="48" t="s">
        <v>454</v>
      </c>
      <c r="C325" s="52" t="s">
        <v>548</v>
      </c>
      <c r="D325" s="50">
        <v>39112</v>
      </c>
      <c r="E325" s="51">
        <v>135.1711</v>
      </c>
    </row>
    <row r="326" spans="1:5" x14ac:dyDescent="0.35">
      <c r="A326" s="48" t="s">
        <v>313</v>
      </c>
      <c r="B326" s="48" t="s">
        <v>552</v>
      </c>
      <c r="C326" s="52" t="s">
        <v>548</v>
      </c>
      <c r="D326" s="50">
        <v>39116</v>
      </c>
      <c r="E326" s="51">
        <v>175.00149999999999</v>
      </c>
    </row>
    <row r="327" spans="1:5" x14ac:dyDescent="0.35">
      <c r="A327" s="48" t="s">
        <v>306</v>
      </c>
      <c r="B327" s="48" t="s">
        <v>502</v>
      </c>
      <c r="C327" s="52" t="s">
        <v>548</v>
      </c>
      <c r="D327" s="50">
        <v>39116</v>
      </c>
      <c r="E327" s="51">
        <v>124.3043</v>
      </c>
    </row>
    <row r="328" spans="1:5" x14ac:dyDescent="0.35">
      <c r="A328" s="48" t="s">
        <v>313</v>
      </c>
      <c r="B328" s="48" t="s">
        <v>553</v>
      </c>
      <c r="C328" s="52" t="s">
        <v>548</v>
      </c>
      <c r="D328" s="50">
        <v>39117</v>
      </c>
      <c r="E328" s="51">
        <v>174.62880000000001</v>
      </c>
    </row>
    <row r="329" spans="1:5" x14ac:dyDescent="0.35">
      <c r="A329" s="48" t="s">
        <v>304</v>
      </c>
      <c r="B329" s="48" t="s">
        <v>547</v>
      </c>
      <c r="C329" s="52" t="s">
        <v>548</v>
      </c>
      <c r="D329" s="50">
        <v>39124</v>
      </c>
      <c r="E329" s="51">
        <v>151.3578</v>
      </c>
    </row>
    <row r="330" spans="1:5" x14ac:dyDescent="0.35">
      <c r="A330" s="48" t="s">
        <v>304</v>
      </c>
      <c r="B330" s="48" t="s">
        <v>554</v>
      </c>
      <c r="C330" s="52" t="s">
        <v>548</v>
      </c>
      <c r="D330" s="50">
        <v>39125</v>
      </c>
      <c r="E330" s="51">
        <v>125.7127</v>
      </c>
    </row>
    <row r="331" spans="1:5" x14ac:dyDescent="0.35">
      <c r="A331" s="48" t="s">
        <v>313</v>
      </c>
      <c r="B331" s="48" t="s">
        <v>555</v>
      </c>
      <c r="C331" s="52" t="s">
        <v>548</v>
      </c>
      <c r="D331" s="50">
        <v>39126</v>
      </c>
      <c r="E331" s="51">
        <v>168.82409999999999</v>
      </c>
    </row>
    <row r="332" spans="1:5" x14ac:dyDescent="0.35">
      <c r="A332" s="48" t="s">
        <v>313</v>
      </c>
      <c r="B332" s="48" t="s">
        <v>556</v>
      </c>
      <c r="C332" s="52" t="s">
        <v>548</v>
      </c>
      <c r="D332" s="50">
        <v>39130</v>
      </c>
      <c r="E332" s="51">
        <v>154.55369999999999</v>
      </c>
    </row>
    <row r="333" spans="1:5" x14ac:dyDescent="0.35">
      <c r="A333" s="48" t="s">
        <v>313</v>
      </c>
      <c r="B333" s="48" t="s">
        <v>557</v>
      </c>
      <c r="C333" s="52" t="s">
        <v>548</v>
      </c>
      <c r="D333" s="50">
        <v>39131</v>
      </c>
      <c r="E333" s="51">
        <v>174.62880000000001</v>
      </c>
    </row>
    <row r="334" spans="1:5" x14ac:dyDescent="0.35">
      <c r="A334" s="48" t="s">
        <v>306</v>
      </c>
      <c r="B334" s="48" t="s">
        <v>558</v>
      </c>
      <c r="C334" s="52" t="s">
        <v>548</v>
      </c>
      <c r="D334" s="50">
        <v>39133</v>
      </c>
      <c r="E334" s="51">
        <v>118.2955</v>
      </c>
    </row>
    <row r="335" spans="1:5" x14ac:dyDescent="0.35">
      <c r="A335" s="48" t="s">
        <v>313</v>
      </c>
      <c r="B335" s="48" t="s">
        <v>552</v>
      </c>
      <c r="C335" s="52" t="s">
        <v>548</v>
      </c>
      <c r="D335" s="50">
        <v>39137</v>
      </c>
      <c r="E335" s="51">
        <v>175.00149999999999</v>
      </c>
    </row>
    <row r="336" spans="1:5" x14ac:dyDescent="0.35">
      <c r="A336" s="48" t="s">
        <v>313</v>
      </c>
      <c r="B336" s="48" t="s">
        <v>559</v>
      </c>
      <c r="C336" s="52" t="s">
        <v>548</v>
      </c>
      <c r="D336" s="50">
        <v>39138</v>
      </c>
      <c r="E336" s="51">
        <v>174.62880000000001</v>
      </c>
    </row>
    <row r="337" spans="1:5" x14ac:dyDescent="0.35">
      <c r="A337" s="48" t="s">
        <v>300</v>
      </c>
      <c r="B337" s="48" t="s">
        <v>560</v>
      </c>
      <c r="C337" s="52" t="s">
        <v>548</v>
      </c>
      <c r="D337" s="50">
        <v>39139</v>
      </c>
      <c r="E337" s="51">
        <v>132.31630000000001</v>
      </c>
    </row>
    <row r="338" spans="1:5" x14ac:dyDescent="0.35">
      <c r="A338" s="48" t="s">
        <v>313</v>
      </c>
      <c r="B338" s="48" t="s">
        <v>561</v>
      </c>
      <c r="C338" s="52" t="s">
        <v>548</v>
      </c>
      <c r="D338" s="50">
        <v>39140</v>
      </c>
      <c r="E338" s="51">
        <v>168.82409999999999</v>
      </c>
    </row>
    <row r="339" spans="1:5" x14ac:dyDescent="0.35">
      <c r="A339" s="48" t="s">
        <v>313</v>
      </c>
      <c r="B339" s="48" t="s">
        <v>409</v>
      </c>
      <c r="C339" s="52" t="s">
        <v>548</v>
      </c>
      <c r="D339" s="50">
        <v>39146</v>
      </c>
      <c r="E339" s="51">
        <v>139.67660000000001</v>
      </c>
    </row>
    <row r="340" spans="1:5" x14ac:dyDescent="0.35">
      <c r="A340" s="48" t="s">
        <v>313</v>
      </c>
      <c r="B340" s="48" t="s">
        <v>376</v>
      </c>
      <c r="C340" s="52" t="s">
        <v>548</v>
      </c>
      <c r="D340" s="50">
        <v>39159</v>
      </c>
      <c r="E340" s="51">
        <v>136.4316</v>
      </c>
    </row>
    <row r="341" spans="1:5" x14ac:dyDescent="0.35">
      <c r="A341" s="48" t="s">
        <v>313</v>
      </c>
      <c r="B341" s="48" t="s">
        <v>562</v>
      </c>
      <c r="C341" s="52" t="s">
        <v>548</v>
      </c>
      <c r="D341" s="50">
        <v>39165</v>
      </c>
      <c r="E341" s="51">
        <v>154.55369999999999</v>
      </c>
    </row>
    <row r="342" spans="1:5" x14ac:dyDescent="0.35">
      <c r="A342" s="48" t="s">
        <v>313</v>
      </c>
      <c r="B342" s="48" t="s">
        <v>409</v>
      </c>
      <c r="C342" s="52" t="s">
        <v>548</v>
      </c>
      <c r="D342" s="50">
        <v>39167</v>
      </c>
      <c r="E342" s="51">
        <v>139.67660000000001</v>
      </c>
    </row>
    <row r="343" spans="1:5" x14ac:dyDescent="0.35">
      <c r="A343" s="48" t="s">
        <v>313</v>
      </c>
      <c r="B343" s="48" t="s">
        <v>376</v>
      </c>
      <c r="C343" s="52" t="s">
        <v>548</v>
      </c>
      <c r="D343" s="50">
        <v>39172</v>
      </c>
      <c r="E343" s="51">
        <v>136.4316</v>
      </c>
    </row>
    <row r="344" spans="1:5" x14ac:dyDescent="0.35">
      <c r="A344" s="48" t="s">
        <v>300</v>
      </c>
      <c r="B344" s="48" t="s">
        <v>345</v>
      </c>
      <c r="C344" s="52" t="s">
        <v>548</v>
      </c>
      <c r="D344" s="50">
        <v>39173</v>
      </c>
      <c r="E344" s="51">
        <v>159.59129999999999</v>
      </c>
    </row>
    <row r="345" spans="1:5" x14ac:dyDescent="0.35">
      <c r="A345" s="48" t="s">
        <v>304</v>
      </c>
      <c r="B345" s="48" t="s">
        <v>479</v>
      </c>
      <c r="C345" s="52" t="s">
        <v>548</v>
      </c>
      <c r="D345" s="50">
        <v>39178</v>
      </c>
      <c r="E345" s="51">
        <v>138.18539999999999</v>
      </c>
    </row>
    <row r="346" spans="1:5" x14ac:dyDescent="0.35">
      <c r="A346" s="48" t="s">
        <v>313</v>
      </c>
      <c r="B346" s="48" t="s">
        <v>409</v>
      </c>
      <c r="C346" s="52" t="s">
        <v>548</v>
      </c>
      <c r="D346" s="50">
        <v>39185</v>
      </c>
      <c r="E346" s="51">
        <v>139.67660000000001</v>
      </c>
    </row>
    <row r="347" spans="1:5" x14ac:dyDescent="0.35">
      <c r="A347" s="48" t="s">
        <v>313</v>
      </c>
      <c r="B347" s="48" t="s">
        <v>563</v>
      </c>
      <c r="C347" s="52" t="s">
        <v>548</v>
      </c>
      <c r="D347" s="50">
        <v>39188</v>
      </c>
      <c r="E347" s="51">
        <v>168.82409999999999</v>
      </c>
    </row>
    <row r="348" spans="1:5" x14ac:dyDescent="0.35">
      <c r="A348" s="48" t="s">
        <v>313</v>
      </c>
      <c r="B348" s="48" t="s">
        <v>564</v>
      </c>
      <c r="C348" s="52" t="s">
        <v>548</v>
      </c>
      <c r="D348" s="50">
        <v>39193</v>
      </c>
      <c r="E348" s="51">
        <v>168.82409999999999</v>
      </c>
    </row>
    <row r="349" spans="1:5" x14ac:dyDescent="0.35">
      <c r="A349" s="48" t="s">
        <v>313</v>
      </c>
      <c r="B349" s="48" t="s">
        <v>565</v>
      </c>
      <c r="C349" s="52" t="s">
        <v>548</v>
      </c>
      <c r="D349" s="50">
        <v>39196</v>
      </c>
      <c r="E349" s="51">
        <v>168.82409999999999</v>
      </c>
    </row>
    <row r="350" spans="1:5" x14ac:dyDescent="0.35">
      <c r="A350" s="48" t="s">
        <v>313</v>
      </c>
      <c r="B350" s="48" t="s">
        <v>566</v>
      </c>
      <c r="C350" s="52" t="s">
        <v>548</v>
      </c>
      <c r="D350" s="50">
        <v>39201</v>
      </c>
      <c r="E350" s="51">
        <v>168.82409999999999</v>
      </c>
    </row>
    <row r="351" spans="1:5" x14ac:dyDescent="0.35">
      <c r="A351" s="48" t="s">
        <v>313</v>
      </c>
      <c r="B351" s="48" t="s">
        <v>567</v>
      </c>
      <c r="C351" s="52" t="s">
        <v>548</v>
      </c>
      <c r="D351" s="50">
        <v>39210</v>
      </c>
      <c r="E351" s="51">
        <v>168.49420000000001</v>
      </c>
    </row>
    <row r="352" spans="1:5" x14ac:dyDescent="0.35">
      <c r="A352" s="48" t="s">
        <v>304</v>
      </c>
      <c r="B352" s="48" t="s">
        <v>554</v>
      </c>
      <c r="C352" s="52" t="s">
        <v>548</v>
      </c>
      <c r="D352" s="50">
        <v>39220</v>
      </c>
      <c r="E352" s="51">
        <v>125.7127</v>
      </c>
    </row>
    <row r="353" spans="1:5" x14ac:dyDescent="0.35">
      <c r="A353" s="48" t="s">
        <v>313</v>
      </c>
      <c r="B353" s="48" t="s">
        <v>568</v>
      </c>
      <c r="C353" s="52" t="s">
        <v>548</v>
      </c>
      <c r="D353" s="50">
        <v>39223</v>
      </c>
      <c r="E353" s="51">
        <v>168.49420000000001</v>
      </c>
    </row>
    <row r="354" spans="1:5" x14ac:dyDescent="0.35">
      <c r="A354" s="48" t="s">
        <v>313</v>
      </c>
      <c r="B354" s="48" t="s">
        <v>409</v>
      </c>
      <c r="C354" s="52" t="s">
        <v>548</v>
      </c>
      <c r="D354" s="50">
        <v>39224</v>
      </c>
      <c r="E354" s="51">
        <v>139.67660000000001</v>
      </c>
    </row>
    <row r="355" spans="1:5" x14ac:dyDescent="0.35">
      <c r="A355" s="48" t="s">
        <v>313</v>
      </c>
      <c r="B355" s="48" t="s">
        <v>569</v>
      </c>
      <c r="C355" s="52" t="s">
        <v>548</v>
      </c>
      <c r="D355" s="50">
        <v>39228</v>
      </c>
      <c r="E355" s="51">
        <v>168.82409999999999</v>
      </c>
    </row>
    <row r="356" spans="1:5" x14ac:dyDescent="0.35">
      <c r="A356" s="48" t="s">
        <v>313</v>
      </c>
      <c r="B356" s="48" t="s">
        <v>570</v>
      </c>
      <c r="C356" s="52" t="s">
        <v>548</v>
      </c>
      <c r="D356" s="50">
        <v>39238</v>
      </c>
      <c r="E356" s="51">
        <v>168.82409999999999</v>
      </c>
    </row>
    <row r="357" spans="1:5" x14ac:dyDescent="0.35">
      <c r="A357" s="48" t="s">
        <v>313</v>
      </c>
      <c r="B357" s="48" t="s">
        <v>563</v>
      </c>
      <c r="C357" s="52" t="s">
        <v>548</v>
      </c>
      <c r="D357" s="50">
        <v>39242</v>
      </c>
      <c r="E357" s="51">
        <v>168.82409999999999</v>
      </c>
    </row>
    <row r="358" spans="1:5" x14ac:dyDescent="0.35">
      <c r="A358" s="48" t="s">
        <v>313</v>
      </c>
      <c r="B358" s="48" t="s">
        <v>571</v>
      </c>
      <c r="C358" s="52" t="s">
        <v>548</v>
      </c>
      <c r="D358" s="50">
        <v>39242</v>
      </c>
      <c r="E358" s="51">
        <v>168.82409999999999</v>
      </c>
    </row>
    <row r="359" spans="1:5" x14ac:dyDescent="0.35">
      <c r="A359" s="48" t="s">
        <v>306</v>
      </c>
      <c r="B359" s="48" t="s">
        <v>572</v>
      </c>
      <c r="C359" s="52" t="s">
        <v>548</v>
      </c>
      <c r="D359" s="50">
        <v>39243</v>
      </c>
      <c r="E359" s="51">
        <v>155.37</v>
      </c>
    </row>
    <row r="360" spans="1:5" x14ac:dyDescent="0.35">
      <c r="A360" s="48" t="s">
        <v>313</v>
      </c>
      <c r="B360" s="48" t="s">
        <v>409</v>
      </c>
      <c r="C360" s="52" t="s">
        <v>548</v>
      </c>
      <c r="D360" s="50">
        <v>39243</v>
      </c>
      <c r="E360" s="51">
        <v>139.67660000000001</v>
      </c>
    </row>
    <row r="361" spans="1:5" x14ac:dyDescent="0.35">
      <c r="A361" s="48" t="s">
        <v>313</v>
      </c>
      <c r="B361" s="48" t="s">
        <v>564</v>
      </c>
      <c r="C361" s="52" t="s">
        <v>548</v>
      </c>
      <c r="D361" s="50">
        <v>39244</v>
      </c>
      <c r="E361" s="51">
        <v>168.82409999999999</v>
      </c>
    </row>
    <row r="362" spans="1:5" x14ac:dyDescent="0.35">
      <c r="A362" s="48" t="s">
        <v>313</v>
      </c>
      <c r="B362" s="48" t="s">
        <v>573</v>
      </c>
      <c r="C362" s="52" t="s">
        <v>548</v>
      </c>
      <c r="D362" s="50">
        <v>39248</v>
      </c>
      <c r="E362" s="51">
        <v>168.82409999999999</v>
      </c>
    </row>
    <row r="363" spans="1:5" x14ac:dyDescent="0.35">
      <c r="A363" s="48" t="s">
        <v>313</v>
      </c>
      <c r="B363" s="48" t="s">
        <v>549</v>
      </c>
      <c r="C363" s="52" t="s">
        <v>548</v>
      </c>
      <c r="D363" s="50">
        <v>39257</v>
      </c>
      <c r="E363" s="51">
        <v>174.62880000000001</v>
      </c>
    </row>
    <row r="364" spans="1:5" x14ac:dyDescent="0.35">
      <c r="A364" s="48" t="s">
        <v>300</v>
      </c>
      <c r="B364" s="48" t="s">
        <v>513</v>
      </c>
      <c r="C364" s="52" t="s">
        <v>548</v>
      </c>
      <c r="D364" s="50">
        <v>39264</v>
      </c>
      <c r="E364" s="51">
        <v>140.32570000000001</v>
      </c>
    </row>
    <row r="365" spans="1:5" x14ac:dyDescent="0.35">
      <c r="A365" s="48" t="s">
        <v>304</v>
      </c>
      <c r="B365" s="48" t="s">
        <v>574</v>
      </c>
      <c r="C365" s="52" t="s">
        <v>548</v>
      </c>
      <c r="D365" s="50">
        <v>39277</v>
      </c>
      <c r="E365" s="51">
        <v>138.18539999999999</v>
      </c>
    </row>
    <row r="366" spans="1:5" x14ac:dyDescent="0.35">
      <c r="A366" s="48" t="s">
        <v>306</v>
      </c>
      <c r="B366" s="48" t="s">
        <v>575</v>
      </c>
      <c r="C366" s="52" t="s">
        <v>548</v>
      </c>
      <c r="D366" s="50">
        <v>39280</v>
      </c>
      <c r="E366" s="51">
        <v>118.2955</v>
      </c>
    </row>
    <row r="367" spans="1:5" x14ac:dyDescent="0.35">
      <c r="A367" s="48" t="s">
        <v>313</v>
      </c>
      <c r="B367" s="48" t="s">
        <v>570</v>
      </c>
      <c r="C367" s="52" t="s">
        <v>548</v>
      </c>
      <c r="D367" s="50">
        <v>39286</v>
      </c>
      <c r="E367" s="51">
        <v>168.82409999999999</v>
      </c>
    </row>
    <row r="368" spans="1:5" x14ac:dyDescent="0.35">
      <c r="A368" s="48" t="s">
        <v>313</v>
      </c>
      <c r="B368" s="48" t="s">
        <v>576</v>
      </c>
      <c r="C368" s="52" t="s">
        <v>548</v>
      </c>
      <c r="D368" s="50">
        <v>39287</v>
      </c>
      <c r="E368" s="51">
        <v>170.88329999999999</v>
      </c>
    </row>
    <row r="369" spans="1:5" x14ac:dyDescent="0.35">
      <c r="A369" s="48" t="s">
        <v>306</v>
      </c>
      <c r="B369" s="48" t="s">
        <v>577</v>
      </c>
      <c r="C369" s="52" t="s">
        <v>548</v>
      </c>
      <c r="D369" s="50">
        <v>39291</v>
      </c>
      <c r="E369" s="51">
        <v>135.34620000000001</v>
      </c>
    </row>
    <row r="370" spans="1:5" x14ac:dyDescent="0.35">
      <c r="A370" s="48" t="s">
        <v>313</v>
      </c>
      <c r="B370" s="48" t="s">
        <v>389</v>
      </c>
      <c r="C370" s="52" t="s">
        <v>548</v>
      </c>
      <c r="D370" s="50">
        <v>39294</v>
      </c>
      <c r="E370" s="51">
        <v>168.82409999999999</v>
      </c>
    </row>
    <row r="371" spans="1:5" x14ac:dyDescent="0.35">
      <c r="A371" s="48" t="s">
        <v>306</v>
      </c>
      <c r="B371" s="48" t="s">
        <v>381</v>
      </c>
      <c r="C371" s="52" t="s">
        <v>548</v>
      </c>
      <c r="D371" s="50">
        <v>39294</v>
      </c>
      <c r="E371" s="51">
        <v>171.8022</v>
      </c>
    </row>
    <row r="372" spans="1:5" x14ac:dyDescent="0.35">
      <c r="A372" s="48" t="s">
        <v>313</v>
      </c>
      <c r="B372" s="48" t="s">
        <v>578</v>
      </c>
      <c r="C372" s="52" t="s">
        <v>548</v>
      </c>
      <c r="D372" s="50">
        <v>39297</v>
      </c>
      <c r="E372" s="51">
        <v>154.55369999999999</v>
      </c>
    </row>
    <row r="373" spans="1:5" x14ac:dyDescent="0.35">
      <c r="A373" s="48" t="s">
        <v>313</v>
      </c>
      <c r="B373" s="48" t="s">
        <v>579</v>
      </c>
      <c r="C373" s="52" t="s">
        <v>548</v>
      </c>
      <c r="D373" s="50">
        <v>39299</v>
      </c>
      <c r="E373" s="51">
        <v>175.00149999999999</v>
      </c>
    </row>
    <row r="374" spans="1:5" x14ac:dyDescent="0.35">
      <c r="A374" s="48" t="s">
        <v>313</v>
      </c>
      <c r="B374" s="48" t="s">
        <v>344</v>
      </c>
      <c r="C374" s="52" t="s">
        <v>548</v>
      </c>
      <c r="D374" s="50">
        <v>39300</v>
      </c>
      <c r="E374" s="51">
        <v>168.82409999999999</v>
      </c>
    </row>
    <row r="375" spans="1:5" x14ac:dyDescent="0.35">
      <c r="A375" s="48" t="s">
        <v>313</v>
      </c>
      <c r="B375" s="48" t="s">
        <v>559</v>
      </c>
      <c r="C375" s="52" t="s">
        <v>548</v>
      </c>
      <c r="D375" s="50">
        <v>39300</v>
      </c>
      <c r="E375" s="51">
        <v>174.62880000000001</v>
      </c>
    </row>
    <row r="376" spans="1:5" x14ac:dyDescent="0.35">
      <c r="A376" s="48" t="s">
        <v>306</v>
      </c>
      <c r="B376" s="48" t="s">
        <v>502</v>
      </c>
      <c r="C376" s="52" t="s">
        <v>548</v>
      </c>
      <c r="D376" s="50">
        <v>39304</v>
      </c>
      <c r="E376" s="51">
        <v>124.3043</v>
      </c>
    </row>
    <row r="377" spans="1:5" x14ac:dyDescent="0.35">
      <c r="A377" s="48" t="s">
        <v>313</v>
      </c>
      <c r="B377" s="48" t="s">
        <v>552</v>
      </c>
      <c r="C377" s="52" t="s">
        <v>548</v>
      </c>
      <c r="D377" s="50">
        <v>39314</v>
      </c>
      <c r="E377" s="51">
        <v>175.00149999999999</v>
      </c>
    </row>
    <row r="378" spans="1:5" x14ac:dyDescent="0.35">
      <c r="A378" s="48" t="s">
        <v>313</v>
      </c>
      <c r="B378" s="48" t="s">
        <v>580</v>
      </c>
      <c r="C378" s="52" t="s">
        <v>548</v>
      </c>
      <c r="D378" s="50">
        <v>39321</v>
      </c>
      <c r="E378" s="51">
        <v>168.82409999999999</v>
      </c>
    </row>
    <row r="379" spans="1:5" x14ac:dyDescent="0.35">
      <c r="A379" s="48" t="s">
        <v>306</v>
      </c>
      <c r="B379" s="48" t="s">
        <v>381</v>
      </c>
      <c r="C379" s="52" t="s">
        <v>548</v>
      </c>
      <c r="D379" s="50">
        <v>39327</v>
      </c>
      <c r="E379" s="51">
        <v>171.8022</v>
      </c>
    </row>
    <row r="380" spans="1:5" x14ac:dyDescent="0.35">
      <c r="A380" s="48" t="s">
        <v>306</v>
      </c>
      <c r="B380" s="48" t="s">
        <v>581</v>
      </c>
      <c r="C380" s="52" t="s">
        <v>548</v>
      </c>
      <c r="D380" s="50">
        <v>39328</v>
      </c>
      <c r="E380" s="51">
        <v>155.37</v>
      </c>
    </row>
    <row r="381" spans="1:5" x14ac:dyDescent="0.35">
      <c r="A381" s="48" t="s">
        <v>306</v>
      </c>
      <c r="B381" s="48" t="s">
        <v>582</v>
      </c>
      <c r="C381" s="52" t="s">
        <v>548</v>
      </c>
      <c r="D381" s="50">
        <v>39336</v>
      </c>
      <c r="E381" s="51">
        <v>190.0909</v>
      </c>
    </row>
    <row r="382" spans="1:5" x14ac:dyDescent="0.35">
      <c r="A382" s="48" t="s">
        <v>313</v>
      </c>
      <c r="B382" s="48" t="s">
        <v>562</v>
      </c>
      <c r="C382" s="52" t="s">
        <v>548</v>
      </c>
      <c r="D382" s="50">
        <v>39340</v>
      </c>
      <c r="E382" s="51">
        <v>154.55369999999999</v>
      </c>
    </row>
    <row r="383" spans="1:5" x14ac:dyDescent="0.35">
      <c r="A383" s="48" t="s">
        <v>306</v>
      </c>
      <c r="B383" s="48" t="s">
        <v>453</v>
      </c>
      <c r="C383" s="52" t="s">
        <v>548</v>
      </c>
      <c r="D383" s="50">
        <v>39347</v>
      </c>
      <c r="E383" s="51">
        <v>172.93090000000001</v>
      </c>
    </row>
    <row r="384" spans="1:5" x14ac:dyDescent="0.35">
      <c r="A384" s="48" t="s">
        <v>313</v>
      </c>
      <c r="B384" s="48" t="s">
        <v>562</v>
      </c>
      <c r="C384" s="52" t="s">
        <v>548</v>
      </c>
      <c r="D384" s="50">
        <v>39350</v>
      </c>
      <c r="E384" s="51">
        <v>154.55369999999999</v>
      </c>
    </row>
    <row r="385" spans="1:5" x14ac:dyDescent="0.35">
      <c r="A385" s="48" t="s">
        <v>306</v>
      </c>
      <c r="B385" s="48" t="s">
        <v>429</v>
      </c>
      <c r="C385" s="52" t="s">
        <v>548</v>
      </c>
      <c r="D385" s="50">
        <v>39354</v>
      </c>
      <c r="E385" s="51">
        <v>135.1711</v>
      </c>
    </row>
    <row r="386" spans="1:5" x14ac:dyDescent="0.35">
      <c r="A386" s="48" t="s">
        <v>306</v>
      </c>
      <c r="B386" s="48" t="s">
        <v>431</v>
      </c>
      <c r="C386" s="52" t="s">
        <v>548</v>
      </c>
      <c r="D386" s="50">
        <v>39354</v>
      </c>
      <c r="E386" s="51">
        <v>135.34620000000001</v>
      </c>
    </row>
    <row r="387" spans="1:5" x14ac:dyDescent="0.35">
      <c r="A387" s="48" t="s">
        <v>313</v>
      </c>
      <c r="B387" s="48" t="s">
        <v>580</v>
      </c>
      <c r="C387" s="52" t="s">
        <v>548</v>
      </c>
      <c r="D387" s="50">
        <v>39360</v>
      </c>
      <c r="E387" s="51">
        <v>168.82409999999999</v>
      </c>
    </row>
    <row r="388" spans="1:5" x14ac:dyDescent="0.35">
      <c r="A388" s="48" t="s">
        <v>300</v>
      </c>
      <c r="B388" s="48" t="s">
        <v>433</v>
      </c>
      <c r="C388" s="52" t="s">
        <v>548</v>
      </c>
      <c r="D388" s="50">
        <v>39361</v>
      </c>
      <c r="E388" s="51">
        <v>140.32570000000001</v>
      </c>
    </row>
    <row r="389" spans="1:5" x14ac:dyDescent="0.35">
      <c r="A389" s="48" t="s">
        <v>313</v>
      </c>
      <c r="B389" s="48" t="s">
        <v>583</v>
      </c>
      <c r="C389" s="52" t="s">
        <v>548</v>
      </c>
      <c r="D389" s="50">
        <v>39368</v>
      </c>
      <c r="E389" s="51">
        <v>139.67660000000001</v>
      </c>
    </row>
    <row r="390" spans="1:5" x14ac:dyDescent="0.35">
      <c r="A390" s="48" t="s">
        <v>300</v>
      </c>
      <c r="B390" s="48" t="s">
        <v>584</v>
      </c>
      <c r="C390" s="52" t="s">
        <v>548</v>
      </c>
      <c r="D390" s="50">
        <v>39369</v>
      </c>
      <c r="E390" s="51">
        <v>160.78460000000001</v>
      </c>
    </row>
    <row r="391" spans="1:5" x14ac:dyDescent="0.35">
      <c r="A391" s="48" t="s">
        <v>313</v>
      </c>
      <c r="B391" s="48" t="s">
        <v>425</v>
      </c>
      <c r="C391" s="52" t="s">
        <v>548</v>
      </c>
      <c r="D391" s="50">
        <v>39371</v>
      </c>
      <c r="E391" s="51">
        <v>136.4316</v>
      </c>
    </row>
    <row r="392" spans="1:5" x14ac:dyDescent="0.35">
      <c r="A392" s="48" t="s">
        <v>304</v>
      </c>
      <c r="B392" s="48" t="s">
        <v>585</v>
      </c>
      <c r="C392" s="52" t="s">
        <v>548</v>
      </c>
      <c r="D392" s="50">
        <v>39374</v>
      </c>
      <c r="E392" s="51">
        <v>125.7127</v>
      </c>
    </row>
    <row r="393" spans="1:5" x14ac:dyDescent="0.35">
      <c r="A393" s="48" t="s">
        <v>306</v>
      </c>
      <c r="B393" s="48" t="s">
        <v>429</v>
      </c>
      <c r="C393" s="52" t="s">
        <v>548</v>
      </c>
      <c r="D393" s="50">
        <v>39389</v>
      </c>
      <c r="E393" s="51">
        <v>135.1711</v>
      </c>
    </row>
    <row r="394" spans="1:5" x14ac:dyDescent="0.35">
      <c r="A394" s="48" t="s">
        <v>313</v>
      </c>
      <c r="B394" s="48" t="s">
        <v>586</v>
      </c>
      <c r="C394" s="52" t="s">
        <v>548</v>
      </c>
      <c r="D394" s="50">
        <v>39389</v>
      </c>
      <c r="E394" s="51">
        <v>168.82409999999999</v>
      </c>
    </row>
    <row r="395" spans="1:5" x14ac:dyDescent="0.35">
      <c r="A395" s="48" t="s">
        <v>304</v>
      </c>
      <c r="B395" s="48" t="s">
        <v>574</v>
      </c>
      <c r="C395" s="52" t="s">
        <v>548</v>
      </c>
      <c r="D395" s="50">
        <v>39391</v>
      </c>
      <c r="E395" s="51">
        <v>138.18539999999999</v>
      </c>
    </row>
    <row r="396" spans="1:5" x14ac:dyDescent="0.35">
      <c r="A396" s="48" t="s">
        <v>306</v>
      </c>
      <c r="B396" s="48" t="s">
        <v>502</v>
      </c>
      <c r="C396" s="52" t="s">
        <v>548</v>
      </c>
      <c r="D396" s="50">
        <v>39391</v>
      </c>
      <c r="E396" s="51">
        <v>124.3043</v>
      </c>
    </row>
    <row r="397" spans="1:5" x14ac:dyDescent="0.35">
      <c r="A397" s="48" t="s">
        <v>313</v>
      </c>
      <c r="B397" s="48" t="s">
        <v>328</v>
      </c>
      <c r="C397" s="52" t="s">
        <v>548</v>
      </c>
      <c r="D397" s="50">
        <v>39398</v>
      </c>
      <c r="E397" s="51">
        <v>168.49420000000001</v>
      </c>
    </row>
    <row r="398" spans="1:5" x14ac:dyDescent="0.35">
      <c r="A398" s="48" t="s">
        <v>313</v>
      </c>
      <c r="B398" s="48" t="s">
        <v>587</v>
      </c>
      <c r="C398" s="52" t="s">
        <v>548</v>
      </c>
      <c r="D398" s="50">
        <v>39404</v>
      </c>
      <c r="E398" s="51">
        <v>168.49420000000001</v>
      </c>
    </row>
    <row r="399" spans="1:5" x14ac:dyDescent="0.35">
      <c r="A399" s="48" t="s">
        <v>313</v>
      </c>
      <c r="B399" s="48" t="s">
        <v>376</v>
      </c>
      <c r="C399" s="52" t="s">
        <v>548</v>
      </c>
      <c r="D399" s="50">
        <v>39420</v>
      </c>
      <c r="E399" s="51">
        <v>136.4316</v>
      </c>
    </row>
    <row r="400" spans="1:5" x14ac:dyDescent="0.35">
      <c r="A400" s="48" t="s">
        <v>304</v>
      </c>
      <c r="B400" s="48" t="s">
        <v>588</v>
      </c>
      <c r="C400" s="52" t="s">
        <v>548</v>
      </c>
      <c r="D400" s="50">
        <v>39426</v>
      </c>
      <c r="E400" s="51">
        <v>151.3578</v>
      </c>
    </row>
    <row r="401" spans="1:5" x14ac:dyDescent="0.35">
      <c r="A401" s="48" t="s">
        <v>313</v>
      </c>
      <c r="B401" s="48" t="s">
        <v>589</v>
      </c>
      <c r="C401" s="52" t="s">
        <v>548</v>
      </c>
      <c r="D401" s="50">
        <v>39427</v>
      </c>
      <c r="E401" s="51">
        <v>154.55369999999999</v>
      </c>
    </row>
    <row r="402" spans="1:5" x14ac:dyDescent="0.35">
      <c r="A402" s="48" t="s">
        <v>313</v>
      </c>
      <c r="B402" s="48" t="s">
        <v>590</v>
      </c>
      <c r="C402" s="52" t="s">
        <v>548</v>
      </c>
      <c r="D402" s="50">
        <v>39430</v>
      </c>
      <c r="E402" s="51">
        <v>219.76</v>
      </c>
    </row>
    <row r="403" spans="1:5" x14ac:dyDescent="0.35">
      <c r="A403" s="48" t="s">
        <v>313</v>
      </c>
      <c r="B403" s="48" t="s">
        <v>591</v>
      </c>
      <c r="C403" s="52" t="s">
        <v>548</v>
      </c>
      <c r="D403" s="50">
        <v>39437</v>
      </c>
      <c r="E403" s="51">
        <v>175.00149999999999</v>
      </c>
    </row>
    <row r="404" spans="1:5" x14ac:dyDescent="0.35">
      <c r="A404" s="48" t="s">
        <v>313</v>
      </c>
      <c r="B404" s="48" t="s">
        <v>592</v>
      </c>
      <c r="C404" s="52" t="s">
        <v>548</v>
      </c>
      <c r="D404" s="50">
        <v>39438</v>
      </c>
      <c r="E404" s="51">
        <v>174.62880000000001</v>
      </c>
    </row>
    <row r="405" spans="1:5" x14ac:dyDescent="0.35">
      <c r="A405" s="48" t="s">
        <v>304</v>
      </c>
      <c r="B405" s="48" t="s">
        <v>547</v>
      </c>
      <c r="C405" s="52" t="s">
        <v>593</v>
      </c>
      <c r="D405" s="50">
        <v>39094</v>
      </c>
      <c r="E405" s="51">
        <v>190.66380000000001</v>
      </c>
    </row>
    <row r="406" spans="1:5" x14ac:dyDescent="0.35">
      <c r="A406" s="48" t="s">
        <v>313</v>
      </c>
      <c r="B406" s="48" t="s">
        <v>594</v>
      </c>
      <c r="C406" s="52" t="s">
        <v>593</v>
      </c>
      <c r="D406" s="50">
        <v>39098</v>
      </c>
      <c r="E406" s="51">
        <v>214.17189999999999</v>
      </c>
    </row>
    <row r="407" spans="1:5" x14ac:dyDescent="0.35">
      <c r="A407" s="48" t="s">
        <v>300</v>
      </c>
      <c r="B407" s="48" t="s">
        <v>595</v>
      </c>
      <c r="C407" s="52" t="s">
        <v>593</v>
      </c>
      <c r="D407" s="50">
        <v>39118</v>
      </c>
      <c r="E407" s="51">
        <v>184.0565</v>
      </c>
    </row>
    <row r="408" spans="1:5" x14ac:dyDescent="0.35">
      <c r="A408" s="48" t="s">
        <v>306</v>
      </c>
      <c r="B408" s="48" t="s">
        <v>596</v>
      </c>
      <c r="C408" s="52" t="s">
        <v>593</v>
      </c>
      <c r="D408" s="50">
        <v>39136</v>
      </c>
      <c r="E408" s="51">
        <v>185.70439999999999</v>
      </c>
    </row>
    <row r="409" spans="1:5" x14ac:dyDescent="0.35">
      <c r="A409" s="48" t="s">
        <v>304</v>
      </c>
      <c r="B409" s="48" t="s">
        <v>597</v>
      </c>
      <c r="C409" s="52" t="s">
        <v>593</v>
      </c>
      <c r="D409" s="50">
        <v>39153</v>
      </c>
      <c r="E409" s="51">
        <v>134.53620000000001</v>
      </c>
    </row>
    <row r="410" spans="1:5" x14ac:dyDescent="0.35">
      <c r="A410" s="48" t="s">
        <v>306</v>
      </c>
      <c r="B410" s="48" t="s">
        <v>459</v>
      </c>
      <c r="C410" s="52" t="s">
        <v>593</v>
      </c>
      <c r="D410" s="50">
        <v>39174</v>
      </c>
      <c r="E410" s="51">
        <v>183.9495</v>
      </c>
    </row>
    <row r="411" spans="1:5" x14ac:dyDescent="0.35">
      <c r="A411" s="48" t="s">
        <v>304</v>
      </c>
      <c r="B411" s="48" t="s">
        <v>598</v>
      </c>
      <c r="C411" s="52" t="s">
        <v>593</v>
      </c>
      <c r="D411" s="50">
        <v>39178</v>
      </c>
      <c r="E411" s="51">
        <v>214.1009</v>
      </c>
    </row>
    <row r="412" spans="1:5" x14ac:dyDescent="0.35">
      <c r="A412" s="48" t="s">
        <v>306</v>
      </c>
      <c r="B412" s="48" t="s">
        <v>384</v>
      </c>
      <c r="C412" s="52" t="s">
        <v>593</v>
      </c>
      <c r="D412" s="50">
        <v>39182</v>
      </c>
      <c r="E412" s="51">
        <v>189.41829999999999</v>
      </c>
    </row>
    <row r="413" spans="1:5" x14ac:dyDescent="0.35">
      <c r="A413" s="48" t="s">
        <v>300</v>
      </c>
      <c r="B413" s="48" t="s">
        <v>599</v>
      </c>
      <c r="C413" s="52" t="s">
        <v>593</v>
      </c>
      <c r="D413" s="50">
        <v>39188</v>
      </c>
      <c r="E413" s="51">
        <v>190.96250000000001</v>
      </c>
    </row>
    <row r="414" spans="1:5" x14ac:dyDescent="0.35">
      <c r="A414" s="48" t="s">
        <v>304</v>
      </c>
      <c r="B414" s="48" t="s">
        <v>600</v>
      </c>
      <c r="C414" s="52" t="s">
        <v>593</v>
      </c>
      <c r="D414" s="50">
        <v>39202</v>
      </c>
      <c r="E414" s="51">
        <v>134.53620000000001</v>
      </c>
    </row>
    <row r="415" spans="1:5" x14ac:dyDescent="0.35">
      <c r="A415" s="48" t="s">
        <v>313</v>
      </c>
      <c r="B415" s="48" t="s">
        <v>409</v>
      </c>
      <c r="C415" s="52" t="s">
        <v>593</v>
      </c>
      <c r="D415" s="50">
        <v>39224</v>
      </c>
      <c r="E415" s="51">
        <v>197.95179999999999</v>
      </c>
    </row>
    <row r="416" spans="1:5" x14ac:dyDescent="0.35">
      <c r="A416" s="48" t="s">
        <v>306</v>
      </c>
      <c r="B416" s="48" t="s">
        <v>495</v>
      </c>
      <c r="C416" s="52" t="s">
        <v>593</v>
      </c>
      <c r="D416" s="50">
        <v>39228</v>
      </c>
      <c r="E416" s="51">
        <v>184.2783</v>
      </c>
    </row>
    <row r="417" spans="1:5" x14ac:dyDescent="0.35">
      <c r="A417" s="48" t="s">
        <v>306</v>
      </c>
      <c r="B417" s="48" t="s">
        <v>601</v>
      </c>
      <c r="C417" s="52" t="s">
        <v>593</v>
      </c>
      <c r="D417" s="50">
        <v>39231</v>
      </c>
      <c r="E417" s="51">
        <v>185.70439999999999</v>
      </c>
    </row>
    <row r="418" spans="1:5" x14ac:dyDescent="0.35">
      <c r="A418" s="48" t="s">
        <v>304</v>
      </c>
      <c r="B418" s="48" t="s">
        <v>602</v>
      </c>
      <c r="C418" s="52" t="s">
        <v>593</v>
      </c>
      <c r="D418" s="50">
        <v>39237</v>
      </c>
      <c r="E418" s="51">
        <v>211.05500000000001</v>
      </c>
    </row>
    <row r="419" spans="1:5" x14ac:dyDescent="0.35">
      <c r="A419" s="48" t="s">
        <v>306</v>
      </c>
      <c r="B419" s="48" t="s">
        <v>507</v>
      </c>
      <c r="C419" s="52" t="s">
        <v>593</v>
      </c>
      <c r="D419" s="50">
        <v>39245</v>
      </c>
      <c r="E419" s="51">
        <v>209.44110000000001</v>
      </c>
    </row>
    <row r="420" spans="1:5" x14ac:dyDescent="0.35">
      <c r="A420" s="48" t="s">
        <v>306</v>
      </c>
      <c r="B420" s="48" t="s">
        <v>497</v>
      </c>
      <c r="C420" s="52" t="s">
        <v>593</v>
      </c>
      <c r="D420" s="50">
        <v>39269</v>
      </c>
      <c r="E420" s="51">
        <v>228.13730000000001</v>
      </c>
    </row>
    <row r="421" spans="1:5" x14ac:dyDescent="0.35">
      <c r="A421" s="48" t="s">
        <v>304</v>
      </c>
      <c r="B421" s="48" t="s">
        <v>603</v>
      </c>
      <c r="C421" s="52" t="s">
        <v>593</v>
      </c>
      <c r="D421" s="50">
        <v>39271</v>
      </c>
      <c r="E421" s="51">
        <v>185.15260000000001</v>
      </c>
    </row>
    <row r="422" spans="1:5" x14ac:dyDescent="0.35">
      <c r="A422" s="48" t="s">
        <v>304</v>
      </c>
      <c r="B422" s="48" t="s">
        <v>604</v>
      </c>
      <c r="C422" s="52" t="s">
        <v>593</v>
      </c>
      <c r="D422" s="50">
        <v>39272</v>
      </c>
      <c r="E422" s="51">
        <v>180.18940000000001</v>
      </c>
    </row>
    <row r="423" spans="1:5" x14ac:dyDescent="0.35">
      <c r="A423" s="48" t="s">
        <v>306</v>
      </c>
      <c r="B423" s="48" t="s">
        <v>530</v>
      </c>
      <c r="C423" s="52" t="s">
        <v>593</v>
      </c>
      <c r="D423" s="50">
        <v>39279</v>
      </c>
      <c r="E423" s="51">
        <v>185.70439999999999</v>
      </c>
    </row>
    <row r="424" spans="1:5" x14ac:dyDescent="0.35">
      <c r="A424" s="48" t="s">
        <v>304</v>
      </c>
      <c r="B424" s="48" t="s">
        <v>547</v>
      </c>
      <c r="C424" s="52" t="s">
        <v>593</v>
      </c>
      <c r="D424" s="50">
        <v>39313</v>
      </c>
      <c r="E424" s="51">
        <v>190.66380000000001</v>
      </c>
    </row>
    <row r="425" spans="1:5" x14ac:dyDescent="0.35">
      <c r="A425" s="48" t="s">
        <v>306</v>
      </c>
      <c r="B425" s="48" t="s">
        <v>605</v>
      </c>
      <c r="C425" s="52" t="s">
        <v>593</v>
      </c>
      <c r="D425" s="50">
        <v>39314</v>
      </c>
      <c r="E425" s="51">
        <v>184.0753</v>
      </c>
    </row>
    <row r="426" spans="1:5" x14ac:dyDescent="0.35">
      <c r="A426" s="48" t="s">
        <v>313</v>
      </c>
      <c r="B426" s="48" t="s">
        <v>376</v>
      </c>
      <c r="C426" s="52" t="s">
        <v>593</v>
      </c>
      <c r="D426" s="50">
        <v>39315</v>
      </c>
      <c r="E426" s="51">
        <v>175.8296</v>
      </c>
    </row>
    <row r="427" spans="1:5" x14ac:dyDescent="0.35">
      <c r="A427" s="48" t="s">
        <v>300</v>
      </c>
      <c r="B427" s="48" t="s">
        <v>606</v>
      </c>
      <c r="C427" s="52" t="s">
        <v>593</v>
      </c>
      <c r="D427" s="50">
        <v>39318</v>
      </c>
      <c r="E427" s="51">
        <v>190.96250000000001</v>
      </c>
    </row>
    <row r="428" spans="1:5" x14ac:dyDescent="0.35">
      <c r="A428" s="48" t="s">
        <v>313</v>
      </c>
      <c r="B428" s="48" t="s">
        <v>529</v>
      </c>
      <c r="C428" s="52" t="s">
        <v>593</v>
      </c>
      <c r="D428" s="50">
        <v>39318</v>
      </c>
      <c r="E428" s="51">
        <v>175.8296</v>
      </c>
    </row>
    <row r="429" spans="1:5" x14ac:dyDescent="0.35">
      <c r="A429" s="48" t="s">
        <v>300</v>
      </c>
      <c r="B429" s="48" t="s">
        <v>607</v>
      </c>
      <c r="C429" s="52" t="s">
        <v>593</v>
      </c>
      <c r="D429" s="50">
        <v>39325</v>
      </c>
      <c r="E429" s="51">
        <v>205.8</v>
      </c>
    </row>
    <row r="430" spans="1:5" x14ac:dyDescent="0.35">
      <c r="A430" s="48" t="s">
        <v>313</v>
      </c>
      <c r="B430" s="48" t="s">
        <v>409</v>
      </c>
      <c r="C430" s="52" t="s">
        <v>593</v>
      </c>
      <c r="D430" s="50">
        <v>39328</v>
      </c>
      <c r="E430" s="51">
        <v>197.95179999999999</v>
      </c>
    </row>
    <row r="431" spans="1:5" x14ac:dyDescent="0.35">
      <c r="A431" s="48" t="s">
        <v>313</v>
      </c>
      <c r="B431" s="48" t="s">
        <v>409</v>
      </c>
      <c r="C431" s="52" t="s">
        <v>593</v>
      </c>
      <c r="D431" s="50">
        <v>39332</v>
      </c>
      <c r="E431" s="51">
        <v>197.95179999999999</v>
      </c>
    </row>
    <row r="432" spans="1:5" x14ac:dyDescent="0.35">
      <c r="A432" s="48" t="s">
        <v>306</v>
      </c>
      <c r="B432" s="48" t="s">
        <v>308</v>
      </c>
      <c r="C432" s="52" t="s">
        <v>593</v>
      </c>
      <c r="D432" s="50">
        <v>39348</v>
      </c>
      <c r="E432" s="51">
        <v>197.976</v>
      </c>
    </row>
    <row r="433" spans="1:5" x14ac:dyDescent="0.35">
      <c r="A433" s="48" t="s">
        <v>304</v>
      </c>
      <c r="B433" s="48" t="s">
        <v>608</v>
      </c>
      <c r="C433" s="52" t="s">
        <v>593</v>
      </c>
      <c r="D433" s="50">
        <v>39350</v>
      </c>
      <c r="E433" s="51">
        <v>214.1009</v>
      </c>
    </row>
    <row r="434" spans="1:5" x14ac:dyDescent="0.35">
      <c r="A434" s="48" t="s">
        <v>300</v>
      </c>
      <c r="B434" s="48" t="s">
        <v>609</v>
      </c>
      <c r="C434" s="52" t="s">
        <v>593</v>
      </c>
      <c r="D434" s="50">
        <v>39354</v>
      </c>
      <c r="E434" s="51">
        <v>205.8</v>
      </c>
    </row>
    <row r="435" spans="1:5" x14ac:dyDescent="0.35">
      <c r="A435" s="48" t="s">
        <v>300</v>
      </c>
      <c r="B435" s="48" t="s">
        <v>610</v>
      </c>
      <c r="C435" s="52" t="s">
        <v>593</v>
      </c>
      <c r="D435" s="50">
        <v>39354</v>
      </c>
      <c r="E435" s="51">
        <v>226.506</v>
      </c>
    </row>
    <row r="436" spans="1:5" x14ac:dyDescent="0.35">
      <c r="A436" s="48" t="s">
        <v>313</v>
      </c>
      <c r="B436" s="48" t="s">
        <v>611</v>
      </c>
      <c r="C436" s="52" t="s">
        <v>593</v>
      </c>
      <c r="D436" s="50">
        <v>39356</v>
      </c>
      <c r="E436" s="51">
        <v>204.19800000000001</v>
      </c>
    </row>
    <row r="437" spans="1:5" x14ac:dyDescent="0.35">
      <c r="A437" s="48" t="s">
        <v>304</v>
      </c>
      <c r="B437" s="48" t="s">
        <v>612</v>
      </c>
      <c r="C437" s="52" t="s">
        <v>593</v>
      </c>
      <c r="D437" s="50">
        <v>39361</v>
      </c>
      <c r="E437" s="51">
        <v>214.1009</v>
      </c>
    </row>
    <row r="438" spans="1:5" x14ac:dyDescent="0.35">
      <c r="A438" s="48" t="s">
        <v>300</v>
      </c>
      <c r="B438" s="48" t="s">
        <v>474</v>
      </c>
      <c r="C438" s="52" t="s">
        <v>593</v>
      </c>
      <c r="D438" s="50">
        <v>39364</v>
      </c>
      <c r="E438" s="51">
        <v>190.96250000000001</v>
      </c>
    </row>
    <row r="439" spans="1:5" x14ac:dyDescent="0.35">
      <c r="A439" s="48" t="s">
        <v>313</v>
      </c>
      <c r="B439" s="48" t="s">
        <v>613</v>
      </c>
      <c r="C439" s="52" t="s">
        <v>593</v>
      </c>
      <c r="D439" s="50">
        <v>39364</v>
      </c>
      <c r="E439" s="51">
        <v>197.95179999999999</v>
      </c>
    </row>
    <row r="440" spans="1:5" x14ac:dyDescent="0.35">
      <c r="A440" s="48" t="s">
        <v>304</v>
      </c>
      <c r="B440" s="48" t="s">
        <v>614</v>
      </c>
      <c r="C440" s="52" t="s">
        <v>593</v>
      </c>
      <c r="D440" s="50">
        <v>39370</v>
      </c>
      <c r="E440" s="51">
        <v>211.05500000000001</v>
      </c>
    </row>
    <row r="441" spans="1:5" x14ac:dyDescent="0.35">
      <c r="A441" s="48" t="s">
        <v>304</v>
      </c>
      <c r="B441" s="48" t="s">
        <v>615</v>
      </c>
      <c r="C441" s="52" t="s">
        <v>593</v>
      </c>
      <c r="D441" s="50">
        <v>39384</v>
      </c>
      <c r="E441" s="51">
        <v>190.66380000000001</v>
      </c>
    </row>
    <row r="442" spans="1:5" x14ac:dyDescent="0.35">
      <c r="A442" s="48" t="s">
        <v>313</v>
      </c>
      <c r="B442" s="48" t="s">
        <v>409</v>
      </c>
      <c r="C442" s="52" t="s">
        <v>593</v>
      </c>
      <c r="D442" s="50">
        <v>39384</v>
      </c>
      <c r="E442" s="51">
        <v>197.95179999999999</v>
      </c>
    </row>
    <row r="443" spans="1:5" x14ac:dyDescent="0.35">
      <c r="A443" s="48" t="s">
        <v>300</v>
      </c>
      <c r="B443" s="48" t="s">
        <v>610</v>
      </c>
      <c r="C443" s="52" t="s">
        <v>593</v>
      </c>
      <c r="D443" s="50">
        <v>39388</v>
      </c>
      <c r="E443" s="51">
        <v>226.506</v>
      </c>
    </row>
    <row r="444" spans="1:5" x14ac:dyDescent="0.35">
      <c r="A444" s="48" t="s">
        <v>306</v>
      </c>
      <c r="B444" s="48" t="s">
        <v>530</v>
      </c>
      <c r="C444" s="52" t="s">
        <v>593</v>
      </c>
      <c r="D444" s="50">
        <v>39391</v>
      </c>
      <c r="E444" s="51">
        <v>185.70439999999999</v>
      </c>
    </row>
    <row r="445" spans="1:5" x14ac:dyDescent="0.35">
      <c r="A445" s="48" t="s">
        <v>304</v>
      </c>
      <c r="B445" s="48" t="s">
        <v>418</v>
      </c>
      <c r="C445" s="52" t="s">
        <v>593</v>
      </c>
      <c r="D445" s="50">
        <v>39392</v>
      </c>
      <c r="E445" s="51">
        <v>204.42599999999999</v>
      </c>
    </row>
    <row r="446" spans="1:5" x14ac:dyDescent="0.35">
      <c r="A446" s="48" t="s">
        <v>300</v>
      </c>
      <c r="B446" s="48" t="s">
        <v>616</v>
      </c>
      <c r="C446" s="52" t="s">
        <v>593</v>
      </c>
      <c r="D446" s="50">
        <v>39410</v>
      </c>
      <c r="E446" s="51">
        <v>188.06880000000001</v>
      </c>
    </row>
    <row r="447" spans="1:5" x14ac:dyDescent="0.35">
      <c r="A447" s="48" t="s">
        <v>306</v>
      </c>
      <c r="B447" s="48" t="s">
        <v>502</v>
      </c>
      <c r="C447" s="52" t="s">
        <v>593</v>
      </c>
      <c r="D447" s="50">
        <v>39424</v>
      </c>
      <c r="E447" s="51">
        <v>209.44110000000001</v>
      </c>
    </row>
    <row r="448" spans="1:5" x14ac:dyDescent="0.35">
      <c r="A448" s="48" t="s">
        <v>300</v>
      </c>
      <c r="B448" s="48" t="s">
        <v>617</v>
      </c>
      <c r="C448" s="52" t="s">
        <v>593</v>
      </c>
      <c r="D448" s="50">
        <v>39426</v>
      </c>
      <c r="E448" s="51">
        <v>206.505</v>
      </c>
    </row>
    <row r="449" spans="1:5" x14ac:dyDescent="0.35">
      <c r="A449" s="48" t="s">
        <v>304</v>
      </c>
      <c r="B449" s="48" t="s">
        <v>618</v>
      </c>
      <c r="C449" s="52" t="s">
        <v>593</v>
      </c>
      <c r="D449" s="50">
        <v>39437</v>
      </c>
      <c r="E449" s="51">
        <v>192.2971</v>
      </c>
    </row>
    <row r="450" spans="1:5" x14ac:dyDescent="0.35">
      <c r="A450" s="48" t="s">
        <v>304</v>
      </c>
      <c r="B450" s="48" t="s">
        <v>600</v>
      </c>
      <c r="C450" s="52" t="s">
        <v>593</v>
      </c>
      <c r="D450" s="50">
        <v>39445</v>
      </c>
      <c r="E450" s="51">
        <v>134.53620000000001</v>
      </c>
    </row>
    <row r="451" spans="1:5" x14ac:dyDescent="0.35">
      <c r="A451" s="48" t="s">
        <v>306</v>
      </c>
      <c r="B451" s="48" t="s">
        <v>482</v>
      </c>
      <c r="C451" s="52" t="s">
        <v>593</v>
      </c>
      <c r="D451" s="50">
        <v>39445</v>
      </c>
      <c r="E451" s="51">
        <v>165.44649999999999</v>
      </c>
    </row>
    <row r="452" spans="1:5" x14ac:dyDescent="0.35">
      <c r="A452" s="48" t="s">
        <v>313</v>
      </c>
      <c r="B452" s="48" t="s">
        <v>376</v>
      </c>
      <c r="C452" s="52" t="s">
        <v>593</v>
      </c>
      <c r="D452" s="50">
        <v>39445</v>
      </c>
      <c r="E452" s="51">
        <v>175.8296</v>
      </c>
    </row>
    <row r="453" spans="1:5" x14ac:dyDescent="0.35">
      <c r="A453" s="48" t="s">
        <v>306</v>
      </c>
      <c r="B453" s="48" t="s">
        <v>619</v>
      </c>
      <c r="C453" s="52" t="s">
        <v>593</v>
      </c>
      <c r="D453" s="50">
        <v>39448</v>
      </c>
      <c r="E453" s="51">
        <v>198.9213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65873-C4D4-45CE-8E62-7A75EA7EB96A}">
  <dimension ref="A1:L36"/>
  <sheetViews>
    <sheetView topLeftCell="A25" zoomScale="119" zoomScaleNormal="160" workbookViewId="0">
      <selection activeCell="J32" sqref="J32"/>
    </sheetView>
  </sheetViews>
  <sheetFormatPr defaultRowHeight="14.5" x14ac:dyDescent="0.35"/>
  <cols>
    <col min="1" max="1" width="38.36328125" customWidth="1"/>
  </cols>
  <sheetData>
    <row r="1" spans="1:9" x14ac:dyDescent="0.35">
      <c r="A1" s="108" t="s">
        <v>621</v>
      </c>
      <c r="B1" s="108"/>
      <c r="C1" s="108"/>
      <c r="D1" s="108"/>
      <c r="I1" s="5" t="s">
        <v>0</v>
      </c>
    </row>
    <row r="2" spans="1:9" x14ac:dyDescent="0.35">
      <c r="I2" t="s">
        <v>622</v>
      </c>
    </row>
    <row r="3" spans="1:9" x14ac:dyDescent="0.35">
      <c r="A3" s="60" t="s">
        <v>623</v>
      </c>
      <c r="I3" t="s">
        <v>624</v>
      </c>
    </row>
    <row r="4" spans="1:9" x14ac:dyDescent="0.35">
      <c r="A4" s="77" t="s">
        <v>1491</v>
      </c>
      <c r="B4" t="s">
        <v>1492</v>
      </c>
      <c r="I4" t="s">
        <v>625</v>
      </c>
    </row>
    <row r="5" spans="1:9" x14ac:dyDescent="0.35">
      <c r="A5" s="77" t="s">
        <v>1491</v>
      </c>
      <c r="B5" t="s">
        <v>1493</v>
      </c>
      <c r="I5" t="s">
        <v>626</v>
      </c>
    </row>
    <row r="6" spans="1:9" x14ac:dyDescent="0.35">
      <c r="A6" s="77" t="s">
        <v>1491</v>
      </c>
      <c r="B6" t="s">
        <v>1494</v>
      </c>
    </row>
    <row r="7" spans="1:9" x14ac:dyDescent="0.35">
      <c r="A7" s="77" t="s">
        <v>1491</v>
      </c>
      <c r="B7" t="s">
        <v>1495</v>
      </c>
    </row>
    <row r="8" spans="1:9" x14ac:dyDescent="0.35">
      <c r="A8" s="77" t="s">
        <v>1491</v>
      </c>
      <c r="B8" t="s">
        <v>1496</v>
      </c>
    </row>
    <row r="10" spans="1:9" x14ac:dyDescent="0.35">
      <c r="A10" s="108" t="s">
        <v>627</v>
      </c>
      <c r="B10" s="108"/>
      <c r="C10" s="108"/>
      <c r="D10" s="108"/>
    </row>
    <row r="12" spans="1:9" x14ac:dyDescent="0.35">
      <c r="A12" s="60" t="s">
        <v>623</v>
      </c>
    </row>
    <row r="13" spans="1:9" x14ac:dyDescent="0.35">
      <c r="A13" s="77" t="s">
        <v>636</v>
      </c>
      <c r="B13" t="s">
        <v>637</v>
      </c>
    </row>
    <row r="14" spans="1:9" x14ac:dyDescent="0.35">
      <c r="A14" s="77" t="s">
        <v>638</v>
      </c>
      <c r="B14" t="s">
        <v>639</v>
      </c>
    </row>
    <row r="15" spans="1:9" x14ac:dyDescent="0.35">
      <c r="A15" s="77" t="s">
        <v>640</v>
      </c>
      <c r="B15" t="s">
        <v>641</v>
      </c>
    </row>
    <row r="16" spans="1:9" x14ac:dyDescent="0.35">
      <c r="A16" s="77" t="s">
        <v>636</v>
      </c>
      <c r="B16" t="s">
        <v>642</v>
      </c>
    </row>
    <row r="17" spans="1:12" x14ac:dyDescent="0.35">
      <c r="A17" s="77" t="s">
        <v>640</v>
      </c>
      <c r="B17" t="s">
        <v>643</v>
      </c>
    </row>
    <row r="19" spans="1:12" x14ac:dyDescent="0.35">
      <c r="A19" s="108" t="s">
        <v>628</v>
      </c>
      <c r="B19" s="108"/>
      <c r="C19" s="108"/>
      <c r="D19" s="108"/>
    </row>
    <row r="21" spans="1:12" x14ac:dyDescent="0.35">
      <c r="A21" s="60" t="s">
        <v>623</v>
      </c>
    </row>
    <row r="22" spans="1:12" x14ac:dyDescent="0.35">
      <c r="A22" s="77" t="s">
        <v>636</v>
      </c>
      <c r="B22" t="s">
        <v>1497</v>
      </c>
      <c r="C22" s="105" t="s">
        <v>1503</v>
      </c>
    </row>
    <row r="23" spans="1:12" x14ac:dyDescent="0.35">
      <c r="A23" s="77" t="s">
        <v>1498</v>
      </c>
      <c r="B23" t="s">
        <v>1499</v>
      </c>
      <c r="C23" s="105" t="s">
        <v>639</v>
      </c>
    </row>
    <row r="24" spans="1:12" x14ac:dyDescent="0.35">
      <c r="A24" s="77" t="s">
        <v>640</v>
      </c>
      <c r="B24" t="s">
        <v>641</v>
      </c>
    </row>
    <row r="25" spans="1:12" x14ac:dyDescent="0.35">
      <c r="A25" s="77" t="s">
        <v>636</v>
      </c>
      <c r="B25" t="s">
        <v>1500</v>
      </c>
      <c r="C25" s="105" t="s">
        <v>1501</v>
      </c>
    </row>
    <row r="26" spans="1:12" x14ac:dyDescent="0.35">
      <c r="A26" s="77" t="s">
        <v>640</v>
      </c>
      <c r="B26" t="s">
        <v>1502</v>
      </c>
      <c r="C26" s="105" t="s">
        <v>1504</v>
      </c>
    </row>
    <row r="29" spans="1:12" x14ac:dyDescent="0.35">
      <c r="A29" s="108" t="s">
        <v>629</v>
      </c>
      <c r="B29" s="108"/>
      <c r="C29" s="108"/>
      <c r="D29" s="108"/>
      <c r="F29" t="s">
        <v>630</v>
      </c>
      <c r="I29" s="108" t="s">
        <v>631</v>
      </c>
      <c r="J29" s="108"/>
      <c r="K29" s="108"/>
      <c r="L29" s="108"/>
    </row>
    <row r="30" spans="1:12" x14ac:dyDescent="0.35">
      <c r="F30" t="s">
        <v>632</v>
      </c>
    </row>
    <row r="31" spans="1:12" x14ac:dyDescent="0.35">
      <c r="A31" s="60" t="s">
        <v>160</v>
      </c>
      <c r="I31" s="60" t="s">
        <v>160</v>
      </c>
      <c r="J31" s="107">
        <v>45963</v>
      </c>
    </row>
    <row r="32" spans="1:12" x14ac:dyDescent="0.35">
      <c r="A32" s="106">
        <v>45779</v>
      </c>
    </row>
    <row r="33" spans="1:1" x14ac:dyDescent="0.35">
      <c r="A33" s="106">
        <v>46004</v>
      </c>
    </row>
    <row r="34" spans="1:1" x14ac:dyDescent="0.35">
      <c r="A34" s="106">
        <v>45963</v>
      </c>
    </row>
    <row r="35" spans="1:1" x14ac:dyDescent="0.35">
      <c r="A35" s="77"/>
    </row>
    <row r="36" spans="1:1" x14ac:dyDescent="0.35">
      <c r="A36" s="77"/>
    </row>
  </sheetData>
  <mergeCells count="5">
    <mergeCell ref="A1:D1"/>
    <mergeCell ref="A10:D10"/>
    <mergeCell ref="A19:D19"/>
    <mergeCell ref="A29:D29"/>
    <mergeCell ref="I29:L2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A2484-06CE-45DE-B8E4-EF7B9CC5312C}">
  <dimension ref="A1:G28"/>
  <sheetViews>
    <sheetView topLeftCell="A22" zoomScale="140" zoomScaleNormal="140" workbookViewId="0">
      <selection activeCell="F28" sqref="F28"/>
    </sheetView>
  </sheetViews>
  <sheetFormatPr defaultRowHeight="14.5" x14ac:dyDescent="0.35"/>
  <cols>
    <col min="1" max="1" width="11.1796875" customWidth="1"/>
    <col min="3" max="3" width="11.90625" customWidth="1"/>
    <col min="5" max="5" width="25.81640625" bestFit="1" customWidth="1"/>
  </cols>
  <sheetData>
    <row r="1" spans="1:7" x14ac:dyDescent="0.35">
      <c r="A1" s="94" t="s">
        <v>633</v>
      </c>
      <c r="B1" s="94"/>
      <c r="C1" s="94"/>
      <c r="D1" s="94"/>
      <c r="G1" s="60" t="s">
        <v>0</v>
      </c>
    </row>
    <row r="2" spans="1:7" x14ac:dyDescent="0.35">
      <c r="G2" t="s">
        <v>634</v>
      </c>
    </row>
    <row r="3" spans="1:7" x14ac:dyDescent="0.35">
      <c r="A3" s="60" t="s">
        <v>623</v>
      </c>
      <c r="B3" s="60" t="s">
        <v>623</v>
      </c>
      <c r="C3" s="60" t="s">
        <v>635</v>
      </c>
    </row>
    <row r="4" spans="1:7" x14ac:dyDescent="0.35">
      <c r="A4" s="77" t="s">
        <v>636</v>
      </c>
      <c r="B4" t="s">
        <v>637</v>
      </c>
      <c r="C4" t="str">
        <f>_xlfn.CONCAT(A4,"-",B4)</f>
        <v>PK01-Khi02</v>
      </c>
    </row>
    <row r="5" spans="1:7" x14ac:dyDescent="0.35">
      <c r="A5" s="77" t="s">
        <v>638</v>
      </c>
      <c r="B5" t="s">
        <v>639</v>
      </c>
      <c r="C5" t="str">
        <f t="shared" ref="C5:C8" si="0">_xlfn.CONCAT(A5,"-",B5)</f>
        <v>PK02-Lhr03</v>
      </c>
    </row>
    <row r="6" spans="1:7" x14ac:dyDescent="0.35">
      <c r="A6" s="77" t="s">
        <v>640</v>
      </c>
      <c r="B6" t="s">
        <v>641</v>
      </c>
      <c r="C6" t="str">
        <f t="shared" si="0"/>
        <v>PK05-Isl01</v>
      </c>
    </row>
    <row r="7" spans="1:7" x14ac:dyDescent="0.35">
      <c r="A7" s="77" t="s">
        <v>636</v>
      </c>
      <c r="B7" t="s">
        <v>642</v>
      </c>
      <c r="C7" t="str">
        <f t="shared" si="0"/>
        <v>PK01-Khi04</v>
      </c>
    </row>
    <row r="8" spans="1:7" x14ac:dyDescent="0.35">
      <c r="A8" s="77" t="s">
        <v>640</v>
      </c>
      <c r="B8" t="s">
        <v>643</v>
      </c>
      <c r="C8" t="str">
        <f t="shared" si="0"/>
        <v>PK05-Isl06</v>
      </c>
    </row>
    <row r="9" spans="1:7" x14ac:dyDescent="0.35">
      <c r="A9" s="77"/>
    </row>
    <row r="10" spans="1:7" x14ac:dyDescent="0.35">
      <c r="A10" s="77"/>
    </row>
    <row r="11" spans="1:7" x14ac:dyDescent="0.35">
      <c r="A11" s="94" t="s">
        <v>644</v>
      </c>
      <c r="B11" s="94"/>
      <c r="C11" s="94"/>
    </row>
    <row r="13" spans="1:7" x14ac:dyDescent="0.35">
      <c r="A13" s="60" t="s">
        <v>623</v>
      </c>
      <c r="B13" s="60" t="s">
        <v>623</v>
      </c>
      <c r="C13" s="60" t="s">
        <v>635</v>
      </c>
    </row>
    <row r="14" spans="1:7" x14ac:dyDescent="0.35">
      <c r="A14" s="77" t="s">
        <v>636</v>
      </c>
      <c r="B14" t="s">
        <v>637</v>
      </c>
      <c r="C14" t="str">
        <f>A14&amp;"-"&amp;B14</f>
        <v>PK01-Khi02</v>
      </c>
    </row>
    <row r="15" spans="1:7" x14ac:dyDescent="0.35">
      <c r="A15" s="77" t="s">
        <v>638</v>
      </c>
      <c r="B15" t="s">
        <v>639</v>
      </c>
      <c r="C15" t="str">
        <f t="shared" ref="C15:C18" si="1">A15&amp;"-"&amp;B15</f>
        <v>PK02-Lhr03</v>
      </c>
    </row>
    <row r="16" spans="1:7" x14ac:dyDescent="0.35">
      <c r="A16" s="77" t="s">
        <v>640</v>
      </c>
      <c r="B16" t="s">
        <v>641</v>
      </c>
      <c r="C16" t="str">
        <f t="shared" si="1"/>
        <v>PK05-Isl01</v>
      </c>
    </row>
    <row r="17" spans="1:5" x14ac:dyDescent="0.35">
      <c r="A17" s="77" t="s">
        <v>636</v>
      </c>
      <c r="B17" t="s">
        <v>642</v>
      </c>
      <c r="C17" t="str">
        <f t="shared" si="1"/>
        <v>PK01-Khi04</v>
      </c>
    </row>
    <row r="18" spans="1:5" x14ac:dyDescent="0.35">
      <c r="A18" s="77" t="s">
        <v>640</v>
      </c>
      <c r="B18" t="s">
        <v>643</v>
      </c>
      <c r="C18" t="str">
        <f t="shared" si="1"/>
        <v>PK05-Isl06</v>
      </c>
    </row>
    <row r="21" spans="1:5" x14ac:dyDescent="0.35">
      <c r="A21" s="94" t="s">
        <v>645</v>
      </c>
      <c r="B21" s="94"/>
      <c r="C21" s="94"/>
    </row>
    <row r="23" spans="1:5" x14ac:dyDescent="0.35">
      <c r="A23" s="60" t="s">
        <v>646</v>
      </c>
      <c r="B23" s="60" t="s">
        <v>647</v>
      </c>
      <c r="C23" s="60" t="s">
        <v>623</v>
      </c>
      <c r="D23" s="60" t="s">
        <v>623</v>
      </c>
      <c r="E23" s="60" t="s">
        <v>648</v>
      </c>
    </row>
    <row r="24" spans="1:5" x14ac:dyDescent="0.35">
      <c r="A24" s="77" t="s">
        <v>130</v>
      </c>
      <c r="B24" t="s">
        <v>131</v>
      </c>
      <c r="C24" s="77" t="s">
        <v>636</v>
      </c>
      <c r="D24" t="s">
        <v>637</v>
      </c>
      <c r="E24" t="str">
        <f>_xlfn.TEXTJOIN(" ",TRUE,A24:D24)</f>
        <v>Jahangir Sachwani PK01 Khi02</v>
      </c>
    </row>
    <row r="25" spans="1:5" x14ac:dyDescent="0.35">
      <c r="A25" s="77" t="s">
        <v>649</v>
      </c>
      <c r="B25" t="s">
        <v>131</v>
      </c>
      <c r="C25" s="77" t="s">
        <v>638</v>
      </c>
      <c r="D25" t="s">
        <v>639</v>
      </c>
      <c r="E25" t="str">
        <f t="shared" ref="E25:E28" si="2">_xlfn.TEXTJOIN(" ",TRUE,A25:D25)</f>
        <v>Abdullah Sachwani PK02 Lhr03</v>
      </c>
    </row>
    <row r="26" spans="1:5" x14ac:dyDescent="0.35">
      <c r="A26" s="77" t="s">
        <v>133</v>
      </c>
      <c r="B26" t="s">
        <v>650</v>
      </c>
      <c r="C26" s="77" t="s">
        <v>640</v>
      </c>
      <c r="D26" t="s">
        <v>641</v>
      </c>
      <c r="E26" t="str">
        <f t="shared" si="2"/>
        <v>Haseeb Hashmi PK05 Isl01</v>
      </c>
    </row>
    <row r="27" spans="1:5" x14ac:dyDescent="0.35">
      <c r="A27" s="77" t="s">
        <v>651</v>
      </c>
      <c r="B27" t="s">
        <v>652</v>
      </c>
      <c r="C27" s="77" t="s">
        <v>636</v>
      </c>
      <c r="D27" t="s">
        <v>642</v>
      </c>
      <c r="E27" t="str">
        <f t="shared" si="2"/>
        <v>Zahra Salman PK01 Khi04</v>
      </c>
    </row>
    <row r="28" spans="1:5" x14ac:dyDescent="0.35">
      <c r="A28" s="77" t="s">
        <v>652</v>
      </c>
      <c r="B28" t="s">
        <v>653</v>
      </c>
      <c r="C28" s="77" t="s">
        <v>640</v>
      </c>
      <c r="D28" t="s">
        <v>643</v>
      </c>
      <c r="E28" t="str">
        <f t="shared" si="2"/>
        <v>Salman Nathani PK05 Isl06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14EB8-71B3-4D64-95E9-5475A749E4E8}">
  <dimension ref="A1:L139"/>
  <sheetViews>
    <sheetView zoomScale="111" zoomScaleNormal="140" workbookViewId="0">
      <selection activeCell="K6" sqref="K6"/>
    </sheetView>
  </sheetViews>
  <sheetFormatPr defaultRowHeight="14.5" x14ac:dyDescent="0.35"/>
  <cols>
    <col min="1" max="1" width="16.81640625" bestFit="1" customWidth="1"/>
    <col min="2" max="4" width="17.26953125" customWidth="1"/>
    <col min="9" max="9" width="16.7265625" customWidth="1"/>
  </cols>
  <sheetData>
    <row r="1" spans="1:12" x14ac:dyDescent="0.35">
      <c r="A1" s="94" t="s">
        <v>654</v>
      </c>
      <c r="B1" s="94"/>
      <c r="C1" s="94"/>
      <c r="D1" s="93"/>
      <c r="F1" s="60" t="s">
        <v>0</v>
      </c>
      <c r="I1" s="94" t="s">
        <v>655</v>
      </c>
      <c r="J1" s="94"/>
      <c r="K1" s="94"/>
      <c r="L1" s="93"/>
    </row>
    <row r="2" spans="1:12" x14ac:dyDescent="0.35">
      <c r="F2" t="s">
        <v>656</v>
      </c>
    </row>
    <row r="3" spans="1:12" x14ac:dyDescent="0.35">
      <c r="A3" s="60" t="s">
        <v>657</v>
      </c>
      <c r="B3" s="60" t="s">
        <v>658</v>
      </c>
      <c r="C3" s="60" t="s">
        <v>659</v>
      </c>
      <c r="D3" s="60" t="s">
        <v>660</v>
      </c>
      <c r="E3" s="60"/>
      <c r="I3" s="60" t="s">
        <v>661</v>
      </c>
      <c r="J3" s="60" t="s">
        <v>623</v>
      </c>
      <c r="K3" s="60" t="s">
        <v>296</v>
      </c>
    </row>
    <row r="4" spans="1:12" x14ac:dyDescent="0.35">
      <c r="A4" s="77" t="s">
        <v>662</v>
      </c>
      <c r="B4" t="s">
        <v>1505</v>
      </c>
      <c r="C4" t="s">
        <v>1510</v>
      </c>
      <c r="D4" t="s">
        <v>1513</v>
      </c>
      <c r="I4" t="s">
        <v>663</v>
      </c>
      <c r="J4">
        <v>382393</v>
      </c>
      <c r="K4" t="s">
        <v>1518</v>
      </c>
    </row>
    <row r="5" spans="1:12" x14ac:dyDescent="0.35">
      <c r="A5" s="77" t="s">
        <v>664</v>
      </c>
      <c r="B5" t="s">
        <v>1506</v>
      </c>
      <c r="C5" t="s">
        <v>1510</v>
      </c>
      <c r="D5" t="s">
        <v>1514</v>
      </c>
      <c r="I5" t="s">
        <v>665</v>
      </c>
      <c r="J5">
        <v>83948</v>
      </c>
      <c r="K5" t="s">
        <v>1519</v>
      </c>
    </row>
    <row r="6" spans="1:12" x14ac:dyDescent="0.35">
      <c r="A6" s="77" t="s">
        <v>666</v>
      </c>
      <c r="B6" t="s">
        <v>1507</v>
      </c>
      <c r="C6" t="s">
        <v>1511</v>
      </c>
      <c r="D6" t="s">
        <v>1515</v>
      </c>
      <c r="I6" t="s">
        <v>667</v>
      </c>
      <c r="J6">
        <v>2928</v>
      </c>
      <c r="K6" t="s">
        <v>1520</v>
      </c>
    </row>
    <row r="7" spans="1:12" x14ac:dyDescent="0.35">
      <c r="A7" s="77" t="s">
        <v>668</v>
      </c>
      <c r="B7" t="s">
        <v>1508</v>
      </c>
      <c r="C7" t="s">
        <v>1509</v>
      </c>
      <c r="D7" t="s">
        <v>1516</v>
      </c>
      <c r="I7" t="s">
        <v>669</v>
      </c>
      <c r="J7">
        <v>2893238</v>
      </c>
      <c r="K7" t="s">
        <v>1521</v>
      </c>
    </row>
    <row r="8" spans="1:12" x14ac:dyDescent="0.35">
      <c r="A8" s="77" t="s">
        <v>670</v>
      </c>
      <c r="B8" t="s">
        <v>1509</v>
      </c>
      <c r="C8" t="s">
        <v>1512</v>
      </c>
      <c r="D8" t="s">
        <v>1517</v>
      </c>
      <c r="I8" t="s">
        <v>671</v>
      </c>
      <c r="J8">
        <v>282</v>
      </c>
      <c r="K8" t="s">
        <v>1522</v>
      </c>
    </row>
    <row r="9" spans="1:12" x14ac:dyDescent="0.35">
      <c r="A9" s="77" t="s">
        <v>662</v>
      </c>
      <c r="B9" t="s">
        <v>1505</v>
      </c>
      <c r="C9" t="s">
        <v>1510</v>
      </c>
      <c r="D9" t="s">
        <v>1513</v>
      </c>
      <c r="I9" t="s">
        <v>672</v>
      </c>
      <c r="J9">
        <v>829429</v>
      </c>
      <c r="K9" t="s">
        <v>1523</v>
      </c>
    </row>
    <row r="10" spans="1:12" x14ac:dyDescent="0.35">
      <c r="A10" s="77" t="s">
        <v>664</v>
      </c>
      <c r="B10" t="s">
        <v>1506</v>
      </c>
      <c r="C10" t="s">
        <v>1510</v>
      </c>
      <c r="D10" t="s">
        <v>1514</v>
      </c>
      <c r="I10" t="s">
        <v>663</v>
      </c>
      <c r="J10">
        <v>382393</v>
      </c>
      <c r="K10" t="s">
        <v>1518</v>
      </c>
    </row>
    <row r="11" spans="1:12" x14ac:dyDescent="0.35">
      <c r="A11" s="77" t="s">
        <v>666</v>
      </c>
      <c r="B11" t="s">
        <v>1507</v>
      </c>
      <c r="C11" t="s">
        <v>1511</v>
      </c>
      <c r="D11" t="s">
        <v>1515</v>
      </c>
      <c r="I11" t="s">
        <v>665</v>
      </c>
      <c r="J11">
        <v>83948</v>
      </c>
      <c r="K11" t="s">
        <v>1519</v>
      </c>
    </row>
    <row r="12" spans="1:12" x14ac:dyDescent="0.35">
      <c r="A12" s="77" t="s">
        <v>668</v>
      </c>
      <c r="B12" t="s">
        <v>1508</v>
      </c>
      <c r="C12" t="s">
        <v>1509</v>
      </c>
      <c r="D12" t="s">
        <v>1516</v>
      </c>
      <c r="I12" t="s">
        <v>667</v>
      </c>
      <c r="J12">
        <v>2928</v>
      </c>
      <c r="K12" t="s">
        <v>1520</v>
      </c>
    </row>
    <row r="13" spans="1:12" x14ac:dyDescent="0.35">
      <c r="A13" s="77" t="s">
        <v>670</v>
      </c>
      <c r="B13" t="s">
        <v>1509</v>
      </c>
      <c r="C13" t="s">
        <v>1512</v>
      </c>
      <c r="D13" t="s">
        <v>1517</v>
      </c>
      <c r="I13" t="s">
        <v>669</v>
      </c>
      <c r="J13">
        <v>2893238</v>
      </c>
      <c r="K13" t="s">
        <v>1521</v>
      </c>
    </row>
    <row r="14" spans="1:12" x14ac:dyDescent="0.35">
      <c r="A14" s="77" t="s">
        <v>662</v>
      </c>
      <c r="B14" t="s">
        <v>1505</v>
      </c>
      <c r="C14" t="s">
        <v>1510</v>
      </c>
      <c r="D14" t="s">
        <v>1513</v>
      </c>
      <c r="I14" t="s">
        <v>671</v>
      </c>
      <c r="J14">
        <v>282</v>
      </c>
      <c r="K14" t="s">
        <v>1522</v>
      </c>
    </row>
    <row r="15" spans="1:12" x14ac:dyDescent="0.35">
      <c r="A15" s="77" t="s">
        <v>664</v>
      </c>
      <c r="B15" t="s">
        <v>1506</v>
      </c>
      <c r="C15" t="s">
        <v>1510</v>
      </c>
      <c r="D15" t="s">
        <v>1514</v>
      </c>
      <c r="I15" t="s">
        <v>672</v>
      </c>
      <c r="J15">
        <v>829429</v>
      </c>
      <c r="K15" t="s">
        <v>1523</v>
      </c>
    </row>
    <row r="16" spans="1:12" x14ac:dyDescent="0.35">
      <c r="A16" s="77" t="s">
        <v>666</v>
      </c>
      <c r="B16" t="s">
        <v>1507</v>
      </c>
      <c r="C16" t="s">
        <v>1511</v>
      </c>
      <c r="D16" t="s">
        <v>1515</v>
      </c>
      <c r="I16" t="s">
        <v>663</v>
      </c>
      <c r="J16">
        <v>382393</v>
      </c>
      <c r="K16" t="s">
        <v>1518</v>
      </c>
    </row>
    <row r="17" spans="1:11" x14ac:dyDescent="0.35">
      <c r="A17" s="77" t="s">
        <v>668</v>
      </c>
      <c r="B17" t="s">
        <v>1508</v>
      </c>
      <c r="C17" t="s">
        <v>1509</v>
      </c>
      <c r="D17" t="s">
        <v>1516</v>
      </c>
      <c r="I17" t="s">
        <v>665</v>
      </c>
      <c r="J17">
        <v>83948</v>
      </c>
      <c r="K17" t="s">
        <v>1519</v>
      </c>
    </row>
    <row r="18" spans="1:11" x14ac:dyDescent="0.35">
      <c r="A18" s="77" t="s">
        <v>670</v>
      </c>
      <c r="B18" t="s">
        <v>1509</v>
      </c>
      <c r="C18" t="s">
        <v>1512</v>
      </c>
      <c r="D18" t="s">
        <v>1517</v>
      </c>
      <c r="I18" t="s">
        <v>667</v>
      </c>
      <c r="J18">
        <v>2928</v>
      </c>
      <c r="K18" t="s">
        <v>1520</v>
      </c>
    </row>
    <row r="19" spans="1:11" x14ac:dyDescent="0.35">
      <c r="A19" s="77" t="s">
        <v>662</v>
      </c>
      <c r="B19" t="s">
        <v>1505</v>
      </c>
      <c r="C19" t="s">
        <v>1510</v>
      </c>
      <c r="D19" t="s">
        <v>1513</v>
      </c>
      <c r="I19" t="s">
        <v>669</v>
      </c>
      <c r="J19">
        <v>2893238</v>
      </c>
      <c r="K19" t="s">
        <v>1521</v>
      </c>
    </row>
    <row r="20" spans="1:11" x14ac:dyDescent="0.35">
      <c r="A20" s="77" t="s">
        <v>664</v>
      </c>
      <c r="B20" t="s">
        <v>1506</v>
      </c>
      <c r="C20" t="s">
        <v>1510</v>
      </c>
      <c r="D20" t="s">
        <v>1514</v>
      </c>
      <c r="I20" t="s">
        <v>671</v>
      </c>
      <c r="J20">
        <v>282</v>
      </c>
      <c r="K20" t="s">
        <v>1522</v>
      </c>
    </row>
    <row r="21" spans="1:11" x14ac:dyDescent="0.35">
      <c r="A21" s="77" t="s">
        <v>666</v>
      </c>
      <c r="B21" t="s">
        <v>1507</v>
      </c>
      <c r="C21" t="s">
        <v>1511</v>
      </c>
      <c r="D21" t="s">
        <v>1515</v>
      </c>
      <c r="I21" t="s">
        <v>672</v>
      </c>
      <c r="J21">
        <v>829429</v>
      </c>
      <c r="K21" t="s">
        <v>1523</v>
      </c>
    </row>
    <row r="22" spans="1:11" x14ac:dyDescent="0.35">
      <c r="A22" s="77" t="s">
        <v>668</v>
      </c>
      <c r="B22" t="s">
        <v>1508</v>
      </c>
      <c r="C22" t="s">
        <v>1509</v>
      </c>
      <c r="D22" t="s">
        <v>1516</v>
      </c>
      <c r="I22" t="s">
        <v>663</v>
      </c>
      <c r="J22">
        <v>382393</v>
      </c>
      <c r="K22" t="s">
        <v>1518</v>
      </c>
    </row>
    <row r="23" spans="1:11" x14ac:dyDescent="0.35">
      <c r="A23" s="77" t="s">
        <v>670</v>
      </c>
      <c r="B23" t="s">
        <v>1509</v>
      </c>
      <c r="C23" t="s">
        <v>1512</v>
      </c>
      <c r="D23" t="s">
        <v>1517</v>
      </c>
      <c r="I23" t="s">
        <v>665</v>
      </c>
      <c r="J23">
        <v>83948</v>
      </c>
      <c r="K23" t="s">
        <v>1519</v>
      </c>
    </row>
    <row r="24" spans="1:11" x14ac:dyDescent="0.35">
      <c r="A24" s="77" t="s">
        <v>662</v>
      </c>
      <c r="B24" t="s">
        <v>1505</v>
      </c>
      <c r="C24" t="s">
        <v>1510</v>
      </c>
      <c r="D24" t="s">
        <v>1513</v>
      </c>
      <c r="I24" t="s">
        <v>667</v>
      </c>
      <c r="J24">
        <v>2928</v>
      </c>
      <c r="K24" t="s">
        <v>1520</v>
      </c>
    </row>
    <row r="25" spans="1:11" x14ac:dyDescent="0.35">
      <c r="A25" s="77" t="s">
        <v>664</v>
      </c>
      <c r="B25" t="s">
        <v>1506</v>
      </c>
      <c r="C25" t="s">
        <v>1510</v>
      </c>
      <c r="D25" t="s">
        <v>1514</v>
      </c>
      <c r="I25" t="s">
        <v>669</v>
      </c>
      <c r="J25">
        <v>2893238</v>
      </c>
      <c r="K25" t="s">
        <v>1521</v>
      </c>
    </row>
    <row r="26" spans="1:11" x14ac:dyDescent="0.35">
      <c r="A26" s="77" t="s">
        <v>666</v>
      </c>
      <c r="B26" t="s">
        <v>1507</v>
      </c>
      <c r="C26" t="s">
        <v>1511</v>
      </c>
      <c r="D26" t="s">
        <v>1515</v>
      </c>
      <c r="I26" t="s">
        <v>671</v>
      </c>
      <c r="J26">
        <v>282</v>
      </c>
      <c r="K26" t="s">
        <v>1522</v>
      </c>
    </row>
    <row r="27" spans="1:11" x14ac:dyDescent="0.35">
      <c r="A27" s="77" t="s">
        <v>668</v>
      </c>
      <c r="B27" t="s">
        <v>1508</v>
      </c>
      <c r="C27" t="s">
        <v>1509</v>
      </c>
      <c r="D27" t="s">
        <v>1516</v>
      </c>
      <c r="I27" t="s">
        <v>672</v>
      </c>
      <c r="J27">
        <v>829429</v>
      </c>
      <c r="K27" t="s">
        <v>1523</v>
      </c>
    </row>
    <row r="28" spans="1:11" x14ac:dyDescent="0.35">
      <c r="A28" s="77" t="s">
        <v>670</v>
      </c>
      <c r="B28" t="s">
        <v>1509</v>
      </c>
      <c r="C28" t="s">
        <v>1512</v>
      </c>
      <c r="D28" t="s">
        <v>1517</v>
      </c>
      <c r="I28" t="s">
        <v>663</v>
      </c>
      <c r="J28">
        <v>382393</v>
      </c>
      <c r="K28" t="s">
        <v>1518</v>
      </c>
    </row>
    <row r="29" spans="1:11" x14ac:dyDescent="0.35">
      <c r="A29" s="77" t="s">
        <v>662</v>
      </c>
      <c r="B29" t="s">
        <v>1505</v>
      </c>
      <c r="C29" t="s">
        <v>1510</v>
      </c>
      <c r="D29" t="s">
        <v>1513</v>
      </c>
      <c r="I29" t="s">
        <v>665</v>
      </c>
      <c r="J29">
        <v>83948</v>
      </c>
      <c r="K29" t="s">
        <v>1519</v>
      </c>
    </row>
    <row r="30" spans="1:11" x14ac:dyDescent="0.35">
      <c r="A30" s="77" t="s">
        <v>664</v>
      </c>
      <c r="B30" t="s">
        <v>1506</v>
      </c>
      <c r="C30" t="s">
        <v>1510</v>
      </c>
      <c r="D30" t="s">
        <v>1514</v>
      </c>
      <c r="I30" t="s">
        <v>667</v>
      </c>
      <c r="J30">
        <v>2928</v>
      </c>
      <c r="K30" t="s">
        <v>1520</v>
      </c>
    </row>
    <row r="31" spans="1:11" x14ac:dyDescent="0.35">
      <c r="A31" s="77" t="s">
        <v>666</v>
      </c>
      <c r="B31" t="s">
        <v>1507</v>
      </c>
      <c r="C31" t="s">
        <v>1511</v>
      </c>
      <c r="D31" t="s">
        <v>1515</v>
      </c>
      <c r="I31" t="s">
        <v>669</v>
      </c>
      <c r="J31">
        <v>2893238</v>
      </c>
      <c r="K31" t="s">
        <v>1521</v>
      </c>
    </row>
    <row r="32" spans="1:11" x14ac:dyDescent="0.35">
      <c r="A32" s="77" t="s">
        <v>668</v>
      </c>
      <c r="B32" t="s">
        <v>1508</v>
      </c>
      <c r="C32" t="s">
        <v>1509</v>
      </c>
      <c r="D32" t="s">
        <v>1516</v>
      </c>
      <c r="I32" t="s">
        <v>671</v>
      </c>
      <c r="J32">
        <v>282</v>
      </c>
      <c r="K32" t="s">
        <v>1522</v>
      </c>
    </row>
    <row r="33" spans="1:11" x14ac:dyDescent="0.35">
      <c r="A33" s="77" t="s">
        <v>670</v>
      </c>
      <c r="B33" t="s">
        <v>1509</v>
      </c>
      <c r="C33" t="s">
        <v>1512</v>
      </c>
      <c r="D33" t="s">
        <v>1517</v>
      </c>
      <c r="I33" t="s">
        <v>672</v>
      </c>
      <c r="J33">
        <v>829429</v>
      </c>
      <c r="K33" t="s">
        <v>1523</v>
      </c>
    </row>
    <row r="34" spans="1:11" x14ac:dyDescent="0.35">
      <c r="A34" s="77" t="s">
        <v>662</v>
      </c>
      <c r="B34" t="s">
        <v>1505</v>
      </c>
      <c r="C34" t="s">
        <v>1510</v>
      </c>
      <c r="D34" t="s">
        <v>1513</v>
      </c>
      <c r="I34" t="s">
        <v>663</v>
      </c>
      <c r="J34">
        <v>382393</v>
      </c>
      <c r="K34" t="s">
        <v>1518</v>
      </c>
    </row>
    <row r="35" spans="1:11" x14ac:dyDescent="0.35">
      <c r="A35" s="77" t="s">
        <v>664</v>
      </c>
      <c r="B35" t="s">
        <v>1506</v>
      </c>
      <c r="C35" t="s">
        <v>1510</v>
      </c>
      <c r="D35" t="s">
        <v>1514</v>
      </c>
      <c r="I35" t="s">
        <v>665</v>
      </c>
      <c r="J35">
        <v>83948</v>
      </c>
      <c r="K35" t="s">
        <v>1519</v>
      </c>
    </row>
    <row r="36" spans="1:11" x14ac:dyDescent="0.35">
      <c r="A36" s="77" t="s">
        <v>666</v>
      </c>
      <c r="B36" t="s">
        <v>1507</v>
      </c>
      <c r="C36" t="s">
        <v>1511</v>
      </c>
      <c r="D36" t="s">
        <v>1515</v>
      </c>
      <c r="I36" t="s">
        <v>667</v>
      </c>
      <c r="J36">
        <v>2928</v>
      </c>
      <c r="K36" t="s">
        <v>1520</v>
      </c>
    </row>
    <row r="37" spans="1:11" x14ac:dyDescent="0.35">
      <c r="A37" s="77" t="s">
        <v>668</v>
      </c>
      <c r="B37" t="s">
        <v>1508</v>
      </c>
      <c r="C37" t="s">
        <v>1509</v>
      </c>
      <c r="D37" t="s">
        <v>1516</v>
      </c>
      <c r="I37" t="s">
        <v>669</v>
      </c>
      <c r="J37">
        <v>2893238</v>
      </c>
      <c r="K37" t="s">
        <v>1521</v>
      </c>
    </row>
    <row r="38" spans="1:11" x14ac:dyDescent="0.35">
      <c r="A38" s="77" t="s">
        <v>670</v>
      </c>
      <c r="B38" t="s">
        <v>1509</v>
      </c>
      <c r="C38" t="s">
        <v>1512</v>
      </c>
      <c r="D38" t="s">
        <v>1517</v>
      </c>
      <c r="I38" t="s">
        <v>671</v>
      </c>
      <c r="J38">
        <v>282</v>
      </c>
      <c r="K38" t="s">
        <v>1522</v>
      </c>
    </row>
    <row r="39" spans="1:11" x14ac:dyDescent="0.35">
      <c r="A39" s="77" t="s">
        <v>662</v>
      </c>
      <c r="B39" t="s">
        <v>1505</v>
      </c>
      <c r="C39" t="s">
        <v>1510</v>
      </c>
      <c r="D39" t="s">
        <v>1513</v>
      </c>
      <c r="I39" t="s">
        <v>672</v>
      </c>
      <c r="J39">
        <v>829429</v>
      </c>
      <c r="K39" t="s">
        <v>1523</v>
      </c>
    </row>
    <row r="40" spans="1:11" x14ac:dyDescent="0.35">
      <c r="A40" s="77" t="s">
        <v>664</v>
      </c>
      <c r="B40" t="s">
        <v>1506</v>
      </c>
      <c r="C40" t="s">
        <v>1510</v>
      </c>
      <c r="D40" t="s">
        <v>1514</v>
      </c>
      <c r="I40" t="s">
        <v>663</v>
      </c>
      <c r="J40">
        <v>382393</v>
      </c>
      <c r="K40" t="s">
        <v>1518</v>
      </c>
    </row>
    <row r="41" spans="1:11" x14ac:dyDescent="0.35">
      <c r="A41" s="77" t="s">
        <v>666</v>
      </c>
      <c r="B41" t="s">
        <v>1507</v>
      </c>
      <c r="C41" t="s">
        <v>1511</v>
      </c>
      <c r="D41" t="s">
        <v>1515</v>
      </c>
    </row>
    <row r="42" spans="1:11" x14ac:dyDescent="0.35">
      <c r="A42" s="77" t="s">
        <v>668</v>
      </c>
      <c r="B42" t="s">
        <v>1508</v>
      </c>
      <c r="C42" t="s">
        <v>1509</v>
      </c>
      <c r="D42" t="s">
        <v>1516</v>
      </c>
    </row>
    <row r="43" spans="1:11" x14ac:dyDescent="0.35">
      <c r="A43" s="77" t="s">
        <v>670</v>
      </c>
      <c r="B43" t="s">
        <v>1509</v>
      </c>
      <c r="C43" t="s">
        <v>1512</v>
      </c>
      <c r="D43" t="s">
        <v>1517</v>
      </c>
    </row>
    <row r="44" spans="1:11" x14ac:dyDescent="0.35">
      <c r="A44" s="77" t="s">
        <v>662</v>
      </c>
      <c r="B44" t="s">
        <v>1505</v>
      </c>
      <c r="C44" t="s">
        <v>1510</v>
      </c>
      <c r="D44" t="s">
        <v>1513</v>
      </c>
    </row>
    <row r="45" spans="1:11" x14ac:dyDescent="0.35">
      <c r="A45" s="77" t="s">
        <v>664</v>
      </c>
      <c r="B45" t="s">
        <v>1506</v>
      </c>
      <c r="C45" t="s">
        <v>1510</v>
      </c>
      <c r="D45" t="s">
        <v>1514</v>
      </c>
    </row>
    <row r="46" spans="1:11" x14ac:dyDescent="0.35">
      <c r="A46" s="77" t="s">
        <v>666</v>
      </c>
      <c r="B46" t="s">
        <v>1507</v>
      </c>
      <c r="C46" t="s">
        <v>1511</v>
      </c>
      <c r="D46" t="s">
        <v>1515</v>
      </c>
    </row>
    <row r="47" spans="1:11" x14ac:dyDescent="0.35">
      <c r="A47" s="77" t="s">
        <v>668</v>
      </c>
      <c r="B47" t="s">
        <v>1508</v>
      </c>
      <c r="C47" t="s">
        <v>1509</v>
      </c>
      <c r="D47" t="s">
        <v>1516</v>
      </c>
    </row>
    <row r="48" spans="1:11" x14ac:dyDescent="0.35">
      <c r="A48" s="77" t="s">
        <v>670</v>
      </c>
      <c r="B48" t="s">
        <v>1509</v>
      </c>
      <c r="C48" t="s">
        <v>1512</v>
      </c>
      <c r="D48" t="s">
        <v>1517</v>
      </c>
    </row>
    <row r="49" spans="1:4" x14ac:dyDescent="0.35">
      <c r="A49" s="77" t="s">
        <v>662</v>
      </c>
      <c r="B49" t="s">
        <v>1505</v>
      </c>
      <c r="C49" t="s">
        <v>1510</v>
      </c>
      <c r="D49" t="s">
        <v>1513</v>
      </c>
    </row>
    <row r="50" spans="1:4" x14ac:dyDescent="0.35">
      <c r="A50" s="77" t="s">
        <v>664</v>
      </c>
      <c r="B50" t="s">
        <v>1506</v>
      </c>
      <c r="C50" t="s">
        <v>1510</v>
      </c>
      <c r="D50" t="s">
        <v>1514</v>
      </c>
    </row>
    <row r="51" spans="1:4" x14ac:dyDescent="0.35">
      <c r="A51" s="77" t="s">
        <v>666</v>
      </c>
      <c r="B51" t="s">
        <v>1507</v>
      </c>
      <c r="C51" t="s">
        <v>1511</v>
      </c>
      <c r="D51" t="s">
        <v>1515</v>
      </c>
    </row>
    <row r="52" spans="1:4" x14ac:dyDescent="0.35">
      <c r="A52" s="77" t="s">
        <v>668</v>
      </c>
      <c r="B52" t="s">
        <v>1508</v>
      </c>
      <c r="C52" t="s">
        <v>1509</v>
      </c>
      <c r="D52" t="s">
        <v>1516</v>
      </c>
    </row>
    <row r="53" spans="1:4" x14ac:dyDescent="0.35">
      <c r="A53" s="77" t="s">
        <v>670</v>
      </c>
      <c r="B53" t="s">
        <v>1509</v>
      </c>
      <c r="C53" t="s">
        <v>1512</v>
      </c>
      <c r="D53" t="s">
        <v>1517</v>
      </c>
    </row>
    <row r="54" spans="1:4" x14ac:dyDescent="0.35">
      <c r="A54" s="77" t="s">
        <v>662</v>
      </c>
      <c r="B54" t="s">
        <v>1505</v>
      </c>
      <c r="C54" t="s">
        <v>1510</v>
      </c>
      <c r="D54" t="s">
        <v>1513</v>
      </c>
    </row>
    <row r="55" spans="1:4" x14ac:dyDescent="0.35">
      <c r="A55" s="77" t="s">
        <v>664</v>
      </c>
      <c r="B55" t="s">
        <v>1506</v>
      </c>
      <c r="C55" t="s">
        <v>1510</v>
      </c>
      <c r="D55" t="s">
        <v>1514</v>
      </c>
    </row>
    <row r="56" spans="1:4" x14ac:dyDescent="0.35">
      <c r="A56" s="77" t="s">
        <v>666</v>
      </c>
      <c r="B56" t="s">
        <v>1507</v>
      </c>
      <c r="C56" t="s">
        <v>1511</v>
      </c>
      <c r="D56" t="s">
        <v>1515</v>
      </c>
    </row>
    <row r="57" spans="1:4" x14ac:dyDescent="0.35">
      <c r="A57" s="77" t="s">
        <v>668</v>
      </c>
      <c r="B57" t="s">
        <v>1508</v>
      </c>
      <c r="C57" t="s">
        <v>1509</v>
      </c>
      <c r="D57" t="s">
        <v>1516</v>
      </c>
    </row>
    <row r="58" spans="1:4" x14ac:dyDescent="0.35">
      <c r="A58" s="77" t="s">
        <v>670</v>
      </c>
      <c r="B58" t="s">
        <v>1509</v>
      </c>
      <c r="C58" t="s">
        <v>1512</v>
      </c>
      <c r="D58" t="s">
        <v>1517</v>
      </c>
    </row>
    <row r="59" spans="1:4" x14ac:dyDescent="0.35">
      <c r="A59" s="77" t="s">
        <v>662</v>
      </c>
      <c r="B59" t="s">
        <v>1505</v>
      </c>
      <c r="C59" t="s">
        <v>1510</v>
      </c>
      <c r="D59" t="s">
        <v>1513</v>
      </c>
    </row>
    <row r="60" spans="1:4" x14ac:dyDescent="0.35">
      <c r="A60" s="77" t="s">
        <v>664</v>
      </c>
      <c r="B60" t="s">
        <v>1506</v>
      </c>
      <c r="C60" t="s">
        <v>1510</v>
      </c>
      <c r="D60" t="s">
        <v>1514</v>
      </c>
    </row>
    <row r="61" spans="1:4" x14ac:dyDescent="0.35">
      <c r="A61" s="77" t="s">
        <v>666</v>
      </c>
      <c r="B61" t="s">
        <v>1507</v>
      </c>
      <c r="C61" t="s">
        <v>1511</v>
      </c>
      <c r="D61" t="s">
        <v>1515</v>
      </c>
    </row>
    <row r="62" spans="1:4" x14ac:dyDescent="0.35">
      <c r="A62" s="77" t="s">
        <v>668</v>
      </c>
      <c r="B62" t="s">
        <v>1508</v>
      </c>
      <c r="C62" t="s">
        <v>1509</v>
      </c>
      <c r="D62" t="s">
        <v>1516</v>
      </c>
    </row>
    <row r="63" spans="1:4" x14ac:dyDescent="0.35">
      <c r="A63" s="77" t="s">
        <v>670</v>
      </c>
      <c r="B63" t="s">
        <v>1509</v>
      </c>
      <c r="C63" t="s">
        <v>1512</v>
      </c>
      <c r="D63" t="s">
        <v>1517</v>
      </c>
    </row>
    <row r="64" spans="1:4" x14ac:dyDescent="0.35">
      <c r="A64" s="77" t="s">
        <v>662</v>
      </c>
      <c r="B64" t="s">
        <v>1505</v>
      </c>
      <c r="C64" t="s">
        <v>1510</v>
      </c>
      <c r="D64" t="s">
        <v>1513</v>
      </c>
    </row>
    <row r="65" spans="1:4" x14ac:dyDescent="0.35">
      <c r="A65" s="77" t="s">
        <v>664</v>
      </c>
      <c r="B65" t="s">
        <v>1506</v>
      </c>
      <c r="C65" t="s">
        <v>1510</v>
      </c>
      <c r="D65" t="s">
        <v>1514</v>
      </c>
    </row>
    <row r="66" spans="1:4" x14ac:dyDescent="0.35">
      <c r="A66" s="77" t="s">
        <v>666</v>
      </c>
      <c r="B66" t="s">
        <v>1507</v>
      </c>
      <c r="C66" t="s">
        <v>1511</v>
      </c>
      <c r="D66" t="s">
        <v>1515</v>
      </c>
    </row>
    <row r="67" spans="1:4" x14ac:dyDescent="0.35">
      <c r="A67" s="77" t="s">
        <v>668</v>
      </c>
      <c r="B67" t="s">
        <v>1508</v>
      </c>
      <c r="C67" t="s">
        <v>1509</v>
      </c>
      <c r="D67" t="s">
        <v>1516</v>
      </c>
    </row>
    <row r="68" spans="1:4" x14ac:dyDescent="0.35">
      <c r="A68" s="77" t="s">
        <v>670</v>
      </c>
      <c r="B68" t="s">
        <v>1509</v>
      </c>
      <c r="C68" t="s">
        <v>1512</v>
      </c>
      <c r="D68" t="s">
        <v>1517</v>
      </c>
    </row>
    <row r="69" spans="1:4" x14ac:dyDescent="0.35">
      <c r="A69" s="77" t="s">
        <v>662</v>
      </c>
      <c r="B69" t="s">
        <v>1505</v>
      </c>
      <c r="C69" t="s">
        <v>1510</v>
      </c>
      <c r="D69" t="s">
        <v>1513</v>
      </c>
    </row>
    <row r="70" spans="1:4" x14ac:dyDescent="0.35">
      <c r="A70" s="77" t="s">
        <v>664</v>
      </c>
      <c r="B70" t="s">
        <v>1506</v>
      </c>
      <c r="C70" t="s">
        <v>1510</v>
      </c>
      <c r="D70" t="s">
        <v>1514</v>
      </c>
    </row>
    <row r="71" spans="1:4" x14ac:dyDescent="0.35">
      <c r="A71" s="77" t="s">
        <v>666</v>
      </c>
      <c r="B71" t="s">
        <v>1507</v>
      </c>
      <c r="C71" t="s">
        <v>1511</v>
      </c>
      <c r="D71" t="s">
        <v>1515</v>
      </c>
    </row>
    <row r="72" spans="1:4" x14ac:dyDescent="0.35">
      <c r="A72" s="77" t="s">
        <v>668</v>
      </c>
      <c r="B72" t="s">
        <v>1508</v>
      </c>
      <c r="C72" t="s">
        <v>1509</v>
      </c>
      <c r="D72" t="s">
        <v>1516</v>
      </c>
    </row>
    <row r="73" spans="1:4" x14ac:dyDescent="0.35">
      <c r="A73" s="77" t="s">
        <v>670</v>
      </c>
      <c r="B73" t="s">
        <v>1509</v>
      </c>
      <c r="C73" t="s">
        <v>1512</v>
      </c>
      <c r="D73" t="s">
        <v>1517</v>
      </c>
    </row>
    <row r="74" spans="1:4" x14ac:dyDescent="0.35">
      <c r="A74" s="77" t="s">
        <v>662</v>
      </c>
      <c r="B74" t="s">
        <v>1505</v>
      </c>
      <c r="C74" t="s">
        <v>1510</v>
      </c>
      <c r="D74" t="s">
        <v>1513</v>
      </c>
    </row>
    <row r="75" spans="1:4" x14ac:dyDescent="0.35">
      <c r="A75" s="77" t="s">
        <v>664</v>
      </c>
      <c r="B75" t="s">
        <v>1506</v>
      </c>
      <c r="C75" t="s">
        <v>1510</v>
      </c>
      <c r="D75" t="s">
        <v>1514</v>
      </c>
    </row>
    <row r="76" spans="1:4" x14ac:dyDescent="0.35">
      <c r="A76" s="77" t="s">
        <v>666</v>
      </c>
      <c r="B76" t="s">
        <v>1507</v>
      </c>
      <c r="C76" t="s">
        <v>1511</v>
      </c>
      <c r="D76" t="s">
        <v>1515</v>
      </c>
    </row>
    <row r="77" spans="1:4" x14ac:dyDescent="0.35">
      <c r="A77" s="77" t="s">
        <v>668</v>
      </c>
      <c r="B77" t="s">
        <v>1508</v>
      </c>
      <c r="C77" t="s">
        <v>1509</v>
      </c>
      <c r="D77" t="s">
        <v>1516</v>
      </c>
    </row>
    <row r="78" spans="1:4" x14ac:dyDescent="0.35">
      <c r="A78" s="77" t="s">
        <v>670</v>
      </c>
      <c r="B78" t="s">
        <v>1509</v>
      </c>
      <c r="C78" t="s">
        <v>1512</v>
      </c>
      <c r="D78" t="s">
        <v>1517</v>
      </c>
    </row>
    <row r="79" spans="1:4" x14ac:dyDescent="0.35">
      <c r="A79" s="77" t="s">
        <v>662</v>
      </c>
      <c r="B79" t="s">
        <v>1505</v>
      </c>
      <c r="C79" t="s">
        <v>1510</v>
      </c>
      <c r="D79" t="s">
        <v>1513</v>
      </c>
    </row>
    <row r="80" spans="1:4" x14ac:dyDescent="0.35">
      <c r="A80" s="77" t="s">
        <v>664</v>
      </c>
      <c r="B80" t="s">
        <v>1506</v>
      </c>
      <c r="C80" t="s">
        <v>1510</v>
      </c>
      <c r="D80" t="s">
        <v>1514</v>
      </c>
    </row>
    <row r="81" spans="1:4" x14ac:dyDescent="0.35">
      <c r="A81" s="77" t="s">
        <v>666</v>
      </c>
      <c r="B81" t="s">
        <v>1507</v>
      </c>
      <c r="C81" t="s">
        <v>1511</v>
      </c>
      <c r="D81" t="s">
        <v>1515</v>
      </c>
    </row>
    <row r="82" spans="1:4" x14ac:dyDescent="0.35">
      <c r="A82" s="77" t="s">
        <v>668</v>
      </c>
      <c r="B82" t="s">
        <v>1508</v>
      </c>
      <c r="C82" t="s">
        <v>1509</v>
      </c>
      <c r="D82" t="s">
        <v>1516</v>
      </c>
    </row>
    <row r="83" spans="1:4" x14ac:dyDescent="0.35">
      <c r="A83" s="77" t="s">
        <v>670</v>
      </c>
      <c r="B83" t="s">
        <v>1509</v>
      </c>
      <c r="C83" t="s">
        <v>1512</v>
      </c>
      <c r="D83" t="s">
        <v>1517</v>
      </c>
    </row>
    <row r="84" spans="1:4" x14ac:dyDescent="0.35">
      <c r="A84" s="77" t="s">
        <v>662</v>
      </c>
      <c r="B84" t="s">
        <v>1505</v>
      </c>
      <c r="C84" t="s">
        <v>1510</v>
      </c>
      <c r="D84" t="s">
        <v>1513</v>
      </c>
    </row>
    <row r="85" spans="1:4" x14ac:dyDescent="0.35">
      <c r="A85" s="77" t="s">
        <v>664</v>
      </c>
      <c r="B85" t="s">
        <v>1506</v>
      </c>
      <c r="C85" t="s">
        <v>1510</v>
      </c>
      <c r="D85" t="s">
        <v>1514</v>
      </c>
    </row>
    <row r="86" spans="1:4" x14ac:dyDescent="0.35">
      <c r="A86" s="77" t="s">
        <v>666</v>
      </c>
      <c r="B86" t="s">
        <v>1507</v>
      </c>
      <c r="C86" t="s">
        <v>1511</v>
      </c>
      <c r="D86" t="s">
        <v>1515</v>
      </c>
    </row>
    <row r="87" spans="1:4" x14ac:dyDescent="0.35">
      <c r="A87" s="77" t="s">
        <v>668</v>
      </c>
      <c r="B87" t="s">
        <v>1508</v>
      </c>
      <c r="C87" t="s">
        <v>1509</v>
      </c>
      <c r="D87" t="s">
        <v>1516</v>
      </c>
    </row>
    <row r="88" spans="1:4" x14ac:dyDescent="0.35">
      <c r="A88" s="77" t="s">
        <v>670</v>
      </c>
      <c r="B88" t="s">
        <v>1509</v>
      </c>
      <c r="C88" t="s">
        <v>1512</v>
      </c>
      <c r="D88" t="s">
        <v>1517</v>
      </c>
    </row>
    <row r="89" spans="1:4" x14ac:dyDescent="0.35">
      <c r="A89" s="77" t="s">
        <v>662</v>
      </c>
      <c r="B89" t="s">
        <v>1505</v>
      </c>
      <c r="C89" t="s">
        <v>1510</v>
      </c>
      <c r="D89" t="s">
        <v>1513</v>
      </c>
    </row>
    <row r="90" spans="1:4" x14ac:dyDescent="0.35">
      <c r="A90" s="77" t="s">
        <v>664</v>
      </c>
      <c r="B90" t="s">
        <v>1506</v>
      </c>
      <c r="C90" t="s">
        <v>1510</v>
      </c>
      <c r="D90" t="s">
        <v>1514</v>
      </c>
    </row>
    <row r="91" spans="1:4" x14ac:dyDescent="0.35">
      <c r="A91" s="77" t="s">
        <v>666</v>
      </c>
      <c r="B91" t="s">
        <v>1507</v>
      </c>
      <c r="C91" t="s">
        <v>1511</v>
      </c>
      <c r="D91" t="s">
        <v>1515</v>
      </c>
    </row>
    <row r="92" spans="1:4" x14ac:dyDescent="0.35">
      <c r="A92" s="77" t="s">
        <v>668</v>
      </c>
      <c r="B92" t="s">
        <v>1508</v>
      </c>
      <c r="C92" t="s">
        <v>1509</v>
      </c>
      <c r="D92" t="s">
        <v>1516</v>
      </c>
    </row>
    <row r="93" spans="1:4" x14ac:dyDescent="0.35">
      <c r="A93" s="77" t="s">
        <v>670</v>
      </c>
      <c r="B93" t="s">
        <v>1509</v>
      </c>
      <c r="C93" t="s">
        <v>1512</v>
      </c>
      <c r="D93" t="s">
        <v>1517</v>
      </c>
    </row>
    <row r="94" spans="1:4" x14ac:dyDescent="0.35">
      <c r="A94" s="77" t="s">
        <v>662</v>
      </c>
      <c r="B94" t="s">
        <v>1505</v>
      </c>
      <c r="C94" t="s">
        <v>1510</v>
      </c>
      <c r="D94" t="s">
        <v>1513</v>
      </c>
    </row>
    <row r="95" spans="1:4" x14ac:dyDescent="0.35">
      <c r="A95" s="77" t="s">
        <v>664</v>
      </c>
      <c r="B95" t="s">
        <v>1506</v>
      </c>
      <c r="C95" t="s">
        <v>1510</v>
      </c>
      <c r="D95" t="s">
        <v>1514</v>
      </c>
    </row>
    <row r="96" spans="1:4" x14ac:dyDescent="0.35">
      <c r="A96" s="77" t="s">
        <v>666</v>
      </c>
      <c r="B96" t="s">
        <v>1507</v>
      </c>
      <c r="C96" t="s">
        <v>1511</v>
      </c>
      <c r="D96" t="s">
        <v>1515</v>
      </c>
    </row>
    <row r="97" spans="1:4" x14ac:dyDescent="0.35">
      <c r="A97" s="77" t="s">
        <v>668</v>
      </c>
      <c r="B97" t="s">
        <v>1508</v>
      </c>
      <c r="C97" t="s">
        <v>1509</v>
      </c>
      <c r="D97" t="s">
        <v>1516</v>
      </c>
    </row>
    <row r="98" spans="1:4" x14ac:dyDescent="0.35">
      <c r="A98" s="77" t="s">
        <v>670</v>
      </c>
      <c r="B98" t="s">
        <v>1509</v>
      </c>
      <c r="C98" t="s">
        <v>1512</v>
      </c>
      <c r="D98" t="s">
        <v>1517</v>
      </c>
    </row>
    <row r="99" spans="1:4" x14ac:dyDescent="0.35">
      <c r="A99" s="77" t="s">
        <v>662</v>
      </c>
      <c r="B99" t="s">
        <v>1505</v>
      </c>
      <c r="C99" t="s">
        <v>1510</v>
      </c>
      <c r="D99" t="s">
        <v>1513</v>
      </c>
    </row>
    <row r="100" spans="1:4" x14ac:dyDescent="0.35">
      <c r="A100" s="77" t="s">
        <v>664</v>
      </c>
      <c r="B100" t="s">
        <v>1506</v>
      </c>
      <c r="C100" t="s">
        <v>1510</v>
      </c>
      <c r="D100" t="s">
        <v>1514</v>
      </c>
    </row>
    <row r="101" spans="1:4" x14ac:dyDescent="0.35">
      <c r="A101" s="77" t="s">
        <v>666</v>
      </c>
      <c r="B101" t="s">
        <v>1507</v>
      </c>
      <c r="C101" t="s">
        <v>1511</v>
      </c>
      <c r="D101" t="s">
        <v>1515</v>
      </c>
    </row>
    <row r="102" spans="1:4" x14ac:dyDescent="0.35">
      <c r="A102" s="77" t="s">
        <v>668</v>
      </c>
      <c r="B102" t="s">
        <v>1508</v>
      </c>
      <c r="C102" t="s">
        <v>1509</v>
      </c>
      <c r="D102" t="s">
        <v>1516</v>
      </c>
    </row>
    <row r="103" spans="1:4" x14ac:dyDescent="0.35">
      <c r="A103" s="77" t="s">
        <v>670</v>
      </c>
      <c r="B103" t="s">
        <v>1509</v>
      </c>
      <c r="C103" t="s">
        <v>1512</v>
      </c>
      <c r="D103" t="s">
        <v>1517</v>
      </c>
    </row>
    <row r="104" spans="1:4" x14ac:dyDescent="0.35">
      <c r="A104" s="77" t="s">
        <v>662</v>
      </c>
      <c r="B104" t="s">
        <v>1505</v>
      </c>
      <c r="C104" t="s">
        <v>1510</v>
      </c>
      <c r="D104" t="s">
        <v>1513</v>
      </c>
    </row>
    <row r="105" spans="1:4" x14ac:dyDescent="0.35">
      <c r="A105" s="77" t="s">
        <v>664</v>
      </c>
      <c r="B105" t="s">
        <v>1506</v>
      </c>
      <c r="C105" t="s">
        <v>1510</v>
      </c>
      <c r="D105" t="s">
        <v>1514</v>
      </c>
    </row>
    <row r="106" spans="1:4" x14ac:dyDescent="0.35">
      <c r="A106" s="77" t="s">
        <v>666</v>
      </c>
      <c r="B106" t="s">
        <v>1507</v>
      </c>
      <c r="C106" t="s">
        <v>1511</v>
      </c>
      <c r="D106" t="s">
        <v>1515</v>
      </c>
    </row>
    <row r="107" spans="1:4" x14ac:dyDescent="0.35">
      <c r="A107" s="77" t="s">
        <v>668</v>
      </c>
      <c r="B107" t="s">
        <v>1508</v>
      </c>
      <c r="C107" t="s">
        <v>1509</v>
      </c>
      <c r="D107" t="s">
        <v>1516</v>
      </c>
    </row>
    <row r="108" spans="1:4" x14ac:dyDescent="0.35">
      <c r="A108" s="77" t="s">
        <v>670</v>
      </c>
      <c r="B108" t="s">
        <v>1509</v>
      </c>
      <c r="C108" t="s">
        <v>1512</v>
      </c>
      <c r="D108" t="s">
        <v>1517</v>
      </c>
    </row>
    <row r="109" spans="1:4" x14ac:dyDescent="0.35">
      <c r="A109" s="77" t="s">
        <v>662</v>
      </c>
      <c r="B109" t="s">
        <v>1505</v>
      </c>
      <c r="C109" t="s">
        <v>1510</v>
      </c>
      <c r="D109" t="s">
        <v>1513</v>
      </c>
    </row>
    <row r="110" spans="1:4" x14ac:dyDescent="0.35">
      <c r="A110" s="77" t="s">
        <v>664</v>
      </c>
      <c r="B110" t="s">
        <v>1506</v>
      </c>
      <c r="C110" t="s">
        <v>1510</v>
      </c>
      <c r="D110" t="s">
        <v>1514</v>
      </c>
    </row>
    <row r="111" spans="1:4" x14ac:dyDescent="0.35">
      <c r="A111" s="77" t="s">
        <v>666</v>
      </c>
      <c r="B111" t="s">
        <v>1507</v>
      </c>
      <c r="C111" t="s">
        <v>1511</v>
      </c>
      <c r="D111" t="s">
        <v>1515</v>
      </c>
    </row>
    <row r="112" spans="1:4" x14ac:dyDescent="0.35">
      <c r="A112" s="77" t="s">
        <v>668</v>
      </c>
      <c r="B112" t="s">
        <v>1508</v>
      </c>
      <c r="C112" t="s">
        <v>1509</v>
      </c>
      <c r="D112" t="s">
        <v>1516</v>
      </c>
    </row>
    <row r="113" spans="1:4" x14ac:dyDescent="0.35">
      <c r="A113" s="77" t="s">
        <v>670</v>
      </c>
      <c r="B113" t="s">
        <v>1509</v>
      </c>
      <c r="C113" t="s">
        <v>1512</v>
      </c>
      <c r="D113" t="s">
        <v>1517</v>
      </c>
    </row>
    <row r="114" spans="1:4" x14ac:dyDescent="0.35">
      <c r="A114" s="77" t="s">
        <v>662</v>
      </c>
      <c r="B114" t="s">
        <v>1505</v>
      </c>
      <c r="C114" t="s">
        <v>1510</v>
      </c>
      <c r="D114" t="s">
        <v>1513</v>
      </c>
    </row>
    <row r="115" spans="1:4" x14ac:dyDescent="0.35">
      <c r="A115" s="77" t="s">
        <v>664</v>
      </c>
      <c r="B115" t="s">
        <v>1506</v>
      </c>
      <c r="C115" t="s">
        <v>1510</v>
      </c>
      <c r="D115" t="s">
        <v>1514</v>
      </c>
    </row>
    <row r="116" spans="1:4" x14ac:dyDescent="0.35">
      <c r="A116" s="77" t="s">
        <v>666</v>
      </c>
      <c r="B116" t="s">
        <v>1507</v>
      </c>
      <c r="C116" t="s">
        <v>1511</v>
      </c>
      <c r="D116" t="s">
        <v>1515</v>
      </c>
    </row>
    <row r="117" spans="1:4" x14ac:dyDescent="0.35">
      <c r="A117" s="77" t="s">
        <v>668</v>
      </c>
      <c r="B117" t="s">
        <v>1508</v>
      </c>
      <c r="C117" t="s">
        <v>1509</v>
      </c>
      <c r="D117" t="s">
        <v>1516</v>
      </c>
    </row>
    <row r="118" spans="1:4" x14ac:dyDescent="0.35">
      <c r="A118" s="77" t="s">
        <v>670</v>
      </c>
      <c r="B118" t="s">
        <v>1509</v>
      </c>
      <c r="C118" t="s">
        <v>1512</v>
      </c>
      <c r="D118" t="s">
        <v>1517</v>
      </c>
    </row>
    <row r="119" spans="1:4" x14ac:dyDescent="0.35">
      <c r="A119" s="77" t="s">
        <v>662</v>
      </c>
      <c r="B119" t="s">
        <v>1505</v>
      </c>
      <c r="C119" t="s">
        <v>1510</v>
      </c>
      <c r="D119" t="s">
        <v>1513</v>
      </c>
    </row>
    <row r="120" spans="1:4" x14ac:dyDescent="0.35">
      <c r="A120" s="77" t="s">
        <v>664</v>
      </c>
      <c r="B120" t="s">
        <v>1506</v>
      </c>
      <c r="C120" t="s">
        <v>1510</v>
      </c>
      <c r="D120" t="s">
        <v>1514</v>
      </c>
    </row>
    <row r="121" spans="1:4" x14ac:dyDescent="0.35">
      <c r="A121" s="77" t="s">
        <v>666</v>
      </c>
      <c r="B121" t="s">
        <v>1507</v>
      </c>
      <c r="C121" t="s">
        <v>1511</v>
      </c>
      <c r="D121" t="s">
        <v>1515</v>
      </c>
    </row>
    <row r="122" spans="1:4" x14ac:dyDescent="0.35">
      <c r="A122" s="77" t="s">
        <v>668</v>
      </c>
      <c r="B122" t="s">
        <v>1508</v>
      </c>
      <c r="C122" t="s">
        <v>1509</v>
      </c>
      <c r="D122" t="s">
        <v>1516</v>
      </c>
    </row>
    <row r="123" spans="1:4" x14ac:dyDescent="0.35">
      <c r="A123" s="77" t="s">
        <v>670</v>
      </c>
      <c r="B123" t="s">
        <v>1509</v>
      </c>
      <c r="C123" t="s">
        <v>1512</v>
      </c>
      <c r="D123" t="s">
        <v>1517</v>
      </c>
    </row>
    <row r="124" spans="1:4" x14ac:dyDescent="0.35">
      <c r="A124" s="77" t="s">
        <v>662</v>
      </c>
      <c r="B124" t="s">
        <v>1505</v>
      </c>
      <c r="C124" t="s">
        <v>1510</v>
      </c>
      <c r="D124" t="s">
        <v>1513</v>
      </c>
    </row>
    <row r="125" spans="1:4" x14ac:dyDescent="0.35">
      <c r="A125" s="77" t="s">
        <v>664</v>
      </c>
      <c r="B125" t="s">
        <v>1506</v>
      </c>
      <c r="C125" t="s">
        <v>1510</v>
      </c>
      <c r="D125" t="s">
        <v>1514</v>
      </c>
    </row>
    <row r="126" spans="1:4" x14ac:dyDescent="0.35">
      <c r="A126" s="77" t="s">
        <v>666</v>
      </c>
      <c r="B126" t="s">
        <v>1507</v>
      </c>
      <c r="C126" t="s">
        <v>1511</v>
      </c>
      <c r="D126" t="s">
        <v>1515</v>
      </c>
    </row>
    <row r="127" spans="1:4" x14ac:dyDescent="0.35">
      <c r="A127" s="77" t="s">
        <v>668</v>
      </c>
      <c r="B127" t="s">
        <v>1508</v>
      </c>
      <c r="C127" t="s">
        <v>1509</v>
      </c>
      <c r="D127" t="s">
        <v>1516</v>
      </c>
    </row>
    <row r="128" spans="1:4" x14ac:dyDescent="0.35">
      <c r="A128" s="77" t="s">
        <v>670</v>
      </c>
      <c r="B128" t="s">
        <v>1509</v>
      </c>
      <c r="C128" t="s">
        <v>1512</v>
      </c>
      <c r="D128" t="s">
        <v>1517</v>
      </c>
    </row>
    <row r="129" spans="1:4" x14ac:dyDescent="0.35">
      <c r="A129" s="77" t="s">
        <v>662</v>
      </c>
      <c r="B129" t="s">
        <v>1505</v>
      </c>
      <c r="C129" t="s">
        <v>1510</v>
      </c>
      <c r="D129" t="s">
        <v>1513</v>
      </c>
    </row>
    <row r="130" spans="1:4" x14ac:dyDescent="0.35">
      <c r="A130" s="77" t="s">
        <v>664</v>
      </c>
      <c r="B130" t="s">
        <v>1506</v>
      </c>
      <c r="C130" t="s">
        <v>1510</v>
      </c>
      <c r="D130" t="s">
        <v>1514</v>
      </c>
    </row>
    <row r="131" spans="1:4" x14ac:dyDescent="0.35">
      <c r="A131" s="77" t="s">
        <v>666</v>
      </c>
      <c r="B131" t="s">
        <v>1507</v>
      </c>
      <c r="C131" t="s">
        <v>1511</v>
      </c>
      <c r="D131" t="s">
        <v>1515</v>
      </c>
    </row>
    <row r="132" spans="1:4" x14ac:dyDescent="0.35">
      <c r="A132" s="77" t="s">
        <v>668</v>
      </c>
      <c r="B132" t="s">
        <v>1508</v>
      </c>
      <c r="C132" t="s">
        <v>1509</v>
      </c>
      <c r="D132" t="s">
        <v>1516</v>
      </c>
    </row>
    <row r="133" spans="1:4" x14ac:dyDescent="0.35">
      <c r="A133" s="77" t="s">
        <v>670</v>
      </c>
      <c r="B133" t="s">
        <v>1509</v>
      </c>
      <c r="C133" t="s">
        <v>1512</v>
      </c>
      <c r="D133" t="s">
        <v>1517</v>
      </c>
    </row>
    <row r="134" spans="1:4" x14ac:dyDescent="0.35">
      <c r="A134" s="77" t="s">
        <v>662</v>
      </c>
      <c r="B134" t="s">
        <v>1505</v>
      </c>
      <c r="C134" t="s">
        <v>1510</v>
      </c>
      <c r="D134" t="s">
        <v>1513</v>
      </c>
    </row>
    <row r="135" spans="1:4" x14ac:dyDescent="0.35">
      <c r="A135" s="77" t="s">
        <v>664</v>
      </c>
      <c r="B135" t="s">
        <v>1506</v>
      </c>
      <c r="C135" t="s">
        <v>1510</v>
      </c>
      <c r="D135" t="s">
        <v>1514</v>
      </c>
    </row>
    <row r="136" spans="1:4" x14ac:dyDescent="0.35">
      <c r="A136" s="77" t="s">
        <v>666</v>
      </c>
      <c r="B136" t="s">
        <v>1507</v>
      </c>
      <c r="C136" t="s">
        <v>1511</v>
      </c>
      <c r="D136" t="s">
        <v>1515</v>
      </c>
    </row>
    <row r="137" spans="1:4" x14ac:dyDescent="0.35">
      <c r="A137" s="77" t="s">
        <v>668</v>
      </c>
      <c r="B137" t="s">
        <v>1508</v>
      </c>
      <c r="C137" t="s">
        <v>1509</v>
      </c>
      <c r="D137" t="s">
        <v>1516</v>
      </c>
    </row>
    <row r="138" spans="1:4" x14ac:dyDescent="0.35">
      <c r="A138" s="77" t="s">
        <v>670</v>
      </c>
      <c r="B138" t="s">
        <v>1509</v>
      </c>
      <c r="C138" t="s">
        <v>1512</v>
      </c>
      <c r="D138" t="s">
        <v>1517</v>
      </c>
    </row>
    <row r="139" spans="1:4" x14ac:dyDescent="0.35">
      <c r="A139" s="77" t="s">
        <v>662</v>
      </c>
      <c r="B139" t="s">
        <v>1505</v>
      </c>
      <c r="C139" t="s">
        <v>1510</v>
      </c>
      <c r="D139" t="s">
        <v>1513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337C6-31A0-4956-B0AD-52F5AF1DBF35}">
  <dimension ref="A1:K742"/>
  <sheetViews>
    <sheetView tabSelected="1" zoomScale="120" zoomScaleNormal="120" workbookViewId="0">
      <selection activeCell="B6" sqref="B6"/>
    </sheetView>
  </sheetViews>
  <sheetFormatPr defaultRowHeight="14.5" x14ac:dyDescent="0.35"/>
  <cols>
    <col min="1" max="1" width="27.26953125" bestFit="1" customWidth="1"/>
    <col min="2" max="2" width="24.26953125" bestFit="1" customWidth="1"/>
    <col min="3" max="3" width="8.26953125" bestFit="1" customWidth="1"/>
    <col min="4" max="4" width="9.7265625" bestFit="1" customWidth="1"/>
    <col min="5" max="5" width="10.1796875" bestFit="1" customWidth="1"/>
    <col min="6" max="6" width="8.453125" bestFit="1" customWidth="1"/>
    <col min="7" max="7" width="8" bestFit="1" customWidth="1"/>
    <col min="8" max="8" width="10" bestFit="1" customWidth="1"/>
  </cols>
  <sheetData>
    <row r="1" spans="1:11" x14ac:dyDescent="0.35">
      <c r="A1" s="78" t="s">
        <v>673</v>
      </c>
      <c r="B1" s="79" t="s">
        <v>674</v>
      </c>
      <c r="C1" s="80" t="s">
        <v>675</v>
      </c>
      <c r="D1" s="81" t="s">
        <v>676</v>
      </c>
      <c r="E1" s="82" t="s">
        <v>677</v>
      </c>
      <c r="F1" s="81" t="s">
        <v>678</v>
      </c>
      <c r="G1" s="83" t="s">
        <v>679</v>
      </c>
      <c r="H1" s="80" t="s">
        <v>680</v>
      </c>
      <c r="K1" s="60" t="s">
        <v>0</v>
      </c>
    </row>
    <row r="2" spans="1:11" x14ac:dyDescent="0.35">
      <c r="A2" s="84" t="s">
        <v>681</v>
      </c>
      <c r="B2" s="84" t="s">
        <v>682</v>
      </c>
      <c r="C2" s="85" t="s">
        <v>683</v>
      </c>
      <c r="D2" s="86" t="s">
        <v>684</v>
      </c>
      <c r="E2" s="87">
        <v>40259</v>
      </c>
      <c r="F2" s="88"/>
      <c r="G2" s="89">
        <v>45710</v>
      </c>
      <c r="H2" s="85">
        <v>3</v>
      </c>
      <c r="K2" t="s">
        <v>685</v>
      </c>
    </row>
    <row r="3" spans="1:11" x14ac:dyDescent="0.35">
      <c r="A3" s="84" t="s">
        <v>681</v>
      </c>
      <c r="B3" s="84" t="s">
        <v>686</v>
      </c>
      <c r="C3" s="85" t="s">
        <v>59</v>
      </c>
      <c r="D3" s="86" t="s">
        <v>684</v>
      </c>
      <c r="E3" s="87">
        <v>34003</v>
      </c>
      <c r="F3" s="88"/>
      <c r="G3" s="89">
        <v>60760</v>
      </c>
      <c r="H3" s="85">
        <v>2</v>
      </c>
    </row>
    <row r="4" spans="1:11" x14ac:dyDescent="0.35">
      <c r="A4" s="84" t="s">
        <v>681</v>
      </c>
      <c r="B4" s="84" t="s">
        <v>687</v>
      </c>
      <c r="C4" s="85" t="s">
        <v>72</v>
      </c>
      <c r="D4" s="86" t="s">
        <v>688</v>
      </c>
      <c r="E4" s="87">
        <v>36094</v>
      </c>
      <c r="F4" s="88" t="s">
        <v>689</v>
      </c>
      <c r="G4" s="89">
        <v>47885</v>
      </c>
      <c r="H4" s="85">
        <v>1</v>
      </c>
    </row>
    <row r="5" spans="1:11" x14ac:dyDescent="0.35">
      <c r="A5" s="84" t="s">
        <v>681</v>
      </c>
      <c r="B5" s="84" t="s">
        <v>690</v>
      </c>
      <c r="C5" s="85" t="s">
        <v>85</v>
      </c>
      <c r="D5" s="86" t="s">
        <v>688</v>
      </c>
      <c r="E5" s="87">
        <v>35297</v>
      </c>
      <c r="F5" s="88" t="s">
        <v>691</v>
      </c>
      <c r="G5" s="89">
        <v>38105</v>
      </c>
      <c r="H5" s="85">
        <v>2</v>
      </c>
    </row>
    <row r="6" spans="1:11" x14ac:dyDescent="0.35">
      <c r="A6" s="84" t="s">
        <v>681</v>
      </c>
      <c r="B6" s="84" t="s">
        <v>692</v>
      </c>
      <c r="C6" s="85" t="s">
        <v>59</v>
      </c>
      <c r="D6" s="86" t="s">
        <v>688</v>
      </c>
      <c r="E6" s="87">
        <v>36084</v>
      </c>
      <c r="F6" s="88" t="s">
        <v>693</v>
      </c>
      <c r="G6" s="89">
        <v>45750</v>
      </c>
      <c r="H6" s="85">
        <v>5</v>
      </c>
    </row>
    <row r="7" spans="1:11" x14ac:dyDescent="0.35">
      <c r="A7" s="84" t="s">
        <v>694</v>
      </c>
      <c r="B7" s="84" t="s">
        <v>695</v>
      </c>
      <c r="C7" s="85" t="s">
        <v>59</v>
      </c>
      <c r="D7" s="86" t="s">
        <v>684</v>
      </c>
      <c r="E7" s="87">
        <v>35541</v>
      </c>
      <c r="F7" s="88"/>
      <c r="G7" s="89">
        <v>49530</v>
      </c>
      <c r="H7" s="85">
        <v>4</v>
      </c>
    </row>
    <row r="8" spans="1:11" x14ac:dyDescent="0.35">
      <c r="A8" s="84" t="s">
        <v>694</v>
      </c>
      <c r="B8" s="84" t="s">
        <v>696</v>
      </c>
      <c r="C8" s="85" t="s">
        <v>59</v>
      </c>
      <c r="D8" s="86" t="s">
        <v>697</v>
      </c>
      <c r="E8" s="87">
        <v>38902</v>
      </c>
      <c r="F8" s="88" t="s">
        <v>689</v>
      </c>
      <c r="G8" s="89">
        <v>73560</v>
      </c>
      <c r="H8" s="85">
        <v>3</v>
      </c>
    </row>
    <row r="9" spans="1:11" x14ac:dyDescent="0.35">
      <c r="A9" s="84" t="s">
        <v>694</v>
      </c>
      <c r="B9" s="84" t="s">
        <v>698</v>
      </c>
      <c r="C9" s="85" t="s">
        <v>699</v>
      </c>
      <c r="D9" s="86" t="s">
        <v>684</v>
      </c>
      <c r="E9" s="87">
        <v>36086</v>
      </c>
      <c r="F9" s="88"/>
      <c r="G9" s="89">
        <v>47520</v>
      </c>
      <c r="H9" s="85">
        <v>1</v>
      </c>
    </row>
    <row r="10" spans="1:11" x14ac:dyDescent="0.35">
      <c r="A10" s="84" t="s">
        <v>694</v>
      </c>
      <c r="B10" s="84" t="s">
        <v>700</v>
      </c>
      <c r="C10" s="85" t="s">
        <v>59</v>
      </c>
      <c r="D10" s="86" t="s">
        <v>697</v>
      </c>
      <c r="E10" s="87">
        <v>37394</v>
      </c>
      <c r="F10" s="88" t="s">
        <v>689</v>
      </c>
      <c r="G10" s="89">
        <v>28970</v>
      </c>
      <c r="H10" s="85">
        <v>3</v>
      </c>
    </row>
    <row r="11" spans="1:11" x14ac:dyDescent="0.35">
      <c r="A11" s="84" t="s">
        <v>694</v>
      </c>
      <c r="B11" s="84" t="s">
        <v>701</v>
      </c>
      <c r="C11" s="85" t="s">
        <v>72</v>
      </c>
      <c r="D11" s="86" t="s">
        <v>684</v>
      </c>
      <c r="E11" s="87">
        <v>33402</v>
      </c>
      <c r="F11" s="88"/>
      <c r="G11" s="89">
        <v>79380</v>
      </c>
      <c r="H11" s="85">
        <v>1</v>
      </c>
    </row>
    <row r="12" spans="1:11" x14ac:dyDescent="0.35">
      <c r="A12" s="84" t="s">
        <v>694</v>
      </c>
      <c r="B12" s="84" t="s">
        <v>702</v>
      </c>
      <c r="C12" s="85" t="s">
        <v>59</v>
      </c>
      <c r="D12" s="86" t="s">
        <v>684</v>
      </c>
      <c r="E12" s="87">
        <v>33144</v>
      </c>
      <c r="F12" s="88"/>
      <c r="G12" s="89">
        <v>23340</v>
      </c>
      <c r="H12" s="85">
        <v>4</v>
      </c>
    </row>
    <row r="13" spans="1:11" x14ac:dyDescent="0.35">
      <c r="A13" s="84" t="s">
        <v>694</v>
      </c>
      <c r="B13" s="84" t="s">
        <v>703</v>
      </c>
      <c r="C13" s="85" t="s">
        <v>85</v>
      </c>
      <c r="D13" s="86" t="s">
        <v>684</v>
      </c>
      <c r="E13" s="87">
        <v>34031</v>
      </c>
      <c r="F13" s="88"/>
      <c r="G13" s="89">
        <v>64430</v>
      </c>
      <c r="H13" s="85">
        <v>4</v>
      </c>
    </row>
    <row r="14" spans="1:11" x14ac:dyDescent="0.35">
      <c r="A14" s="84" t="s">
        <v>694</v>
      </c>
      <c r="B14" s="84" t="s">
        <v>704</v>
      </c>
      <c r="C14" s="85" t="s">
        <v>699</v>
      </c>
      <c r="D14" s="86" t="s">
        <v>705</v>
      </c>
      <c r="E14" s="87">
        <v>33183</v>
      </c>
      <c r="F14" s="88"/>
      <c r="G14" s="89">
        <v>14712</v>
      </c>
      <c r="H14" s="85">
        <v>5</v>
      </c>
    </row>
    <row r="15" spans="1:11" x14ac:dyDescent="0.35">
      <c r="A15" s="84" t="s">
        <v>694</v>
      </c>
      <c r="B15" s="84" t="s">
        <v>706</v>
      </c>
      <c r="C15" s="85" t="s">
        <v>59</v>
      </c>
      <c r="D15" s="86" t="s">
        <v>697</v>
      </c>
      <c r="E15" s="87">
        <v>36195</v>
      </c>
      <c r="F15" s="88" t="s">
        <v>707</v>
      </c>
      <c r="G15" s="89">
        <v>46360</v>
      </c>
      <c r="H15" s="85">
        <v>5</v>
      </c>
    </row>
    <row r="16" spans="1:11" x14ac:dyDescent="0.35">
      <c r="A16" s="84" t="s">
        <v>694</v>
      </c>
      <c r="B16" s="84" t="s">
        <v>708</v>
      </c>
      <c r="C16" s="85" t="s">
        <v>699</v>
      </c>
      <c r="D16" s="86" t="s">
        <v>697</v>
      </c>
      <c r="E16" s="87">
        <v>36898</v>
      </c>
      <c r="F16" s="88" t="s">
        <v>689</v>
      </c>
      <c r="G16" s="89">
        <v>71820</v>
      </c>
      <c r="H16" s="85">
        <v>2</v>
      </c>
    </row>
    <row r="17" spans="1:8" x14ac:dyDescent="0.35">
      <c r="A17" s="84" t="s">
        <v>694</v>
      </c>
      <c r="B17" s="84" t="s">
        <v>709</v>
      </c>
      <c r="C17" s="85" t="s">
        <v>72</v>
      </c>
      <c r="D17" s="86" t="s">
        <v>697</v>
      </c>
      <c r="E17" s="87">
        <v>40596</v>
      </c>
      <c r="F17" s="88" t="s">
        <v>707</v>
      </c>
      <c r="G17" s="89">
        <v>68910</v>
      </c>
      <c r="H17" s="85">
        <v>5</v>
      </c>
    </row>
    <row r="18" spans="1:8" x14ac:dyDescent="0.35">
      <c r="A18" s="84" t="s">
        <v>694</v>
      </c>
      <c r="B18" s="84" t="s">
        <v>710</v>
      </c>
      <c r="C18" s="85" t="s">
        <v>699</v>
      </c>
      <c r="D18" s="86" t="s">
        <v>697</v>
      </c>
      <c r="E18" s="87">
        <v>40447</v>
      </c>
      <c r="F18" s="88" t="s">
        <v>689</v>
      </c>
      <c r="G18" s="89">
        <v>33970</v>
      </c>
      <c r="H18" s="85">
        <v>4</v>
      </c>
    </row>
    <row r="19" spans="1:8" x14ac:dyDescent="0.35">
      <c r="A19" s="84" t="s">
        <v>694</v>
      </c>
      <c r="B19" s="84" t="s">
        <v>711</v>
      </c>
      <c r="C19" s="85" t="s">
        <v>85</v>
      </c>
      <c r="D19" s="86" t="s">
        <v>697</v>
      </c>
      <c r="E19" s="87">
        <v>39696</v>
      </c>
      <c r="F19" s="88" t="s">
        <v>689</v>
      </c>
      <c r="G19" s="89">
        <v>69320</v>
      </c>
      <c r="H19" s="85">
        <v>3</v>
      </c>
    </row>
    <row r="20" spans="1:8" x14ac:dyDescent="0.35">
      <c r="A20" s="84" t="s">
        <v>694</v>
      </c>
      <c r="B20" s="84" t="s">
        <v>712</v>
      </c>
      <c r="C20" s="85" t="s">
        <v>699</v>
      </c>
      <c r="D20" s="86" t="s">
        <v>697</v>
      </c>
      <c r="E20" s="87">
        <v>33852</v>
      </c>
      <c r="F20" s="88" t="s">
        <v>713</v>
      </c>
      <c r="G20" s="89">
        <v>86240</v>
      </c>
      <c r="H20" s="85">
        <v>1</v>
      </c>
    </row>
    <row r="21" spans="1:8" x14ac:dyDescent="0.35">
      <c r="A21" s="84" t="s">
        <v>694</v>
      </c>
      <c r="B21" s="84" t="s">
        <v>714</v>
      </c>
      <c r="C21" s="85" t="s">
        <v>59</v>
      </c>
      <c r="D21" s="86" t="s">
        <v>697</v>
      </c>
      <c r="E21" s="87">
        <v>37407</v>
      </c>
      <c r="F21" s="88" t="s">
        <v>689</v>
      </c>
      <c r="G21" s="89">
        <v>59140</v>
      </c>
      <c r="H21" s="85">
        <v>5</v>
      </c>
    </row>
    <row r="22" spans="1:8" x14ac:dyDescent="0.35">
      <c r="A22" s="84" t="s">
        <v>694</v>
      </c>
      <c r="B22" s="84" t="s">
        <v>715</v>
      </c>
      <c r="C22" s="85" t="s">
        <v>699</v>
      </c>
      <c r="D22" s="86" t="s">
        <v>684</v>
      </c>
      <c r="E22" s="87">
        <v>33234</v>
      </c>
      <c r="F22" s="88"/>
      <c r="G22" s="89">
        <v>58650</v>
      </c>
      <c r="H22" s="85">
        <v>4</v>
      </c>
    </row>
    <row r="23" spans="1:8" x14ac:dyDescent="0.35">
      <c r="A23" s="84" t="s">
        <v>694</v>
      </c>
      <c r="B23" s="84" t="s">
        <v>716</v>
      </c>
      <c r="C23" s="85" t="s">
        <v>72</v>
      </c>
      <c r="D23" s="86" t="s">
        <v>705</v>
      </c>
      <c r="E23" s="87">
        <v>34165</v>
      </c>
      <c r="F23" s="88"/>
      <c r="G23" s="89">
        <v>30416</v>
      </c>
      <c r="H23" s="85">
        <v>1</v>
      </c>
    </row>
    <row r="24" spans="1:8" x14ac:dyDescent="0.35">
      <c r="A24" s="84" t="s">
        <v>717</v>
      </c>
      <c r="B24" s="84" t="s">
        <v>718</v>
      </c>
      <c r="C24" s="85" t="s">
        <v>699</v>
      </c>
      <c r="D24" s="86" t="s">
        <v>697</v>
      </c>
      <c r="E24" s="87">
        <v>35169</v>
      </c>
      <c r="F24" s="88" t="s">
        <v>713</v>
      </c>
      <c r="G24" s="89">
        <v>72640</v>
      </c>
      <c r="H24" s="85">
        <v>3</v>
      </c>
    </row>
    <row r="25" spans="1:8" x14ac:dyDescent="0.35">
      <c r="A25" s="84" t="s">
        <v>717</v>
      </c>
      <c r="B25" s="84" t="s">
        <v>719</v>
      </c>
      <c r="C25" s="85" t="s">
        <v>699</v>
      </c>
      <c r="D25" s="86" t="s">
        <v>697</v>
      </c>
      <c r="E25" s="87">
        <v>33407</v>
      </c>
      <c r="F25" s="88" t="s">
        <v>689</v>
      </c>
      <c r="G25" s="89">
        <v>22900</v>
      </c>
      <c r="H25" s="85">
        <v>1</v>
      </c>
    </row>
    <row r="26" spans="1:8" x14ac:dyDescent="0.35">
      <c r="A26" s="84" t="s">
        <v>717</v>
      </c>
      <c r="B26" s="84" t="s">
        <v>720</v>
      </c>
      <c r="C26" s="85" t="s">
        <v>59</v>
      </c>
      <c r="D26" s="86" t="s">
        <v>697</v>
      </c>
      <c r="E26" s="87">
        <v>40209</v>
      </c>
      <c r="F26" s="88" t="s">
        <v>691</v>
      </c>
      <c r="G26" s="89">
        <v>45260</v>
      </c>
      <c r="H26" s="85">
        <v>4</v>
      </c>
    </row>
    <row r="27" spans="1:8" x14ac:dyDescent="0.35">
      <c r="A27" s="84" t="s">
        <v>717</v>
      </c>
      <c r="B27" s="84" t="s">
        <v>721</v>
      </c>
      <c r="C27" s="85" t="s">
        <v>699</v>
      </c>
      <c r="D27" s="86" t="s">
        <v>697</v>
      </c>
      <c r="E27" s="87">
        <v>35459</v>
      </c>
      <c r="F27" s="88" t="s">
        <v>691</v>
      </c>
      <c r="G27" s="89">
        <v>49360</v>
      </c>
      <c r="H27" s="85">
        <v>2</v>
      </c>
    </row>
    <row r="28" spans="1:8" x14ac:dyDescent="0.35">
      <c r="A28" s="84" t="s">
        <v>717</v>
      </c>
      <c r="B28" s="84" t="s">
        <v>722</v>
      </c>
      <c r="C28" s="85" t="s">
        <v>699</v>
      </c>
      <c r="D28" s="86" t="s">
        <v>688</v>
      </c>
      <c r="E28" s="87">
        <v>34960</v>
      </c>
      <c r="F28" s="88" t="s">
        <v>713</v>
      </c>
      <c r="G28" s="89">
        <v>23000</v>
      </c>
      <c r="H28" s="85">
        <v>4</v>
      </c>
    </row>
    <row r="29" spans="1:8" x14ac:dyDescent="0.35">
      <c r="A29" s="84" t="s">
        <v>717</v>
      </c>
      <c r="B29" s="84" t="s">
        <v>723</v>
      </c>
      <c r="C29" s="85" t="s">
        <v>85</v>
      </c>
      <c r="D29" s="86" t="s">
        <v>688</v>
      </c>
      <c r="E29" s="87">
        <v>34755</v>
      </c>
      <c r="F29" s="88" t="s">
        <v>707</v>
      </c>
      <c r="G29" s="89">
        <v>15005</v>
      </c>
      <c r="H29" s="85">
        <v>4</v>
      </c>
    </row>
    <row r="30" spans="1:8" x14ac:dyDescent="0.35">
      <c r="A30" s="84" t="s">
        <v>717</v>
      </c>
      <c r="B30" s="84" t="s">
        <v>724</v>
      </c>
      <c r="C30" s="85" t="s">
        <v>59</v>
      </c>
      <c r="D30" s="86" t="s">
        <v>697</v>
      </c>
      <c r="E30" s="87">
        <v>33695</v>
      </c>
      <c r="F30" s="88" t="s">
        <v>693</v>
      </c>
      <c r="G30" s="89">
        <v>60560</v>
      </c>
      <c r="H30" s="85">
        <v>4</v>
      </c>
    </row>
    <row r="31" spans="1:8" x14ac:dyDescent="0.35">
      <c r="A31" s="84" t="s">
        <v>717</v>
      </c>
      <c r="B31" s="84" t="s">
        <v>725</v>
      </c>
      <c r="C31" s="85" t="s">
        <v>699</v>
      </c>
      <c r="D31" s="86" t="s">
        <v>697</v>
      </c>
      <c r="E31" s="87">
        <v>36025</v>
      </c>
      <c r="F31" s="88" t="s">
        <v>693</v>
      </c>
      <c r="G31" s="89">
        <v>64470</v>
      </c>
      <c r="H31" s="85">
        <v>5</v>
      </c>
    </row>
    <row r="32" spans="1:8" x14ac:dyDescent="0.35">
      <c r="A32" s="84" t="s">
        <v>717</v>
      </c>
      <c r="B32" s="84" t="s">
        <v>726</v>
      </c>
      <c r="C32" s="85" t="s">
        <v>699</v>
      </c>
      <c r="D32" s="86" t="s">
        <v>697</v>
      </c>
      <c r="E32" s="87">
        <v>38142</v>
      </c>
      <c r="F32" s="88" t="s">
        <v>689</v>
      </c>
      <c r="G32" s="89">
        <v>49350</v>
      </c>
      <c r="H32" s="85">
        <v>4</v>
      </c>
    </row>
    <row r="33" spans="1:8" x14ac:dyDescent="0.35">
      <c r="A33" s="84" t="s">
        <v>717</v>
      </c>
      <c r="B33" s="84" t="s">
        <v>727</v>
      </c>
      <c r="C33" s="85" t="s">
        <v>85</v>
      </c>
      <c r="D33" s="86" t="s">
        <v>697</v>
      </c>
      <c r="E33" s="87">
        <v>37883</v>
      </c>
      <c r="F33" s="88" t="s">
        <v>689</v>
      </c>
      <c r="G33" s="89">
        <v>86530</v>
      </c>
      <c r="H33" s="85">
        <v>1</v>
      </c>
    </row>
    <row r="34" spans="1:8" x14ac:dyDescent="0.35">
      <c r="A34" s="84" t="s">
        <v>728</v>
      </c>
      <c r="B34" s="84" t="s">
        <v>729</v>
      </c>
      <c r="C34" s="85" t="s">
        <v>85</v>
      </c>
      <c r="D34" s="86" t="s">
        <v>688</v>
      </c>
      <c r="E34" s="87">
        <v>36695</v>
      </c>
      <c r="F34" s="88" t="s">
        <v>691</v>
      </c>
      <c r="G34" s="89">
        <v>29005</v>
      </c>
      <c r="H34" s="85">
        <v>1</v>
      </c>
    </row>
    <row r="35" spans="1:8" x14ac:dyDescent="0.35">
      <c r="A35" s="84" t="s">
        <v>728</v>
      </c>
      <c r="B35" s="84" t="s">
        <v>730</v>
      </c>
      <c r="C35" s="85" t="s">
        <v>699</v>
      </c>
      <c r="D35" s="86" t="s">
        <v>688</v>
      </c>
      <c r="E35" s="87">
        <v>36604</v>
      </c>
      <c r="F35" s="88" t="s">
        <v>691</v>
      </c>
      <c r="G35" s="89">
        <v>46710</v>
      </c>
      <c r="H35" s="85">
        <v>3</v>
      </c>
    </row>
    <row r="36" spans="1:8" x14ac:dyDescent="0.35">
      <c r="A36" s="84" t="s">
        <v>728</v>
      </c>
      <c r="B36" s="84" t="s">
        <v>731</v>
      </c>
      <c r="C36" s="85" t="s">
        <v>683</v>
      </c>
      <c r="D36" s="86" t="s">
        <v>697</v>
      </c>
      <c r="E36" s="87">
        <v>36116</v>
      </c>
      <c r="F36" s="88" t="s">
        <v>713</v>
      </c>
      <c r="G36" s="89">
        <v>49770</v>
      </c>
      <c r="H36" s="85">
        <v>1</v>
      </c>
    </row>
    <row r="37" spans="1:8" x14ac:dyDescent="0.35">
      <c r="A37" s="84" t="s">
        <v>728</v>
      </c>
      <c r="B37" s="84" t="s">
        <v>732</v>
      </c>
      <c r="C37" s="85" t="s">
        <v>699</v>
      </c>
      <c r="D37" s="86" t="s">
        <v>697</v>
      </c>
      <c r="E37" s="87">
        <v>35329</v>
      </c>
      <c r="F37" s="88" t="s">
        <v>689</v>
      </c>
      <c r="G37" s="89">
        <v>66740</v>
      </c>
      <c r="H37" s="85">
        <v>2</v>
      </c>
    </row>
    <row r="38" spans="1:8" x14ac:dyDescent="0.35">
      <c r="A38" s="84" t="s">
        <v>733</v>
      </c>
      <c r="B38" s="84" t="s">
        <v>734</v>
      </c>
      <c r="C38" s="85" t="s">
        <v>683</v>
      </c>
      <c r="D38" s="86" t="s">
        <v>697</v>
      </c>
      <c r="E38" s="87">
        <v>35903</v>
      </c>
      <c r="F38" s="88" t="s">
        <v>689</v>
      </c>
      <c r="G38" s="89">
        <v>68520</v>
      </c>
      <c r="H38" s="85">
        <v>5</v>
      </c>
    </row>
    <row r="39" spans="1:8" x14ac:dyDescent="0.35">
      <c r="A39" s="84" t="s">
        <v>733</v>
      </c>
      <c r="B39" s="84" t="s">
        <v>735</v>
      </c>
      <c r="C39" s="85" t="s">
        <v>85</v>
      </c>
      <c r="D39" s="86" t="s">
        <v>688</v>
      </c>
      <c r="E39" s="87">
        <v>33290</v>
      </c>
      <c r="F39" s="88" t="s">
        <v>693</v>
      </c>
      <c r="G39" s="89">
        <v>26795</v>
      </c>
      <c r="H39" s="85">
        <v>4</v>
      </c>
    </row>
    <row r="40" spans="1:8" x14ac:dyDescent="0.35">
      <c r="A40" s="84" t="s">
        <v>733</v>
      </c>
      <c r="B40" s="84" t="s">
        <v>736</v>
      </c>
      <c r="C40" s="85" t="s">
        <v>72</v>
      </c>
      <c r="D40" s="86" t="s">
        <v>697</v>
      </c>
      <c r="E40" s="87">
        <v>38733</v>
      </c>
      <c r="F40" s="88" t="s">
        <v>713</v>
      </c>
      <c r="G40" s="89">
        <v>68710</v>
      </c>
      <c r="H40" s="85">
        <v>4</v>
      </c>
    </row>
    <row r="41" spans="1:8" x14ac:dyDescent="0.35">
      <c r="A41" s="84" t="s">
        <v>733</v>
      </c>
      <c r="B41" s="84" t="s">
        <v>737</v>
      </c>
      <c r="C41" s="85" t="s">
        <v>59</v>
      </c>
      <c r="D41" s="86" t="s">
        <v>684</v>
      </c>
      <c r="E41" s="87">
        <v>35921</v>
      </c>
      <c r="F41" s="88"/>
      <c r="G41" s="89">
        <v>63330</v>
      </c>
      <c r="H41" s="85">
        <v>4</v>
      </c>
    </row>
    <row r="42" spans="1:8" x14ac:dyDescent="0.35">
      <c r="A42" s="84" t="s">
        <v>733</v>
      </c>
      <c r="B42" s="84" t="s">
        <v>738</v>
      </c>
      <c r="C42" s="85" t="s">
        <v>85</v>
      </c>
      <c r="D42" s="86" t="s">
        <v>697</v>
      </c>
      <c r="E42" s="87">
        <v>37495</v>
      </c>
      <c r="F42" s="88" t="s">
        <v>713</v>
      </c>
      <c r="G42" s="89">
        <v>60300</v>
      </c>
      <c r="H42" s="85">
        <v>2</v>
      </c>
    </row>
    <row r="43" spans="1:8" x14ac:dyDescent="0.35">
      <c r="A43" s="84" t="s">
        <v>733</v>
      </c>
      <c r="B43" s="84" t="s">
        <v>739</v>
      </c>
      <c r="C43" s="85" t="s">
        <v>699</v>
      </c>
      <c r="D43" s="86" t="s">
        <v>705</v>
      </c>
      <c r="E43" s="87">
        <v>36067</v>
      </c>
      <c r="F43" s="88"/>
      <c r="G43" s="89">
        <v>37612</v>
      </c>
      <c r="H43" s="85">
        <v>4</v>
      </c>
    </row>
    <row r="44" spans="1:8" x14ac:dyDescent="0.35">
      <c r="A44" s="84" t="s">
        <v>733</v>
      </c>
      <c r="B44" s="84" t="s">
        <v>740</v>
      </c>
      <c r="C44" s="85" t="s">
        <v>683</v>
      </c>
      <c r="D44" s="86" t="s">
        <v>697</v>
      </c>
      <c r="E44" s="87">
        <v>35311</v>
      </c>
      <c r="F44" s="88" t="s">
        <v>707</v>
      </c>
      <c r="G44" s="89">
        <v>39520</v>
      </c>
      <c r="H44" s="85">
        <v>5</v>
      </c>
    </row>
    <row r="45" spans="1:8" x14ac:dyDescent="0.35">
      <c r="A45" s="84" t="s">
        <v>733</v>
      </c>
      <c r="B45" s="84" t="s">
        <v>741</v>
      </c>
      <c r="C45" s="85" t="s">
        <v>699</v>
      </c>
      <c r="D45" s="86" t="s">
        <v>705</v>
      </c>
      <c r="E45" s="87">
        <v>34345</v>
      </c>
      <c r="F45" s="88"/>
      <c r="G45" s="89">
        <v>36788</v>
      </c>
      <c r="H45" s="85">
        <v>4</v>
      </c>
    </row>
    <row r="46" spans="1:8" x14ac:dyDescent="0.35">
      <c r="A46" s="84" t="s">
        <v>733</v>
      </c>
      <c r="B46" s="84" t="s">
        <v>742</v>
      </c>
      <c r="C46" s="85" t="s">
        <v>72</v>
      </c>
      <c r="D46" s="86" t="s">
        <v>705</v>
      </c>
      <c r="E46" s="87">
        <v>35381</v>
      </c>
      <c r="F46" s="88"/>
      <c r="G46" s="89">
        <v>35312</v>
      </c>
      <c r="H46" s="85">
        <v>3</v>
      </c>
    </row>
    <row r="47" spans="1:8" x14ac:dyDescent="0.35">
      <c r="A47" s="84" t="s">
        <v>733</v>
      </c>
      <c r="B47" s="84" t="s">
        <v>743</v>
      </c>
      <c r="C47" s="85" t="s">
        <v>59</v>
      </c>
      <c r="D47" s="86" t="s">
        <v>697</v>
      </c>
      <c r="E47" s="87">
        <v>40624</v>
      </c>
      <c r="F47" s="88" t="s">
        <v>713</v>
      </c>
      <c r="G47" s="89">
        <v>86500</v>
      </c>
      <c r="H47" s="85">
        <v>1</v>
      </c>
    </row>
    <row r="48" spans="1:8" x14ac:dyDescent="0.35">
      <c r="A48" s="84" t="s">
        <v>733</v>
      </c>
      <c r="B48" s="84" t="s">
        <v>744</v>
      </c>
      <c r="C48" s="85" t="s">
        <v>699</v>
      </c>
      <c r="D48" s="86" t="s">
        <v>684</v>
      </c>
      <c r="E48" s="87">
        <v>36038</v>
      </c>
      <c r="F48" s="88"/>
      <c r="G48" s="89">
        <v>30340</v>
      </c>
      <c r="H48" s="85">
        <v>3</v>
      </c>
    </row>
    <row r="49" spans="1:8" x14ac:dyDescent="0.35">
      <c r="A49" s="84" t="s">
        <v>733</v>
      </c>
      <c r="B49" s="84" t="s">
        <v>745</v>
      </c>
      <c r="C49" s="85" t="s">
        <v>699</v>
      </c>
      <c r="D49" s="86" t="s">
        <v>684</v>
      </c>
      <c r="E49" s="87">
        <v>36455</v>
      </c>
      <c r="F49" s="88"/>
      <c r="G49" s="89">
        <v>23810</v>
      </c>
      <c r="H49" s="85">
        <v>4</v>
      </c>
    </row>
    <row r="50" spans="1:8" x14ac:dyDescent="0.35">
      <c r="A50" s="84" t="s">
        <v>733</v>
      </c>
      <c r="B50" s="84" t="s">
        <v>746</v>
      </c>
      <c r="C50" s="85" t="s">
        <v>699</v>
      </c>
      <c r="D50" s="86" t="s">
        <v>697</v>
      </c>
      <c r="E50" s="87">
        <v>34483</v>
      </c>
      <c r="F50" s="88" t="s">
        <v>689</v>
      </c>
      <c r="G50" s="89">
        <v>81010</v>
      </c>
      <c r="H50" s="85">
        <v>4</v>
      </c>
    </row>
    <row r="51" spans="1:8" x14ac:dyDescent="0.35">
      <c r="A51" s="84" t="s">
        <v>733</v>
      </c>
      <c r="B51" s="84" t="s">
        <v>747</v>
      </c>
      <c r="C51" s="85" t="s">
        <v>59</v>
      </c>
      <c r="D51" s="86" t="s">
        <v>684</v>
      </c>
      <c r="E51" s="87">
        <v>34053</v>
      </c>
      <c r="F51" s="88"/>
      <c r="G51" s="89">
        <v>79220</v>
      </c>
      <c r="H51" s="85">
        <v>4</v>
      </c>
    </row>
    <row r="52" spans="1:8" x14ac:dyDescent="0.35">
      <c r="A52" s="84" t="s">
        <v>733</v>
      </c>
      <c r="B52" s="84" t="s">
        <v>748</v>
      </c>
      <c r="C52" s="85" t="s">
        <v>85</v>
      </c>
      <c r="D52" s="86" t="s">
        <v>684</v>
      </c>
      <c r="E52" s="87">
        <v>36977</v>
      </c>
      <c r="F52" s="88"/>
      <c r="G52" s="89">
        <v>68510</v>
      </c>
      <c r="H52" s="85">
        <v>5</v>
      </c>
    </row>
    <row r="53" spans="1:8" x14ac:dyDescent="0.35">
      <c r="A53" s="84" t="s">
        <v>733</v>
      </c>
      <c r="B53" s="84" t="s">
        <v>749</v>
      </c>
      <c r="C53" s="85" t="s">
        <v>750</v>
      </c>
      <c r="D53" s="86" t="s">
        <v>697</v>
      </c>
      <c r="E53" s="87">
        <v>34702</v>
      </c>
      <c r="F53" s="88" t="s">
        <v>689</v>
      </c>
      <c r="G53" s="89">
        <v>87030</v>
      </c>
      <c r="H53" s="85">
        <v>3</v>
      </c>
    </row>
    <row r="54" spans="1:8" x14ac:dyDescent="0.35">
      <c r="A54" s="84" t="s">
        <v>733</v>
      </c>
      <c r="B54" s="84" t="s">
        <v>751</v>
      </c>
      <c r="C54" s="85" t="s">
        <v>699</v>
      </c>
      <c r="D54" s="86" t="s">
        <v>688</v>
      </c>
      <c r="E54" s="90">
        <v>40421</v>
      </c>
      <c r="F54" s="88" t="s">
        <v>693</v>
      </c>
      <c r="G54" s="89">
        <v>49355</v>
      </c>
      <c r="H54" s="85">
        <v>5</v>
      </c>
    </row>
    <row r="55" spans="1:8" x14ac:dyDescent="0.35">
      <c r="A55" s="84" t="s">
        <v>733</v>
      </c>
      <c r="B55" s="84" t="s">
        <v>752</v>
      </c>
      <c r="C55" s="85" t="s">
        <v>59</v>
      </c>
      <c r="D55" s="86" t="s">
        <v>697</v>
      </c>
      <c r="E55" s="87">
        <v>36407</v>
      </c>
      <c r="F55" s="88" t="s">
        <v>693</v>
      </c>
      <c r="G55" s="89">
        <v>45880</v>
      </c>
      <c r="H55" s="85">
        <v>5</v>
      </c>
    </row>
    <row r="56" spans="1:8" x14ac:dyDescent="0.35">
      <c r="A56" s="84" t="s">
        <v>733</v>
      </c>
      <c r="B56" s="84" t="s">
        <v>753</v>
      </c>
      <c r="C56" s="85" t="s">
        <v>750</v>
      </c>
      <c r="D56" s="86" t="s">
        <v>705</v>
      </c>
      <c r="E56" s="87">
        <v>33305</v>
      </c>
      <c r="F56" s="88"/>
      <c r="G56" s="89">
        <v>36844</v>
      </c>
      <c r="H56" s="85">
        <v>4</v>
      </c>
    </row>
    <row r="57" spans="1:8" x14ac:dyDescent="0.35">
      <c r="A57" s="84" t="s">
        <v>733</v>
      </c>
      <c r="B57" s="84" t="s">
        <v>754</v>
      </c>
      <c r="C57" s="85" t="s">
        <v>59</v>
      </c>
      <c r="D57" s="86" t="s">
        <v>705</v>
      </c>
      <c r="E57" s="87">
        <v>35982</v>
      </c>
      <c r="F57" s="88"/>
      <c r="G57" s="89">
        <v>8904</v>
      </c>
      <c r="H57" s="85">
        <v>3</v>
      </c>
    </row>
    <row r="58" spans="1:8" x14ac:dyDescent="0.35">
      <c r="A58" s="84" t="s">
        <v>733</v>
      </c>
      <c r="B58" s="84" t="s">
        <v>755</v>
      </c>
      <c r="C58" s="85" t="s">
        <v>59</v>
      </c>
      <c r="D58" s="86" t="s">
        <v>697</v>
      </c>
      <c r="E58" s="87">
        <v>39171</v>
      </c>
      <c r="F58" s="88" t="s">
        <v>707</v>
      </c>
      <c r="G58" s="89">
        <v>25690</v>
      </c>
      <c r="H58" s="85">
        <v>2</v>
      </c>
    </row>
    <row r="59" spans="1:8" x14ac:dyDescent="0.35">
      <c r="A59" s="84" t="s">
        <v>733</v>
      </c>
      <c r="B59" s="84" t="s">
        <v>756</v>
      </c>
      <c r="C59" s="85" t="s">
        <v>72</v>
      </c>
      <c r="D59" s="86" t="s">
        <v>697</v>
      </c>
      <c r="E59" s="87">
        <v>33923</v>
      </c>
      <c r="F59" s="88" t="s">
        <v>691</v>
      </c>
      <c r="G59" s="89">
        <v>46340</v>
      </c>
      <c r="H59" s="85">
        <v>5</v>
      </c>
    </row>
    <row r="60" spans="1:8" x14ac:dyDescent="0.35">
      <c r="A60" s="84" t="s">
        <v>733</v>
      </c>
      <c r="B60" s="84" t="s">
        <v>757</v>
      </c>
      <c r="C60" s="85" t="s">
        <v>59</v>
      </c>
      <c r="D60" s="86" t="s">
        <v>697</v>
      </c>
      <c r="E60" s="87">
        <v>34996</v>
      </c>
      <c r="F60" s="88" t="s">
        <v>689</v>
      </c>
      <c r="G60" s="89">
        <v>67890</v>
      </c>
      <c r="H60" s="85">
        <v>5</v>
      </c>
    </row>
    <row r="61" spans="1:8" x14ac:dyDescent="0.35">
      <c r="A61" s="84" t="s">
        <v>733</v>
      </c>
      <c r="B61" s="84" t="s">
        <v>758</v>
      </c>
      <c r="C61" s="85" t="s">
        <v>72</v>
      </c>
      <c r="D61" s="86" t="s">
        <v>684</v>
      </c>
      <c r="E61" s="87">
        <v>34478</v>
      </c>
      <c r="F61" s="88"/>
      <c r="G61" s="89">
        <v>56650</v>
      </c>
      <c r="H61" s="85">
        <v>1</v>
      </c>
    </row>
    <row r="62" spans="1:8" x14ac:dyDescent="0.35">
      <c r="A62" s="84" t="s">
        <v>733</v>
      </c>
      <c r="B62" s="84" t="s">
        <v>759</v>
      </c>
      <c r="C62" s="85" t="s">
        <v>59</v>
      </c>
      <c r="D62" s="86" t="s">
        <v>705</v>
      </c>
      <c r="E62" s="87">
        <v>36263</v>
      </c>
      <c r="F62" s="88"/>
      <c r="G62" s="89">
        <v>38768</v>
      </c>
      <c r="H62" s="85">
        <v>4</v>
      </c>
    </row>
    <row r="63" spans="1:8" x14ac:dyDescent="0.35">
      <c r="A63" s="84" t="s">
        <v>733</v>
      </c>
      <c r="B63" s="84" t="s">
        <v>760</v>
      </c>
      <c r="C63" s="85" t="s">
        <v>750</v>
      </c>
      <c r="D63" s="86" t="s">
        <v>684</v>
      </c>
      <c r="E63" s="87">
        <v>40523</v>
      </c>
      <c r="F63" s="88"/>
      <c r="G63" s="89">
        <v>46570</v>
      </c>
      <c r="H63" s="85">
        <v>4</v>
      </c>
    </row>
    <row r="64" spans="1:8" x14ac:dyDescent="0.35">
      <c r="A64" s="84" t="s">
        <v>733</v>
      </c>
      <c r="B64" s="84" t="s">
        <v>761</v>
      </c>
      <c r="C64" s="85" t="s">
        <v>85</v>
      </c>
      <c r="D64" s="86" t="s">
        <v>697</v>
      </c>
      <c r="E64" s="87">
        <v>38809</v>
      </c>
      <c r="F64" s="88" t="s">
        <v>693</v>
      </c>
      <c r="G64" s="89">
        <v>76584</v>
      </c>
      <c r="H64" s="85">
        <v>1</v>
      </c>
    </row>
    <row r="65" spans="1:8" x14ac:dyDescent="0.35">
      <c r="A65" s="84" t="s">
        <v>733</v>
      </c>
      <c r="B65" s="84" t="s">
        <v>762</v>
      </c>
      <c r="C65" s="85" t="s">
        <v>85</v>
      </c>
      <c r="D65" s="86" t="s">
        <v>705</v>
      </c>
      <c r="E65" s="87">
        <v>35034</v>
      </c>
      <c r="F65" s="88"/>
      <c r="G65" s="89">
        <v>23692</v>
      </c>
      <c r="H65" s="85">
        <v>4</v>
      </c>
    </row>
    <row r="66" spans="1:8" x14ac:dyDescent="0.35">
      <c r="A66" s="84" t="s">
        <v>733</v>
      </c>
      <c r="B66" s="84" t="s">
        <v>763</v>
      </c>
      <c r="C66" s="85" t="s">
        <v>85</v>
      </c>
      <c r="D66" s="86" t="s">
        <v>697</v>
      </c>
      <c r="E66" s="87">
        <v>33536</v>
      </c>
      <c r="F66" s="88" t="s">
        <v>689</v>
      </c>
      <c r="G66" s="89">
        <v>81530</v>
      </c>
      <c r="H66" s="85">
        <v>5</v>
      </c>
    </row>
    <row r="67" spans="1:8" x14ac:dyDescent="0.35">
      <c r="A67" s="84" t="s">
        <v>733</v>
      </c>
      <c r="B67" s="84" t="s">
        <v>764</v>
      </c>
      <c r="C67" s="85" t="s">
        <v>750</v>
      </c>
      <c r="D67" s="86" t="s">
        <v>684</v>
      </c>
      <c r="E67" s="87">
        <v>35160</v>
      </c>
      <c r="F67" s="88"/>
      <c r="G67" s="89">
        <v>50550</v>
      </c>
      <c r="H67" s="85">
        <v>2</v>
      </c>
    </row>
    <row r="68" spans="1:8" x14ac:dyDescent="0.35">
      <c r="A68" s="84" t="s">
        <v>733</v>
      </c>
      <c r="B68" s="84" t="s">
        <v>765</v>
      </c>
      <c r="C68" s="85" t="s">
        <v>85</v>
      </c>
      <c r="D68" s="86" t="s">
        <v>684</v>
      </c>
      <c r="E68" s="87">
        <v>37236</v>
      </c>
      <c r="F68" s="88"/>
      <c r="G68" s="89">
        <v>29540</v>
      </c>
      <c r="H68" s="85">
        <v>3</v>
      </c>
    </row>
    <row r="69" spans="1:8" x14ac:dyDescent="0.35">
      <c r="A69" s="84" t="s">
        <v>733</v>
      </c>
      <c r="B69" s="84" t="s">
        <v>766</v>
      </c>
      <c r="C69" s="85" t="s">
        <v>85</v>
      </c>
      <c r="D69" s="86" t="s">
        <v>684</v>
      </c>
      <c r="E69" s="87">
        <v>33638</v>
      </c>
      <c r="F69" s="88"/>
      <c r="G69" s="89">
        <v>47590</v>
      </c>
      <c r="H69" s="85">
        <v>3</v>
      </c>
    </row>
    <row r="70" spans="1:8" x14ac:dyDescent="0.35">
      <c r="A70" s="84" t="s">
        <v>733</v>
      </c>
      <c r="B70" s="84" t="s">
        <v>767</v>
      </c>
      <c r="C70" s="85" t="s">
        <v>85</v>
      </c>
      <c r="D70" s="86" t="s">
        <v>697</v>
      </c>
      <c r="E70" s="87">
        <v>35616</v>
      </c>
      <c r="F70" s="88" t="s">
        <v>691</v>
      </c>
      <c r="G70" s="89">
        <v>34060</v>
      </c>
      <c r="H70" s="85">
        <v>2</v>
      </c>
    </row>
    <row r="71" spans="1:8" x14ac:dyDescent="0.35">
      <c r="A71" s="84" t="s">
        <v>733</v>
      </c>
      <c r="B71" s="84" t="s">
        <v>768</v>
      </c>
      <c r="C71" s="85" t="s">
        <v>59</v>
      </c>
      <c r="D71" s="86" t="s">
        <v>705</v>
      </c>
      <c r="E71" s="87">
        <v>35247</v>
      </c>
      <c r="F71" s="88"/>
      <c r="G71" s="89">
        <v>33752</v>
      </c>
      <c r="H71" s="85">
        <v>3</v>
      </c>
    </row>
    <row r="72" spans="1:8" x14ac:dyDescent="0.35">
      <c r="A72" s="84" t="s">
        <v>733</v>
      </c>
      <c r="B72" s="84" t="s">
        <v>769</v>
      </c>
      <c r="C72" s="85" t="s">
        <v>699</v>
      </c>
      <c r="D72" s="86" t="s">
        <v>697</v>
      </c>
      <c r="E72" s="87">
        <v>33440</v>
      </c>
      <c r="F72" s="88" t="s">
        <v>689</v>
      </c>
      <c r="G72" s="89">
        <v>69400</v>
      </c>
      <c r="H72" s="85">
        <v>5</v>
      </c>
    </row>
    <row r="73" spans="1:8" x14ac:dyDescent="0.35">
      <c r="A73" s="84" t="s">
        <v>733</v>
      </c>
      <c r="B73" s="84" t="s">
        <v>770</v>
      </c>
      <c r="C73" s="85" t="s">
        <v>59</v>
      </c>
      <c r="D73" s="86" t="s">
        <v>688</v>
      </c>
      <c r="E73" s="87">
        <v>35826</v>
      </c>
      <c r="F73" s="88" t="s">
        <v>689</v>
      </c>
      <c r="G73" s="89">
        <v>31205</v>
      </c>
      <c r="H73" s="85">
        <v>2</v>
      </c>
    </row>
    <row r="74" spans="1:8" x14ac:dyDescent="0.35">
      <c r="A74" s="84" t="s">
        <v>733</v>
      </c>
      <c r="B74" s="84" t="s">
        <v>771</v>
      </c>
      <c r="C74" s="85" t="s">
        <v>59</v>
      </c>
      <c r="D74" s="86" t="s">
        <v>684</v>
      </c>
      <c r="E74" s="87">
        <v>34161</v>
      </c>
      <c r="F74" s="88"/>
      <c r="G74" s="89">
        <v>64090</v>
      </c>
      <c r="H74" s="85">
        <v>2</v>
      </c>
    </row>
    <row r="75" spans="1:8" x14ac:dyDescent="0.35">
      <c r="A75" s="84" t="s">
        <v>733</v>
      </c>
      <c r="B75" s="84" t="s">
        <v>772</v>
      </c>
      <c r="C75" s="85" t="s">
        <v>59</v>
      </c>
      <c r="D75" s="86" t="s">
        <v>688</v>
      </c>
      <c r="E75" s="87">
        <v>38173</v>
      </c>
      <c r="F75" s="88" t="s">
        <v>691</v>
      </c>
      <c r="G75" s="89">
        <v>32900</v>
      </c>
      <c r="H75" s="85">
        <v>2</v>
      </c>
    </row>
    <row r="76" spans="1:8" x14ac:dyDescent="0.35">
      <c r="A76" s="84" t="s">
        <v>733</v>
      </c>
      <c r="B76" s="84" t="s">
        <v>773</v>
      </c>
      <c r="C76" s="85" t="s">
        <v>699</v>
      </c>
      <c r="D76" s="86" t="s">
        <v>684</v>
      </c>
      <c r="E76" s="87">
        <v>35119</v>
      </c>
      <c r="F76" s="88"/>
      <c r="G76" s="89">
        <v>64390</v>
      </c>
      <c r="H76" s="85">
        <v>2</v>
      </c>
    </row>
    <row r="77" spans="1:8" x14ac:dyDescent="0.35">
      <c r="A77" s="84" t="s">
        <v>733</v>
      </c>
      <c r="B77" s="84" t="s">
        <v>774</v>
      </c>
      <c r="C77" s="85" t="s">
        <v>699</v>
      </c>
      <c r="D77" s="86" t="s">
        <v>688</v>
      </c>
      <c r="E77" s="87">
        <v>37249</v>
      </c>
      <c r="F77" s="88" t="s">
        <v>713</v>
      </c>
      <c r="G77" s="89">
        <v>12545</v>
      </c>
      <c r="H77" s="85">
        <v>4</v>
      </c>
    </row>
    <row r="78" spans="1:8" x14ac:dyDescent="0.35">
      <c r="A78" s="84" t="s">
        <v>733</v>
      </c>
      <c r="B78" s="84" t="s">
        <v>775</v>
      </c>
      <c r="C78" s="85" t="s">
        <v>59</v>
      </c>
      <c r="D78" s="86" t="s">
        <v>684</v>
      </c>
      <c r="E78" s="87">
        <v>36176</v>
      </c>
      <c r="F78" s="88"/>
      <c r="G78" s="89">
        <v>32940</v>
      </c>
      <c r="H78" s="85">
        <v>5</v>
      </c>
    </row>
    <row r="79" spans="1:8" x14ac:dyDescent="0.35">
      <c r="A79" s="84" t="s">
        <v>733</v>
      </c>
      <c r="B79" s="84" t="s">
        <v>776</v>
      </c>
      <c r="C79" s="85" t="s">
        <v>683</v>
      </c>
      <c r="D79" s="86" t="s">
        <v>688</v>
      </c>
      <c r="E79" s="87">
        <v>36365</v>
      </c>
      <c r="F79" s="88" t="s">
        <v>707</v>
      </c>
      <c r="G79" s="89">
        <v>19825</v>
      </c>
      <c r="H79" s="85">
        <v>2</v>
      </c>
    </row>
    <row r="80" spans="1:8" x14ac:dyDescent="0.35">
      <c r="A80" s="84" t="s">
        <v>733</v>
      </c>
      <c r="B80" s="84" t="s">
        <v>777</v>
      </c>
      <c r="C80" s="85" t="s">
        <v>683</v>
      </c>
      <c r="D80" s="86" t="s">
        <v>688</v>
      </c>
      <c r="E80" s="87">
        <v>35688</v>
      </c>
      <c r="F80" s="88" t="s">
        <v>691</v>
      </c>
      <c r="G80" s="89">
        <v>42740</v>
      </c>
      <c r="H80" s="85">
        <v>2</v>
      </c>
    </row>
    <row r="81" spans="1:8" x14ac:dyDescent="0.35">
      <c r="A81" s="84" t="s">
        <v>733</v>
      </c>
      <c r="B81" s="84" t="s">
        <v>778</v>
      </c>
      <c r="C81" s="85" t="s">
        <v>85</v>
      </c>
      <c r="D81" s="86" t="s">
        <v>697</v>
      </c>
      <c r="E81" s="87">
        <v>38328</v>
      </c>
      <c r="F81" s="88" t="s">
        <v>693</v>
      </c>
      <c r="G81" s="89">
        <v>48280</v>
      </c>
      <c r="H81" s="85">
        <v>4</v>
      </c>
    </row>
    <row r="82" spans="1:8" x14ac:dyDescent="0.35">
      <c r="A82" s="84" t="s">
        <v>733</v>
      </c>
      <c r="B82" s="84" t="s">
        <v>779</v>
      </c>
      <c r="C82" s="85" t="s">
        <v>85</v>
      </c>
      <c r="D82" s="86" t="s">
        <v>697</v>
      </c>
      <c r="E82" s="87">
        <v>33978</v>
      </c>
      <c r="F82" s="88" t="s">
        <v>691</v>
      </c>
      <c r="G82" s="89">
        <v>46410</v>
      </c>
      <c r="H82" s="85">
        <v>2</v>
      </c>
    </row>
    <row r="83" spans="1:8" x14ac:dyDescent="0.35">
      <c r="A83" s="84" t="s">
        <v>733</v>
      </c>
      <c r="B83" s="84" t="s">
        <v>780</v>
      </c>
      <c r="C83" s="85" t="s">
        <v>85</v>
      </c>
      <c r="D83" s="86" t="s">
        <v>684</v>
      </c>
      <c r="E83" s="87">
        <v>35146</v>
      </c>
      <c r="F83" s="88"/>
      <c r="G83" s="89">
        <v>73190</v>
      </c>
      <c r="H83" s="85">
        <v>1</v>
      </c>
    </row>
    <row r="84" spans="1:8" x14ac:dyDescent="0.35">
      <c r="A84" s="84" t="s">
        <v>733</v>
      </c>
      <c r="B84" s="84" t="s">
        <v>781</v>
      </c>
      <c r="C84" s="85" t="s">
        <v>59</v>
      </c>
      <c r="D84" s="86" t="s">
        <v>697</v>
      </c>
      <c r="E84" s="87">
        <v>35821</v>
      </c>
      <c r="F84" s="88" t="s">
        <v>707</v>
      </c>
      <c r="G84" s="89">
        <v>22870</v>
      </c>
      <c r="H84" s="85">
        <v>3</v>
      </c>
    </row>
    <row r="85" spans="1:8" x14ac:dyDescent="0.35">
      <c r="A85" s="84" t="s">
        <v>733</v>
      </c>
      <c r="B85" s="84" t="s">
        <v>782</v>
      </c>
      <c r="C85" s="85" t="s">
        <v>699</v>
      </c>
      <c r="D85" s="86" t="s">
        <v>697</v>
      </c>
      <c r="E85" s="87">
        <v>36360</v>
      </c>
      <c r="F85" s="88" t="s">
        <v>691</v>
      </c>
      <c r="G85" s="89">
        <v>67020</v>
      </c>
      <c r="H85" s="85">
        <v>1</v>
      </c>
    </row>
    <row r="86" spans="1:8" x14ac:dyDescent="0.35">
      <c r="A86" s="84" t="s">
        <v>733</v>
      </c>
      <c r="B86" s="84" t="s">
        <v>783</v>
      </c>
      <c r="C86" s="85" t="s">
        <v>85</v>
      </c>
      <c r="D86" s="86" t="s">
        <v>688</v>
      </c>
      <c r="E86" s="87">
        <v>36423</v>
      </c>
      <c r="F86" s="88" t="s">
        <v>713</v>
      </c>
      <c r="G86" s="89">
        <v>47350</v>
      </c>
      <c r="H86" s="85">
        <v>1</v>
      </c>
    </row>
    <row r="87" spans="1:8" x14ac:dyDescent="0.35">
      <c r="A87" s="84" t="s">
        <v>733</v>
      </c>
      <c r="B87" s="84" t="s">
        <v>784</v>
      </c>
      <c r="C87" s="85" t="s">
        <v>59</v>
      </c>
      <c r="D87" s="86" t="s">
        <v>705</v>
      </c>
      <c r="E87" s="87">
        <v>40126</v>
      </c>
      <c r="F87" s="88"/>
      <c r="G87" s="89">
        <v>10636</v>
      </c>
      <c r="H87" s="85">
        <v>4</v>
      </c>
    </row>
    <row r="88" spans="1:8" x14ac:dyDescent="0.35">
      <c r="A88" s="84" t="s">
        <v>733</v>
      </c>
      <c r="B88" s="84" t="s">
        <v>785</v>
      </c>
      <c r="C88" s="85" t="s">
        <v>59</v>
      </c>
      <c r="D88" s="86" t="s">
        <v>697</v>
      </c>
      <c r="E88" s="87">
        <v>39657</v>
      </c>
      <c r="F88" s="88" t="s">
        <v>713</v>
      </c>
      <c r="G88" s="89">
        <v>80880</v>
      </c>
      <c r="H88" s="85">
        <v>1</v>
      </c>
    </row>
    <row r="89" spans="1:8" x14ac:dyDescent="0.35">
      <c r="A89" s="84" t="s">
        <v>733</v>
      </c>
      <c r="B89" s="84" t="s">
        <v>786</v>
      </c>
      <c r="C89" s="85" t="s">
        <v>85</v>
      </c>
      <c r="D89" s="86" t="s">
        <v>697</v>
      </c>
      <c r="E89" s="87">
        <v>38146</v>
      </c>
      <c r="F89" s="88" t="s">
        <v>689</v>
      </c>
      <c r="G89" s="89">
        <v>47340</v>
      </c>
      <c r="H89" s="85">
        <v>2</v>
      </c>
    </row>
    <row r="90" spans="1:8" x14ac:dyDescent="0.35">
      <c r="A90" s="84" t="s">
        <v>733</v>
      </c>
      <c r="B90" s="84" t="s">
        <v>787</v>
      </c>
      <c r="C90" s="85" t="s">
        <v>683</v>
      </c>
      <c r="D90" s="86" t="s">
        <v>697</v>
      </c>
      <c r="E90" s="87">
        <v>35451</v>
      </c>
      <c r="F90" s="88" t="s">
        <v>713</v>
      </c>
      <c r="G90" s="89">
        <v>62965</v>
      </c>
      <c r="H90" s="85">
        <v>1</v>
      </c>
    </row>
    <row r="91" spans="1:8" x14ac:dyDescent="0.35">
      <c r="A91" s="84" t="s">
        <v>733</v>
      </c>
      <c r="B91" s="84" t="s">
        <v>788</v>
      </c>
      <c r="C91" s="85" t="s">
        <v>699</v>
      </c>
      <c r="D91" s="86" t="s">
        <v>697</v>
      </c>
      <c r="E91" s="87">
        <v>34971</v>
      </c>
      <c r="F91" s="88" t="s">
        <v>691</v>
      </c>
      <c r="G91" s="89">
        <v>67050</v>
      </c>
      <c r="H91" s="85">
        <v>4</v>
      </c>
    </row>
    <row r="92" spans="1:8" x14ac:dyDescent="0.35">
      <c r="A92" s="84" t="s">
        <v>733</v>
      </c>
      <c r="B92" s="84" t="s">
        <v>789</v>
      </c>
      <c r="C92" s="85" t="s">
        <v>59</v>
      </c>
      <c r="D92" s="86" t="s">
        <v>684</v>
      </c>
      <c r="E92" s="87">
        <v>34408</v>
      </c>
      <c r="F92" s="88"/>
      <c r="G92" s="89">
        <v>71700</v>
      </c>
      <c r="H92" s="85">
        <v>2</v>
      </c>
    </row>
    <row r="93" spans="1:8" x14ac:dyDescent="0.35">
      <c r="A93" s="84" t="s">
        <v>733</v>
      </c>
      <c r="B93" s="84" t="s">
        <v>790</v>
      </c>
      <c r="C93" s="85" t="s">
        <v>750</v>
      </c>
      <c r="D93" s="86" t="s">
        <v>697</v>
      </c>
      <c r="E93" s="87">
        <v>38423</v>
      </c>
      <c r="F93" s="88" t="s">
        <v>713</v>
      </c>
      <c r="G93" s="89">
        <v>61330</v>
      </c>
      <c r="H93" s="85">
        <v>2</v>
      </c>
    </row>
    <row r="94" spans="1:8" x14ac:dyDescent="0.35">
      <c r="A94" s="84" t="s">
        <v>733</v>
      </c>
      <c r="B94" s="84" t="s">
        <v>791</v>
      </c>
      <c r="C94" s="85" t="s">
        <v>699</v>
      </c>
      <c r="D94" s="86" t="s">
        <v>697</v>
      </c>
      <c r="E94" s="87">
        <v>36136</v>
      </c>
      <c r="F94" s="88" t="s">
        <v>691</v>
      </c>
      <c r="G94" s="89">
        <v>45000</v>
      </c>
      <c r="H94" s="85">
        <v>4</v>
      </c>
    </row>
    <row r="95" spans="1:8" x14ac:dyDescent="0.35">
      <c r="A95" s="84" t="s">
        <v>733</v>
      </c>
      <c r="B95" s="84" t="s">
        <v>792</v>
      </c>
      <c r="C95" s="85" t="s">
        <v>59</v>
      </c>
      <c r="D95" s="86" t="s">
        <v>684</v>
      </c>
      <c r="E95" s="87">
        <v>39728</v>
      </c>
      <c r="F95" s="88"/>
      <c r="G95" s="89">
        <v>86040</v>
      </c>
      <c r="H95" s="85">
        <v>5</v>
      </c>
    </row>
    <row r="96" spans="1:8" x14ac:dyDescent="0.35">
      <c r="A96" s="84" t="s">
        <v>733</v>
      </c>
      <c r="B96" s="84" t="s">
        <v>793</v>
      </c>
      <c r="C96" s="85" t="s">
        <v>72</v>
      </c>
      <c r="D96" s="86" t="s">
        <v>684</v>
      </c>
      <c r="E96" s="87">
        <v>33949</v>
      </c>
      <c r="F96" s="88"/>
      <c r="G96" s="89">
        <v>81070</v>
      </c>
      <c r="H96" s="85">
        <v>5</v>
      </c>
    </row>
    <row r="97" spans="1:8" x14ac:dyDescent="0.35">
      <c r="A97" s="84" t="s">
        <v>794</v>
      </c>
      <c r="B97" s="84" t="s">
        <v>795</v>
      </c>
      <c r="C97" s="85" t="s">
        <v>59</v>
      </c>
      <c r="D97" s="86" t="s">
        <v>697</v>
      </c>
      <c r="E97" s="87">
        <v>39679</v>
      </c>
      <c r="F97" s="88" t="s">
        <v>689</v>
      </c>
      <c r="G97" s="89">
        <v>22820</v>
      </c>
      <c r="H97" s="85">
        <v>5</v>
      </c>
    </row>
    <row r="98" spans="1:8" x14ac:dyDescent="0.35">
      <c r="A98" s="84" t="s">
        <v>794</v>
      </c>
      <c r="B98" s="84" t="s">
        <v>796</v>
      </c>
      <c r="C98" s="85" t="s">
        <v>59</v>
      </c>
      <c r="D98" s="86" t="s">
        <v>705</v>
      </c>
      <c r="E98" s="87">
        <v>33620</v>
      </c>
      <c r="F98" s="88"/>
      <c r="G98" s="89">
        <v>14568</v>
      </c>
      <c r="H98" s="85">
        <v>3</v>
      </c>
    </row>
    <row r="99" spans="1:8" x14ac:dyDescent="0.35">
      <c r="A99" s="84" t="s">
        <v>794</v>
      </c>
      <c r="B99" s="84" t="s">
        <v>797</v>
      </c>
      <c r="C99" s="85" t="s">
        <v>59</v>
      </c>
      <c r="D99" s="86" t="s">
        <v>697</v>
      </c>
      <c r="E99" s="87">
        <v>33098</v>
      </c>
      <c r="F99" s="88" t="s">
        <v>689</v>
      </c>
      <c r="G99" s="89">
        <v>48080</v>
      </c>
      <c r="H99" s="85">
        <v>2</v>
      </c>
    </row>
    <row r="100" spans="1:8" x14ac:dyDescent="0.35">
      <c r="A100" s="84" t="s">
        <v>794</v>
      </c>
      <c r="B100" s="84" t="s">
        <v>798</v>
      </c>
      <c r="C100" s="85" t="s">
        <v>750</v>
      </c>
      <c r="D100" s="86" t="s">
        <v>688</v>
      </c>
      <c r="E100" s="87">
        <v>35343</v>
      </c>
      <c r="F100" s="88" t="s">
        <v>689</v>
      </c>
      <c r="G100" s="89">
        <v>46645</v>
      </c>
      <c r="H100" s="85">
        <v>5</v>
      </c>
    </row>
    <row r="101" spans="1:8" x14ac:dyDescent="0.35">
      <c r="A101" s="84" t="s">
        <v>794</v>
      </c>
      <c r="B101" s="84" t="s">
        <v>799</v>
      </c>
      <c r="C101" s="85" t="s">
        <v>59</v>
      </c>
      <c r="D101" s="86" t="s">
        <v>697</v>
      </c>
      <c r="E101" s="87">
        <v>37568</v>
      </c>
      <c r="F101" s="88" t="s">
        <v>693</v>
      </c>
      <c r="G101" s="89">
        <v>45100</v>
      </c>
      <c r="H101" s="85">
        <v>2</v>
      </c>
    </row>
    <row r="102" spans="1:8" x14ac:dyDescent="0.35">
      <c r="A102" s="84" t="s">
        <v>794</v>
      </c>
      <c r="B102" s="84" t="s">
        <v>800</v>
      </c>
      <c r="C102" s="85" t="s">
        <v>85</v>
      </c>
      <c r="D102" s="86" t="s">
        <v>697</v>
      </c>
      <c r="E102" s="87">
        <v>38321</v>
      </c>
      <c r="F102" s="88" t="s">
        <v>693</v>
      </c>
      <c r="G102" s="89">
        <v>70760</v>
      </c>
      <c r="H102" s="85">
        <v>1</v>
      </c>
    </row>
    <row r="103" spans="1:8" x14ac:dyDescent="0.35">
      <c r="A103" s="84" t="s">
        <v>794</v>
      </c>
      <c r="B103" s="84" t="s">
        <v>801</v>
      </c>
      <c r="C103" s="85" t="s">
        <v>750</v>
      </c>
      <c r="D103" s="86" t="s">
        <v>684</v>
      </c>
      <c r="E103" s="87">
        <v>35185</v>
      </c>
      <c r="F103" s="88"/>
      <c r="G103" s="89">
        <v>24410</v>
      </c>
      <c r="H103" s="85">
        <v>3</v>
      </c>
    </row>
    <row r="104" spans="1:8" x14ac:dyDescent="0.35">
      <c r="A104" s="84" t="s">
        <v>794</v>
      </c>
      <c r="B104" s="84" t="s">
        <v>802</v>
      </c>
      <c r="C104" s="85" t="s">
        <v>699</v>
      </c>
      <c r="D104" s="86" t="s">
        <v>684</v>
      </c>
      <c r="E104" s="87">
        <v>38755</v>
      </c>
      <c r="F104" s="88"/>
      <c r="G104" s="89">
        <v>78860</v>
      </c>
      <c r="H104" s="85">
        <v>2</v>
      </c>
    </row>
    <row r="105" spans="1:8" x14ac:dyDescent="0.35">
      <c r="A105" s="84" t="s">
        <v>803</v>
      </c>
      <c r="B105" s="84" t="s">
        <v>804</v>
      </c>
      <c r="C105" s="85" t="s">
        <v>72</v>
      </c>
      <c r="D105" s="86" t="s">
        <v>705</v>
      </c>
      <c r="E105" s="87">
        <v>36380</v>
      </c>
      <c r="F105" s="88"/>
      <c r="G105" s="89">
        <v>36052</v>
      </c>
      <c r="H105" s="85">
        <v>5</v>
      </c>
    </row>
    <row r="106" spans="1:8" x14ac:dyDescent="0.35">
      <c r="A106" s="84" t="s">
        <v>803</v>
      </c>
      <c r="B106" s="84" t="s">
        <v>805</v>
      </c>
      <c r="C106" s="85" t="s">
        <v>699</v>
      </c>
      <c r="D106" s="86" t="s">
        <v>684</v>
      </c>
      <c r="E106" s="87">
        <v>34658</v>
      </c>
      <c r="F106" s="88"/>
      <c r="G106" s="89">
        <v>85980</v>
      </c>
      <c r="H106" s="85">
        <v>2</v>
      </c>
    </row>
    <row r="107" spans="1:8" x14ac:dyDescent="0.35">
      <c r="A107" s="84" t="s">
        <v>803</v>
      </c>
      <c r="B107" s="84" t="s">
        <v>806</v>
      </c>
      <c r="C107" s="85" t="s">
        <v>85</v>
      </c>
      <c r="D107" s="86" t="s">
        <v>684</v>
      </c>
      <c r="E107" s="87">
        <v>35301</v>
      </c>
      <c r="F107" s="88"/>
      <c r="G107" s="89">
        <v>60070</v>
      </c>
      <c r="H107" s="85">
        <v>2</v>
      </c>
    </row>
    <row r="108" spans="1:8" x14ac:dyDescent="0.35">
      <c r="A108" s="84" t="s">
        <v>803</v>
      </c>
      <c r="B108" s="84" t="s">
        <v>807</v>
      </c>
      <c r="C108" s="85" t="s">
        <v>85</v>
      </c>
      <c r="D108" s="86" t="s">
        <v>697</v>
      </c>
      <c r="E108" s="87">
        <v>37113</v>
      </c>
      <c r="F108" s="88" t="s">
        <v>707</v>
      </c>
      <c r="G108" s="89">
        <v>61150</v>
      </c>
      <c r="H108" s="85">
        <v>4</v>
      </c>
    </row>
    <row r="109" spans="1:8" x14ac:dyDescent="0.35">
      <c r="A109" s="84" t="s">
        <v>803</v>
      </c>
      <c r="B109" s="84" t="s">
        <v>808</v>
      </c>
      <c r="C109" s="85" t="s">
        <v>699</v>
      </c>
      <c r="D109" s="86" t="s">
        <v>697</v>
      </c>
      <c r="E109" s="87">
        <v>33246</v>
      </c>
      <c r="F109" s="88" t="s">
        <v>689</v>
      </c>
      <c r="G109" s="89">
        <v>71730</v>
      </c>
      <c r="H109" s="85">
        <v>1</v>
      </c>
    </row>
    <row r="110" spans="1:8" x14ac:dyDescent="0.35">
      <c r="A110" s="84" t="s">
        <v>803</v>
      </c>
      <c r="B110" s="84" t="s">
        <v>809</v>
      </c>
      <c r="C110" s="85" t="s">
        <v>699</v>
      </c>
      <c r="D110" s="86" t="s">
        <v>684</v>
      </c>
      <c r="E110" s="87">
        <v>36342</v>
      </c>
      <c r="F110" s="88"/>
      <c r="G110" s="89">
        <v>86970</v>
      </c>
      <c r="H110" s="85">
        <v>4</v>
      </c>
    </row>
    <row r="111" spans="1:8" x14ac:dyDescent="0.35">
      <c r="A111" s="84" t="s">
        <v>803</v>
      </c>
      <c r="B111" s="84" t="s">
        <v>810</v>
      </c>
      <c r="C111" s="85" t="s">
        <v>683</v>
      </c>
      <c r="D111" s="86" t="s">
        <v>697</v>
      </c>
      <c r="E111" s="87">
        <v>39157</v>
      </c>
      <c r="F111" s="88" t="s">
        <v>691</v>
      </c>
      <c r="G111" s="89">
        <v>47610</v>
      </c>
      <c r="H111" s="85">
        <v>4</v>
      </c>
    </row>
    <row r="112" spans="1:8" x14ac:dyDescent="0.35">
      <c r="A112" s="84" t="s">
        <v>803</v>
      </c>
      <c r="B112" s="84" t="s">
        <v>811</v>
      </c>
      <c r="C112" s="85" t="s">
        <v>683</v>
      </c>
      <c r="D112" s="86" t="s">
        <v>697</v>
      </c>
      <c r="E112" s="87">
        <v>36101</v>
      </c>
      <c r="F112" s="88" t="s">
        <v>689</v>
      </c>
      <c r="G112" s="89">
        <v>88240</v>
      </c>
      <c r="H112" s="85">
        <v>5</v>
      </c>
    </row>
    <row r="113" spans="1:8" x14ac:dyDescent="0.35">
      <c r="A113" s="84" t="s">
        <v>803</v>
      </c>
      <c r="B113" s="84" t="s">
        <v>812</v>
      </c>
      <c r="C113" s="85" t="s">
        <v>59</v>
      </c>
      <c r="D113" s="86" t="s">
        <v>697</v>
      </c>
      <c r="E113" s="87">
        <v>36332</v>
      </c>
      <c r="F113" s="88" t="s">
        <v>707</v>
      </c>
      <c r="G113" s="89">
        <v>37760</v>
      </c>
      <c r="H113" s="85">
        <v>2</v>
      </c>
    </row>
    <row r="114" spans="1:8" x14ac:dyDescent="0.35">
      <c r="A114" s="84" t="s">
        <v>813</v>
      </c>
      <c r="B114" s="84" t="s">
        <v>814</v>
      </c>
      <c r="C114" s="85" t="s">
        <v>59</v>
      </c>
      <c r="D114" s="86" t="s">
        <v>688</v>
      </c>
      <c r="E114" s="87">
        <v>33474</v>
      </c>
      <c r="F114" s="88" t="s">
        <v>693</v>
      </c>
      <c r="G114" s="89">
        <v>30445</v>
      </c>
      <c r="H114" s="85">
        <v>1</v>
      </c>
    </row>
    <row r="115" spans="1:8" x14ac:dyDescent="0.35">
      <c r="A115" s="84" t="s">
        <v>813</v>
      </c>
      <c r="B115" s="84" t="s">
        <v>815</v>
      </c>
      <c r="C115" s="85" t="s">
        <v>683</v>
      </c>
      <c r="D115" s="86" t="s">
        <v>684</v>
      </c>
      <c r="E115" s="87">
        <v>35826</v>
      </c>
      <c r="F115" s="88"/>
      <c r="G115" s="89">
        <v>45030</v>
      </c>
      <c r="H115" s="85">
        <v>3</v>
      </c>
    </row>
    <row r="116" spans="1:8" x14ac:dyDescent="0.35">
      <c r="A116" s="84" t="s">
        <v>813</v>
      </c>
      <c r="B116" s="84" t="s">
        <v>816</v>
      </c>
      <c r="C116" s="85" t="s">
        <v>72</v>
      </c>
      <c r="D116" s="86" t="s">
        <v>684</v>
      </c>
      <c r="E116" s="87">
        <v>39147</v>
      </c>
      <c r="F116" s="88"/>
      <c r="G116" s="89">
        <v>42540</v>
      </c>
      <c r="H116" s="85">
        <v>5</v>
      </c>
    </row>
    <row r="117" spans="1:8" x14ac:dyDescent="0.35">
      <c r="A117" s="84" t="s">
        <v>813</v>
      </c>
      <c r="B117" s="84" t="s">
        <v>817</v>
      </c>
      <c r="C117" s="85" t="s">
        <v>750</v>
      </c>
      <c r="D117" s="86" t="s">
        <v>697</v>
      </c>
      <c r="E117" s="87">
        <v>35197</v>
      </c>
      <c r="F117" s="88" t="s">
        <v>713</v>
      </c>
      <c r="G117" s="89">
        <v>82120</v>
      </c>
      <c r="H117" s="85">
        <v>5</v>
      </c>
    </row>
    <row r="118" spans="1:8" x14ac:dyDescent="0.35">
      <c r="A118" s="84" t="s">
        <v>813</v>
      </c>
      <c r="B118" s="84" t="s">
        <v>818</v>
      </c>
      <c r="C118" s="85" t="s">
        <v>750</v>
      </c>
      <c r="D118" s="86" t="s">
        <v>697</v>
      </c>
      <c r="E118" s="87">
        <v>38807</v>
      </c>
      <c r="F118" s="88" t="s">
        <v>689</v>
      </c>
      <c r="G118" s="89">
        <v>47060</v>
      </c>
      <c r="H118" s="85">
        <v>4</v>
      </c>
    </row>
    <row r="119" spans="1:8" x14ac:dyDescent="0.35">
      <c r="A119" s="84" t="s">
        <v>813</v>
      </c>
      <c r="B119" s="84" t="s">
        <v>819</v>
      </c>
      <c r="C119" s="85" t="s">
        <v>72</v>
      </c>
      <c r="D119" s="86" t="s">
        <v>697</v>
      </c>
      <c r="E119" s="87">
        <v>35094</v>
      </c>
      <c r="F119" s="88" t="s">
        <v>693</v>
      </c>
      <c r="G119" s="89">
        <v>61148</v>
      </c>
      <c r="H119" s="85">
        <v>2</v>
      </c>
    </row>
    <row r="120" spans="1:8" x14ac:dyDescent="0.35">
      <c r="A120" s="84" t="s">
        <v>813</v>
      </c>
      <c r="B120" s="84" t="s">
        <v>820</v>
      </c>
      <c r="C120" s="85" t="s">
        <v>85</v>
      </c>
      <c r="D120" s="86" t="s">
        <v>697</v>
      </c>
      <c r="E120" s="87">
        <v>35569</v>
      </c>
      <c r="F120" s="88" t="s">
        <v>691</v>
      </c>
      <c r="G120" s="89">
        <v>37770</v>
      </c>
      <c r="H120" s="85">
        <v>5</v>
      </c>
    </row>
    <row r="121" spans="1:8" x14ac:dyDescent="0.35">
      <c r="A121" s="84" t="s">
        <v>813</v>
      </c>
      <c r="B121" s="84" t="s">
        <v>821</v>
      </c>
      <c r="C121" s="85" t="s">
        <v>85</v>
      </c>
      <c r="D121" s="86" t="s">
        <v>684</v>
      </c>
      <c r="E121" s="87">
        <v>36777</v>
      </c>
      <c r="F121" s="88"/>
      <c r="G121" s="89">
        <v>76690</v>
      </c>
      <c r="H121" s="85">
        <v>3</v>
      </c>
    </row>
    <row r="122" spans="1:8" x14ac:dyDescent="0.35">
      <c r="A122" s="84" t="s">
        <v>813</v>
      </c>
      <c r="B122" s="84" t="s">
        <v>822</v>
      </c>
      <c r="C122" s="85" t="s">
        <v>699</v>
      </c>
      <c r="D122" s="86" t="s">
        <v>697</v>
      </c>
      <c r="E122" s="87">
        <v>36077</v>
      </c>
      <c r="F122" s="88" t="s">
        <v>691</v>
      </c>
      <c r="G122" s="89">
        <v>50110</v>
      </c>
      <c r="H122" s="85">
        <v>1</v>
      </c>
    </row>
    <row r="123" spans="1:8" x14ac:dyDescent="0.35">
      <c r="A123" s="84" t="s">
        <v>813</v>
      </c>
      <c r="B123" s="84" t="s">
        <v>823</v>
      </c>
      <c r="C123" s="85" t="s">
        <v>72</v>
      </c>
      <c r="D123" s="86" t="s">
        <v>697</v>
      </c>
      <c r="E123" s="87">
        <v>33588</v>
      </c>
      <c r="F123" s="88" t="s">
        <v>691</v>
      </c>
      <c r="G123" s="89">
        <v>44620</v>
      </c>
      <c r="H123" s="85">
        <v>5</v>
      </c>
    </row>
    <row r="124" spans="1:8" x14ac:dyDescent="0.35">
      <c r="A124" s="84" t="s">
        <v>813</v>
      </c>
      <c r="B124" s="84" t="s">
        <v>824</v>
      </c>
      <c r="C124" s="85" t="s">
        <v>683</v>
      </c>
      <c r="D124" s="86" t="s">
        <v>705</v>
      </c>
      <c r="E124" s="87">
        <v>36084</v>
      </c>
      <c r="F124" s="88"/>
      <c r="G124" s="89">
        <v>21668</v>
      </c>
      <c r="H124" s="85">
        <v>4</v>
      </c>
    </row>
    <row r="125" spans="1:8" x14ac:dyDescent="0.35">
      <c r="A125" s="84" t="s">
        <v>813</v>
      </c>
      <c r="B125" s="84" t="s">
        <v>825</v>
      </c>
      <c r="C125" s="85" t="s">
        <v>59</v>
      </c>
      <c r="D125" s="86" t="s">
        <v>697</v>
      </c>
      <c r="E125" s="87">
        <v>34754</v>
      </c>
      <c r="F125" s="88" t="s">
        <v>689</v>
      </c>
      <c r="G125" s="89">
        <v>39000</v>
      </c>
      <c r="H125" s="85">
        <v>5</v>
      </c>
    </row>
    <row r="126" spans="1:8" x14ac:dyDescent="0.35">
      <c r="A126" s="84" t="s">
        <v>813</v>
      </c>
      <c r="B126" s="84" t="s">
        <v>826</v>
      </c>
      <c r="C126" s="85" t="s">
        <v>699</v>
      </c>
      <c r="D126" s="86" t="s">
        <v>697</v>
      </c>
      <c r="E126" s="87">
        <v>35219</v>
      </c>
      <c r="F126" s="88" t="s">
        <v>689</v>
      </c>
      <c r="G126" s="89">
        <v>47340</v>
      </c>
      <c r="H126" s="85">
        <v>2</v>
      </c>
    </row>
    <row r="127" spans="1:8" x14ac:dyDescent="0.35">
      <c r="A127" s="84" t="s">
        <v>813</v>
      </c>
      <c r="B127" s="84" t="s">
        <v>827</v>
      </c>
      <c r="C127" s="85" t="s">
        <v>59</v>
      </c>
      <c r="D127" s="86" t="s">
        <v>697</v>
      </c>
      <c r="E127" s="87">
        <v>37008</v>
      </c>
      <c r="F127" s="88" t="s">
        <v>689</v>
      </c>
      <c r="G127" s="89">
        <v>27180</v>
      </c>
      <c r="H127" s="85">
        <v>4</v>
      </c>
    </row>
    <row r="128" spans="1:8" x14ac:dyDescent="0.35">
      <c r="A128" s="84" t="s">
        <v>813</v>
      </c>
      <c r="B128" s="84" t="s">
        <v>828</v>
      </c>
      <c r="C128" s="85" t="s">
        <v>59</v>
      </c>
      <c r="D128" s="86" t="s">
        <v>684</v>
      </c>
      <c r="E128" s="90">
        <v>40292</v>
      </c>
      <c r="F128" s="88"/>
      <c r="G128" s="89">
        <v>61890</v>
      </c>
      <c r="H128" s="85">
        <v>2</v>
      </c>
    </row>
    <row r="129" spans="1:8" x14ac:dyDescent="0.35">
      <c r="A129" s="84" t="s">
        <v>813</v>
      </c>
      <c r="B129" s="84" t="s">
        <v>829</v>
      </c>
      <c r="C129" s="85" t="s">
        <v>59</v>
      </c>
      <c r="D129" s="86" t="s">
        <v>697</v>
      </c>
      <c r="E129" s="87">
        <v>36318</v>
      </c>
      <c r="F129" s="88" t="s">
        <v>691</v>
      </c>
      <c r="G129" s="89">
        <v>68750</v>
      </c>
      <c r="H129" s="85">
        <v>1</v>
      </c>
    </row>
    <row r="130" spans="1:8" x14ac:dyDescent="0.35">
      <c r="A130" s="84" t="s">
        <v>813</v>
      </c>
      <c r="B130" s="84" t="s">
        <v>830</v>
      </c>
      <c r="C130" s="85" t="s">
        <v>85</v>
      </c>
      <c r="D130" s="86" t="s">
        <v>688</v>
      </c>
      <c r="E130" s="87">
        <v>33709</v>
      </c>
      <c r="F130" s="88" t="s">
        <v>689</v>
      </c>
      <c r="G130" s="89">
        <v>34110</v>
      </c>
      <c r="H130" s="85">
        <v>4</v>
      </c>
    </row>
    <row r="131" spans="1:8" x14ac:dyDescent="0.35">
      <c r="A131" s="84" t="s">
        <v>813</v>
      </c>
      <c r="B131" s="84" t="s">
        <v>831</v>
      </c>
      <c r="C131" s="85" t="s">
        <v>59</v>
      </c>
      <c r="D131" s="86" t="s">
        <v>684</v>
      </c>
      <c r="E131" s="87">
        <v>35349</v>
      </c>
      <c r="F131" s="88"/>
      <c r="G131" s="89">
        <v>52940</v>
      </c>
      <c r="H131" s="85">
        <v>4</v>
      </c>
    </row>
    <row r="132" spans="1:8" x14ac:dyDescent="0.35">
      <c r="A132" s="84" t="s">
        <v>813</v>
      </c>
      <c r="B132" s="84" t="s">
        <v>832</v>
      </c>
      <c r="C132" s="85" t="s">
        <v>699</v>
      </c>
      <c r="D132" s="86" t="s">
        <v>697</v>
      </c>
      <c r="E132" s="87">
        <v>36414</v>
      </c>
      <c r="F132" s="88" t="s">
        <v>713</v>
      </c>
      <c r="G132" s="89">
        <v>39680</v>
      </c>
      <c r="H132" s="85">
        <v>5</v>
      </c>
    </row>
    <row r="133" spans="1:8" x14ac:dyDescent="0.35">
      <c r="A133" s="84" t="s">
        <v>833</v>
      </c>
      <c r="B133" s="84" t="s">
        <v>834</v>
      </c>
      <c r="C133" s="85" t="s">
        <v>683</v>
      </c>
      <c r="D133" s="86" t="s">
        <v>697</v>
      </c>
      <c r="E133" s="87">
        <v>34474</v>
      </c>
      <c r="F133" s="88" t="s">
        <v>693</v>
      </c>
      <c r="G133" s="89">
        <v>74670</v>
      </c>
      <c r="H133" s="85">
        <v>5</v>
      </c>
    </row>
    <row r="134" spans="1:8" x14ac:dyDescent="0.35">
      <c r="A134" s="84" t="s">
        <v>833</v>
      </c>
      <c r="B134" s="84" t="s">
        <v>835</v>
      </c>
      <c r="C134" s="85" t="s">
        <v>85</v>
      </c>
      <c r="D134" s="86" t="s">
        <v>697</v>
      </c>
      <c r="E134" s="87">
        <v>36463</v>
      </c>
      <c r="F134" s="88" t="s">
        <v>689</v>
      </c>
      <c r="G134" s="89">
        <v>44220</v>
      </c>
      <c r="H134" s="85">
        <v>3</v>
      </c>
    </row>
    <row r="135" spans="1:8" x14ac:dyDescent="0.35">
      <c r="A135" s="84" t="s">
        <v>833</v>
      </c>
      <c r="B135" s="84" t="s">
        <v>836</v>
      </c>
      <c r="C135" s="85" t="s">
        <v>59</v>
      </c>
      <c r="D135" s="86" t="s">
        <v>684</v>
      </c>
      <c r="E135" s="87">
        <v>36375</v>
      </c>
      <c r="F135" s="88"/>
      <c r="G135" s="89">
        <v>71300</v>
      </c>
      <c r="H135" s="85">
        <v>5</v>
      </c>
    </row>
    <row r="136" spans="1:8" x14ac:dyDescent="0.35">
      <c r="A136" s="84" t="s">
        <v>833</v>
      </c>
      <c r="B136" s="84" t="s">
        <v>837</v>
      </c>
      <c r="C136" s="85" t="s">
        <v>59</v>
      </c>
      <c r="D136" s="86" t="s">
        <v>705</v>
      </c>
      <c r="E136" s="87">
        <v>36557</v>
      </c>
      <c r="F136" s="88"/>
      <c r="G136" s="89">
        <v>15552</v>
      </c>
      <c r="H136" s="85">
        <v>4</v>
      </c>
    </row>
    <row r="137" spans="1:8" x14ac:dyDescent="0.35">
      <c r="A137" s="84" t="s">
        <v>833</v>
      </c>
      <c r="B137" s="84" t="s">
        <v>838</v>
      </c>
      <c r="C137" s="85" t="s">
        <v>59</v>
      </c>
      <c r="D137" s="86" t="s">
        <v>697</v>
      </c>
      <c r="E137" s="87">
        <v>37176</v>
      </c>
      <c r="F137" s="88" t="s">
        <v>707</v>
      </c>
      <c r="G137" s="89">
        <v>62790</v>
      </c>
      <c r="H137" s="85">
        <v>2</v>
      </c>
    </row>
    <row r="138" spans="1:8" x14ac:dyDescent="0.35">
      <c r="A138" s="84" t="s">
        <v>839</v>
      </c>
      <c r="B138" s="84" t="s">
        <v>840</v>
      </c>
      <c r="C138" s="85" t="s">
        <v>699</v>
      </c>
      <c r="D138" s="86" t="s">
        <v>697</v>
      </c>
      <c r="E138" s="87">
        <v>38790</v>
      </c>
      <c r="F138" s="88" t="s">
        <v>693</v>
      </c>
      <c r="G138" s="89">
        <v>62688</v>
      </c>
      <c r="H138" s="85">
        <v>3</v>
      </c>
    </row>
    <row r="139" spans="1:8" x14ac:dyDescent="0.35">
      <c r="A139" s="84" t="s">
        <v>839</v>
      </c>
      <c r="B139" s="84" t="s">
        <v>841</v>
      </c>
      <c r="C139" s="85" t="s">
        <v>699</v>
      </c>
      <c r="D139" s="86" t="s">
        <v>684</v>
      </c>
      <c r="E139" s="87">
        <v>33401</v>
      </c>
      <c r="F139" s="88"/>
      <c r="G139" s="89">
        <v>34680</v>
      </c>
      <c r="H139" s="85">
        <v>5</v>
      </c>
    </row>
    <row r="140" spans="1:8" x14ac:dyDescent="0.35">
      <c r="A140" s="84" t="s">
        <v>839</v>
      </c>
      <c r="B140" s="84" t="s">
        <v>842</v>
      </c>
      <c r="C140" s="85" t="s">
        <v>85</v>
      </c>
      <c r="D140" s="86" t="s">
        <v>697</v>
      </c>
      <c r="E140" s="87">
        <v>35514</v>
      </c>
      <c r="F140" s="88" t="s">
        <v>707</v>
      </c>
      <c r="G140" s="89">
        <v>26510</v>
      </c>
      <c r="H140" s="85">
        <v>1</v>
      </c>
    </row>
    <row r="141" spans="1:8" x14ac:dyDescent="0.35">
      <c r="A141" s="84" t="s">
        <v>839</v>
      </c>
      <c r="B141" s="84" t="s">
        <v>843</v>
      </c>
      <c r="C141" s="85" t="s">
        <v>683</v>
      </c>
      <c r="D141" s="86" t="s">
        <v>697</v>
      </c>
      <c r="E141" s="87">
        <v>35356</v>
      </c>
      <c r="F141" s="88" t="s">
        <v>693</v>
      </c>
      <c r="G141" s="89">
        <v>63030</v>
      </c>
      <c r="H141" s="85">
        <v>1</v>
      </c>
    </row>
    <row r="142" spans="1:8" x14ac:dyDescent="0.35">
      <c r="A142" s="84" t="s">
        <v>839</v>
      </c>
      <c r="B142" s="84" t="s">
        <v>844</v>
      </c>
      <c r="C142" s="85" t="s">
        <v>59</v>
      </c>
      <c r="D142" s="86" t="s">
        <v>697</v>
      </c>
      <c r="E142" s="87">
        <v>37960</v>
      </c>
      <c r="F142" s="88" t="s">
        <v>689</v>
      </c>
      <c r="G142" s="89">
        <v>66890</v>
      </c>
      <c r="H142" s="85">
        <v>5</v>
      </c>
    </row>
    <row r="143" spans="1:8" x14ac:dyDescent="0.35">
      <c r="A143" s="84" t="s">
        <v>839</v>
      </c>
      <c r="B143" s="84" t="s">
        <v>845</v>
      </c>
      <c r="C143" s="85" t="s">
        <v>59</v>
      </c>
      <c r="D143" s="86" t="s">
        <v>697</v>
      </c>
      <c r="E143" s="87">
        <v>37331</v>
      </c>
      <c r="F143" s="88" t="s">
        <v>691</v>
      </c>
      <c r="G143" s="89">
        <v>62750</v>
      </c>
      <c r="H143" s="85">
        <v>3</v>
      </c>
    </row>
    <row r="144" spans="1:8" x14ac:dyDescent="0.35">
      <c r="A144" s="84" t="s">
        <v>839</v>
      </c>
      <c r="B144" s="84" t="s">
        <v>846</v>
      </c>
      <c r="C144" s="85" t="s">
        <v>683</v>
      </c>
      <c r="D144" s="86" t="s">
        <v>688</v>
      </c>
      <c r="E144" s="87">
        <v>34154</v>
      </c>
      <c r="F144" s="88" t="s">
        <v>689</v>
      </c>
      <c r="G144" s="89">
        <v>49545</v>
      </c>
      <c r="H144" s="85">
        <v>2</v>
      </c>
    </row>
    <row r="145" spans="1:8" x14ac:dyDescent="0.35">
      <c r="A145" s="84" t="s">
        <v>839</v>
      </c>
      <c r="B145" s="84" t="s">
        <v>847</v>
      </c>
      <c r="C145" s="85" t="s">
        <v>59</v>
      </c>
      <c r="D145" s="86" t="s">
        <v>684</v>
      </c>
      <c r="E145" s="87">
        <v>36297</v>
      </c>
      <c r="F145" s="88"/>
      <c r="G145" s="89">
        <v>57990</v>
      </c>
      <c r="H145" s="85">
        <v>5</v>
      </c>
    </row>
    <row r="146" spans="1:8" x14ac:dyDescent="0.35">
      <c r="A146" s="84" t="s">
        <v>839</v>
      </c>
      <c r="B146" s="84" t="s">
        <v>848</v>
      </c>
      <c r="C146" s="85" t="s">
        <v>699</v>
      </c>
      <c r="D146" s="86" t="s">
        <v>697</v>
      </c>
      <c r="E146" s="87">
        <v>36707</v>
      </c>
      <c r="F146" s="88" t="s">
        <v>713</v>
      </c>
      <c r="G146" s="89">
        <v>38870</v>
      </c>
      <c r="H146" s="85">
        <v>2</v>
      </c>
    </row>
    <row r="147" spans="1:8" x14ac:dyDescent="0.35">
      <c r="A147" s="84" t="s">
        <v>839</v>
      </c>
      <c r="B147" s="84" t="s">
        <v>849</v>
      </c>
      <c r="C147" s="85" t="s">
        <v>85</v>
      </c>
      <c r="D147" s="86" t="s">
        <v>697</v>
      </c>
      <c r="E147" s="87">
        <v>36535</v>
      </c>
      <c r="F147" s="88" t="s">
        <v>689</v>
      </c>
      <c r="G147" s="89">
        <v>76192</v>
      </c>
      <c r="H147" s="85">
        <v>4</v>
      </c>
    </row>
    <row r="148" spans="1:8" x14ac:dyDescent="0.35">
      <c r="A148" s="84" t="s">
        <v>839</v>
      </c>
      <c r="B148" s="84" t="s">
        <v>850</v>
      </c>
      <c r="C148" s="85" t="s">
        <v>750</v>
      </c>
      <c r="D148" s="86" t="s">
        <v>697</v>
      </c>
      <c r="E148" s="87">
        <v>35801</v>
      </c>
      <c r="F148" s="88" t="s">
        <v>689</v>
      </c>
      <c r="G148" s="89">
        <v>78570</v>
      </c>
      <c r="H148" s="85">
        <v>1</v>
      </c>
    </row>
    <row r="149" spans="1:8" x14ac:dyDescent="0.35">
      <c r="A149" s="84" t="s">
        <v>839</v>
      </c>
      <c r="B149" s="84" t="s">
        <v>851</v>
      </c>
      <c r="C149" s="85" t="s">
        <v>699</v>
      </c>
      <c r="D149" s="86" t="s">
        <v>697</v>
      </c>
      <c r="E149" s="87">
        <v>33904</v>
      </c>
      <c r="F149" s="88" t="s">
        <v>693</v>
      </c>
      <c r="G149" s="89">
        <v>87980</v>
      </c>
      <c r="H149" s="85">
        <v>1</v>
      </c>
    </row>
    <row r="150" spans="1:8" x14ac:dyDescent="0.35">
      <c r="A150" s="84" t="s">
        <v>839</v>
      </c>
      <c r="B150" s="84" t="s">
        <v>852</v>
      </c>
      <c r="C150" s="85" t="s">
        <v>699</v>
      </c>
      <c r="D150" s="86" t="s">
        <v>684</v>
      </c>
      <c r="E150" s="87">
        <v>36214</v>
      </c>
      <c r="F150" s="88"/>
      <c r="G150" s="89">
        <v>53310</v>
      </c>
      <c r="H150" s="85">
        <v>5</v>
      </c>
    </row>
    <row r="151" spans="1:8" x14ac:dyDescent="0.35">
      <c r="A151" s="84" t="s">
        <v>839</v>
      </c>
      <c r="B151" s="84" t="s">
        <v>853</v>
      </c>
      <c r="C151" s="85" t="s">
        <v>85</v>
      </c>
      <c r="D151" s="86" t="s">
        <v>697</v>
      </c>
      <c r="E151" s="87">
        <v>35856</v>
      </c>
      <c r="F151" s="88" t="s">
        <v>713</v>
      </c>
      <c r="G151" s="89">
        <v>86830</v>
      </c>
      <c r="H151" s="85">
        <v>3</v>
      </c>
    </row>
    <row r="152" spans="1:8" x14ac:dyDescent="0.35">
      <c r="A152" s="84" t="s">
        <v>839</v>
      </c>
      <c r="B152" s="84" t="s">
        <v>854</v>
      </c>
      <c r="C152" s="85" t="s">
        <v>85</v>
      </c>
      <c r="D152" s="86" t="s">
        <v>697</v>
      </c>
      <c r="E152" s="87">
        <v>34177</v>
      </c>
      <c r="F152" s="88" t="s">
        <v>691</v>
      </c>
      <c r="G152" s="89">
        <v>65250</v>
      </c>
      <c r="H152" s="85">
        <v>2</v>
      </c>
    </row>
    <row r="153" spans="1:8" x14ac:dyDescent="0.35">
      <c r="A153" s="84" t="s">
        <v>839</v>
      </c>
      <c r="B153" s="84" t="s">
        <v>855</v>
      </c>
      <c r="C153" s="85" t="s">
        <v>699</v>
      </c>
      <c r="D153" s="86" t="s">
        <v>688</v>
      </c>
      <c r="E153" s="87">
        <v>37775</v>
      </c>
      <c r="F153" s="88" t="s">
        <v>693</v>
      </c>
      <c r="G153" s="89">
        <v>28525</v>
      </c>
      <c r="H153" s="85">
        <v>4</v>
      </c>
    </row>
    <row r="154" spans="1:8" x14ac:dyDescent="0.35">
      <c r="A154" s="84" t="s">
        <v>839</v>
      </c>
      <c r="B154" s="84" t="s">
        <v>856</v>
      </c>
      <c r="C154" s="85" t="s">
        <v>683</v>
      </c>
      <c r="D154" s="86" t="s">
        <v>684</v>
      </c>
      <c r="E154" s="87">
        <v>40333</v>
      </c>
      <c r="F154" s="88"/>
      <c r="G154" s="89">
        <v>74020</v>
      </c>
      <c r="H154" s="85">
        <v>2</v>
      </c>
    </row>
    <row r="155" spans="1:8" x14ac:dyDescent="0.35">
      <c r="A155" s="84" t="s">
        <v>839</v>
      </c>
      <c r="B155" s="84" t="s">
        <v>857</v>
      </c>
      <c r="C155" s="85" t="s">
        <v>72</v>
      </c>
      <c r="D155" s="86" t="s">
        <v>697</v>
      </c>
      <c r="E155" s="87">
        <v>33551</v>
      </c>
      <c r="F155" s="88" t="s">
        <v>693</v>
      </c>
      <c r="G155" s="89">
        <v>41350</v>
      </c>
      <c r="H155" s="85">
        <v>2</v>
      </c>
    </row>
    <row r="156" spans="1:8" x14ac:dyDescent="0.35">
      <c r="A156" s="84" t="s">
        <v>839</v>
      </c>
      <c r="B156" s="84" t="s">
        <v>858</v>
      </c>
      <c r="C156" s="85" t="s">
        <v>59</v>
      </c>
      <c r="D156" s="86" t="s">
        <v>697</v>
      </c>
      <c r="E156" s="87">
        <v>37684</v>
      </c>
      <c r="F156" s="88" t="s">
        <v>691</v>
      </c>
      <c r="G156" s="89">
        <v>42800</v>
      </c>
      <c r="H156" s="85">
        <v>5</v>
      </c>
    </row>
    <row r="157" spans="1:8" x14ac:dyDescent="0.35">
      <c r="A157" s="84" t="s">
        <v>839</v>
      </c>
      <c r="B157" s="84" t="s">
        <v>859</v>
      </c>
      <c r="C157" s="85" t="s">
        <v>59</v>
      </c>
      <c r="D157" s="86" t="s">
        <v>705</v>
      </c>
      <c r="E157" s="87">
        <v>33751</v>
      </c>
      <c r="F157" s="88"/>
      <c r="G157" s="89">
        <v>22344</v>
      </c>
      <c r="H157" s="85">
        <v>4</v>
      </c>
    </row>
    <row r="158" spans="1:8" x14ac:dyDescent="0.35">
      <c r="A158" s="84" t="s">
        <v>839</v>
      </c>
      <c r="B158" s="84" t="s">
        <v>860</v>
      </c>
      <c r="C158" s="85" t="s">
        <v>85</v>
      </c>
      <c r="D158" s="86" t="s">
        <v>697</v>
      </c>
      <c r="E158" s="87">
        <v>40470</v>
      </c>
      <c r="F158" s="88" t="s">
        <v>691</v>
      </c>
      <c r="G158" s="89">
        <v>42620</v>
      </c>
      <c r="H158" s="85">
        <v>3</v>
      </c>
    </row>
    <row r="159" spans="1:8" x14ac:dyDescent="0.35">
      <c r="A159" s="84" t="s">
        <v>839</v>
      </c>
      <c r="B159" s="84" t="s">
        <v>861</v>
      </c>
      <c r="C159" s="85" t="s">
        <v>72</v>
      </c>
      <c r="D159" s="86" t="s">
        <v>688</v>
      </c>
      <c r="E159" s="87">
        <v>39768</v>
      </c>
      <c r="F159" s="88" t="s">
        <v>689</v>
      </c>
      <c r="G159" s="89">
        <v>39515</v>
      </c>
      <c r="H159" s="85">
        <v>5</v>
      </c>
    </row>
    <row r="160" spans="1:8" x14ac:dyDescent="0.35">
      <c r="A160" s="84" t="s">
        <v>839</v>
      </c>
      <c r="B160" s="84" t="s">
        <v>862</v>
      </c>
      <c r="C160" s="85" t="s">
        <v>85</v>
      </c>
      <c r="D160" s="86" t="s">
        <v>697</v>
      </c>
      <c r="E160" s="87">
        <v>36081</v>
      </c>
      <c r="F160" s="88" t="s">
        <v>691</v>
      </c>
      <c r="G160" s="89">
        <v>67407</v>
      </c>
      <c r="H160" s="85">
        <v>5</v>
      </c>
    </row>
    <row r="161" spans="1:8" x14ac:dyDescent="0.35">
      <c r="A161" s="84" t="s">
        <v>839</v>
      </c>
      <c r="B161" s="84" t="s">
        <v>863</v>
      </c>
      <c r="C161" s="85" t="s">
        <v>85</v>
      </c>
      <c r="D161" s="86" t="s">
        <v>697</v>
      </c>
      <c r="E161" s="87">
        <v>33348</v>
      </c>
      <c r="F161" s="88" t="s">
        <v>713</v>
      </c>
      <c r="G161" s="89">
        <v>49810</v>
      </c>
      <c r="H161" s="85">
        <v>2</v>
      </c>
    </row>
    <row r="162" spans="1:8" x14ac:dyDescent="0.35">
      <c r="A162" s="84" t="s">
        <v>839</v>
      </c>
      <c r="B162" s="84" t="s">
        <v>864</v>
      </c>
      <c r="C162" s="85" t="s">
        <v>59</v>
      </c>
      <c r="D162" s="86" t="s">
        <v>697</v>
      </c>
      <c r="E162" s="87">
        <v>36245</v>
      </c>
      <c r="F162" s="88" t="s">
        <v>689</v>
      </c>
      <c r="G162" s="89">
        <v>58410</v>
      </c>
      <c r="H162" s="85">
        <v>5</v>
      </c>
    </row>
    <row r="163" spans="1:8" x14ac:dyDescent="0.35">
      <c r="A163" s="84" t="s">
        <v>839</v>
      </c>
      <c r="B163" s="84" t="s">
        <v>865</v>
      </c>
      <c r="C163" s="85" t="s">
        <v>59</v>
      </c>
      <c r="D163" s="86" t="s">
        <v>697</v>
      </c>
      <c r="E163" s="87">
        <v>34737</v>
      </c>
      <c r="F163" s="88" t="s">
        <v>689</v>
      </c>
      <c r="G163" s="89">
        <v>88850</v>
      </c>
      <c r="H163" s="85">
        <v>3</v>
      </c>
    </row>
    <row r="164" spans="1:8" x14ac:dyDescent="0.35">
      <c r="A164" s="84" t="s">
        <v>839</v>
      </c>
      <c r="B164" s="84" t="s">
        <v>866</v>
      </c>
      <c r="C164" s="85" t="s">
        <v>699</v>
      </c>
      <c r="D164" s="86" t="s">
        <v>697</v>
      </c>
      <c r="E164" s="87">
        <v>40270</v>
      </c>
      <c r="F164" s="88" t="s">
        <v>691</v>
      </c>
      <c r="G164" s="89">
        <v>35300</v>
      </c>
      <c r="H164" s="85">
        <v>5</v>
      </c>
    </row>
    <row r="165" spans="1:8" x14ac:dyDescent="0.35">
      <c r="A165" s="84" t="s">
        <v>839</v>
      </c>
      <c r="B165" s="84" t="s">
        <v>867</v>
      </c>
      <c r="C165" s="85" t="s">
        <v>85</v>
      </c>
      <c r="D165" s="86" t="s">
        <v>697</v>
      </c>
      <c r="E165" s="87">
        <v>33575</v>
      </c>
      <c r="F165" s="88" t="s">
        <v>693</v>
      </c>
      <c r="G165" s="89">
        <v>61400</v>
      </c>
      <c r="H165" s="85">
        <v>5</v>
      </c>
    </row>
    <row r="166" spans="1:8" x14ac:dyDescent="0.35">
      <c r="A166" s="84" t="s">
        <v>839</v>
      </c>
      <c r="B166" s="84" t="s">
        <v>868</v>
      </c>
      <c r="C166" s="85" t="s">
        <v>750</v>
      </c>
      <c r="D166" s="86" t="s">
        <v>684</v>
      </c>
      <c r="E166" s="87">
        <v>34054</v>
      </c>
      <c r="F166" s="88"/>
      <c r="G166" s="89">
        <v>29000</v>
      </c>
      <c r="H166" s="85">
        <v>5</v>
      </c>
    </row>
    <row r="167" spans="1:8" x14ac:dyDescent="0.35">
      <c r="A167" s="84" t="s">
        <v>839</v>
      </c>
      <c r="B167" s="84" t="s">
        <v>869</v>
      </c>
      <c r="C167" s="85" t="s">
        <v>85</v>
      </c>
      <c r="D167" s="86" t="s">
        <v>688</v>
      </c>
      <c r="E167" s="90">
        <v>40505</v>
      </c>
      <c r="F167" s="88" t="s">
        <v>691</v>
      </c>
      <c r="G167" s="89">
        <v>46230</v>
      </c>
      <c r="H167" s="85">
        <v>2</v>
      </c>
    </row>
    <row r="168" spans="1:8" x14ac:dyDescent="0.35">
      <c r="A168" s="84" t="s">
        <v>839</v>
      </c>
      <c r="B168" s="84" t="s">
        <v>870</v>
      </c>
      <c r="C168" s="85" t="s">
        <v>750</v>
      </c>
      <c r="D168" s="86" t="s">
        <v>684</v>
      </c>
      <c r="E168" s="87">
        <v>39189</v>
      </c>
      <c r="F168" s="88"/>
      <c r="G168" s="89">
        <v>63850</v>
      </c>
      <c r="H168" s="85">
        <v>2</v>
      </c>
    </row>
    <row r="169" spans="1:8" x14ac:dyDescent="0.35">
      <c r="A169" s="84" t="s">
        <v>839</v>
      </c>
      <c r="B169" s="84" t="s">
        <v>871</v>
      </c>
      <c r="C169" s="85" t="s">
        <v>85</v>
      </c>
      <c r="D169" s="86" t="s">
        <v>697</v>
      </c>
      <c r="E169" s="87">
        <v>35989</v>
      </c>
      <c r="F169" s="88" t="s">
        <v>693</v>
      </c>
      <c r="G169" s="89">
        <v>71010</v>
      </c>
      <c r="H169" s="85">
        <v>5</v>
      </c>
    </row>
    <row r="170" spans="1:8" x14ac:dyDescent="0.35">
      <c r="A170" s="84" t="s">
        <v>839</v>
      </c>
      <c r="B170" s="84" t="s">
        <v>872</v>
      </c>
      <c r="C170" s="85" t="s">
        <v>699</v>
      </c>
      <c r="D170" s="86" t="s">
        <v>697</v>
      </c>
      <c r="E170" s="87">
        <v>40078</v>
      </c>
      <c r="F170" s="88" t="s">
        <v>691</v>
      </c>
      <c r="G170" s="89">
        <v>23190</v>
      </c>
      <c r="H170" s="85">
        <v>5</v>
      </c>
    </row>
    <row r="171" spans="1:8" x14ac:dyDescent="0.35">
      <c r="A171" s="84" t="s">
        <v>839</v>
      </c>
      <c r="B171" s="84" t="s">
        <v>873</v>
      </c>
      <c r="C171" s="85" t="s">
        <v>85</v>
      </c>
      <c r="D171" s="86" t="s">
        <v>688</v>
      </c>
      <c r="E171" s="87">
        <v>34166</v>
      </c>
      <c r="F171" s="88" t="s">
        <v>689</v>
      </c>
      <c r="G171" s="89">
        <v>26890</v>
      </c>
      <c r="H171" s="85">
        <v>3</v>
      </c>
    </row>
    <row r="172" spans="1:8" x14ac:dyDescent="0.35">
      <c r="A172" s="84" t="s">
        <v>839</v>
      </c>
      <c r="B172" s="84" t="s">
        <v>874</v>
      </c>
      <c r="C172" s="85" t="s">
        <v>699</v>
      </c>
      <c r="D172" s="86" t="s">
        <v>697</v>
      </c>
      <c r="E172" s="87">
        <v>33071</v>
      </c>
      <c r="F172" s="88" t="s">
        <v>691</v>
      </c>
      <c r="G172" s="89">
        <v>69060</v>
      </c>
      <c r="H172" s="85">
        <v>1</v>
      </c>
    </row>
    <row r="173" spans="1:8" x14ac:dyDescent="0.35">
      <c r="A173" s="84" t="s">
        <v>839</v>
      </c>
      <c r="B173" s="84" t="s">
        <v>875</v>
      </c>
      <c r="C173" s="85" t="s">
        <v>699</v>
      </c>
      <c r="D173" s="86" t="s">
        <v>697</v>
      </c>
      <c r="E173" s="87">
        <v>36249</v>
      </c>
      <c r="F173" s="88" t="s">
        <v>689</v>
      </c>
      <c r="G173" s="89">
        <v>49860</v>
      </c>
      <c r="H173" s="85">
        <v>2</v>
      </c>
    </row>
    <row r="174" spans="1:8" x14ac:dyDescent="0.35">
      <c r="A174" s="84" t="s">
        <v>839</v>
      </c>
      <c r="B174" s="84" t="s">
        <v>876</v>
      </c>
      <c r="C174" s="85" t="s">
        <v>85</v>
      </c>
      <c r="D174" s="86" t="s">
        <v>697</v>
      </c>
      <c r="E174" s="87">
        <v>34541</v>
      </c>
      <c r="F174" s="88" t="s">
        <v>713</v>
      </c>
      <c r="G174" s="89">
        <v>34480</v>
      </c>
      <c r="H174" s="85">
        <v>3</v>
      </c>
    </row>
    <row r="175" spans="1:8" x14ac:dyDescent="0.35">
      <c r="A175" s="84" t="s">
        <v>839</v>
      </c>
      <c r="B175" s="84" t="s">
        <v>877</v>
      </c>
      <c r="C175" s="85" t="s">
        <v>72</v>
      </c>
      <c r="D175" s="86" t="s">
        <v>697</v>
      </c>
      <c r="E175" s="87">
        <v>39390</v>
      </c>
      <c r="F175" s="88" t="s">
        <v>707</v>
      </c>
      <c r="G175" s="89">
        <v>71490</v>
      </c>
      <c r="H175" s="85">
        <v>5</v>
      </c>
    </row>
    <row r="176" spans="1:8" x14ac:dyDescent="0.35">
      <c r="A176" s="84" t="s">
        <v>878</v>
      </c>
      <c r="B176" s="84" t="s">
        <v>879</v>
      </c>
      <c r="C176" s="85" t="s">
        <v>59</v>
      </c>
      <c r="D176" s="86" t="s">
        <v>697</v>
      </c>
      <c r="E176" s="87">
        <v>34286</v>
      </c>
      <c r="F176" s="88" t="s">
        <v>691</v>
      </c>
      <c r="G176" s="89">
        <v>87220</v>
      </c>
      <c r="H176" s="85">
        <v>1</v>
      </c>
    </row>
    <row r="177" spans="1:8" x14ac:dyDescent="0.35">
      <c r="A177" s="84" t="s">
        <v>878</v>
      </c>
      <c r="B177" s="84" t="s">
        <v>880</v>
      </c>
      <c r="C177" s="85" t="s">
        <v>699</v>
      </c>
      <c r="D177" s="86" t="s">
        <v>684</v>
      </c>
      <c r="E177" s="87">
        <v>37099</v>
      </c>
      <c r="F177" s="88"/>
      <c r="G177" s="89">
        <v>28270</v>
      </c>
      <c r="H177" s="85">
        <v>5</v>
      </c>
    </row>
    <row r="178" spans="1:8" x14ac:dyDescent="0.35">
      <c r="A178" s="84" t="s">
        <v>878</v>
      </c>
      <c r="B178" s="84" t="s">
        <v>881</v>
      </c>
      <c r="C178" s="85" t="s">
        <v>72</v>
      </c>
      <c r="D178" s="86" t="s">
        <v>705</v>
      </c>
      <c r="E178" s="87">
        <v>35576</v>
      </c>
      <c r="F178" s="88"/>
      <c r="G178" s="89">
        <v>28768</v>
      </c>
      <c r="H178" s="85">
        <v>3</v>
      </c>
    </row>
    <row r="179" spans="1:8" x14ac:dyDescent="0.35">
      <c r="A179" s="84" t="s">
        <v>878</v>
      </c>
      <c r="B179" s="84" t="s">
        <v>882</v>
      </c>
      <c r="C179" s="85" t="s">
        <v>59</v>
      </c>
      <c r="D179" s="86" t="s">
        <v>684</v>
      </c>
      <c r="E179" s="87">
        <v>35379</v>
      </c>
      <c r="F179" s="88"/>
      <c r="G179" s="89">
        <v>66010</v>
      </c>
      <c r="H179" s="85">
        <v>2</v>
      </c>
    </row>
    <row r="180" spans="1:8" x14ac:dyDescent="0.35">
      <c r="A180" s="84" t="s">
        <v>878</v>
      </c>
      <c r="B180" s="84" t="s">
        <v>883</v>
      </c>
      <c r="C180" s="85" t="s">
        <v>59</v>
      </c>
      <c r="D180" s="86" t="s">
        <v>705</v>
      </c>
      <c r="E180" s="87">
        <v>36487</v>
      </c>
      <c r="F180" s="88"/>
      <c r="G180" s="89">
        <v>33056</v>
      </c>
      <c r="H180" s="85">
        <v>5</v>
      </c>
    </row>
    <row r="181" spans="1:8" x14ac:dyDescent="0.35">
      <c r="A181" s="84" t="s">
        <v>878</v>
      </c>
      <c r="B181" s="84" t="s">
        <v>884</v>
      </c>
      <c r="C181" s="85" t="s">
        <v>59</v>
      </c>
      <c r="D181" s="86" t="s">
        <v>697</v>
      </c>
      <c r="E181" s="87">
        <v>33895</v>
      </c>
      <c r="F181" s="88" t="s">
        <v>691</v>
      </c>
      <c r="G181" s="89">
        <v>71670</v>
      </c>
      <c r="H181" s="85">
        <v>4</v>
      </c>
    </row>
    <row r="182" spans="1:8" x14ac:dyDescent="0.35">
      <c r="A182" s="84" t="s">
        <v>878</v>
      </c>
      <c r="B182" s="84" t="s">
        <v>885</v>
      </c>
      <c r="C182" s="85" t="s">
        <v>59</v>
      </c>
      <c r="D182" s="86" t="s">
        <v>684</v>
      </c>
      <c r="E182" s="87">
        <v>39545</v>
      </c>
      <c r="F182" s="88"/>
      <c r="G182" s="89">
        <v>84170</v>
      </c>
      <c r="H182" s="85">
        <v>2</v>
      </c>
    </row>
    <row r="183" spans="1:8" x14ac:dyDescent="0.35">
      <c r="A183" s="84" t="s">
        <v>878</v>
      </c>
      <c r="B183" s="84" t="s">
        <v>886</v>
      </c>
      <c r="C183" s="85" t="s">
        <v>59</v>
      </c>
      <c r="D183" s="86" t="s">
        <v>697</v>
      </c>
      <c r="E183" s="87">
        <v>40384</v>
      </c>
      <c r="F183" s="88" t="s">
        <v>689</v>
      </c>
      <c r="G183" s="89">
        <v>46680</v>
      </c>
      <c r="H183" s="85">
        <v>1</v>
      </c>
    </row>
    <row r="184" spans="1:8" x14ac:dyDescent="0.35">
      <c r="A184" s="84" t="s">
        <v>887</v>
      </c>
      <c r="B184" s="84" t="s">
        <v>888</v>
      </c>
      <c r="C184" s="85" t="s">
        <v>683</v>
      </c>
      <c r="D184" s="86" t="s">
        <v>697</v>
      </c>
      <c r="E184" s="87">
        <v>37625</v>
      </c>
      <c r="F184" s="88" t="s">
        <v>691</v>
      </c>
      <c r="G184" s="89">
        <v>82490</v>
      </c>
      <c r="H184" s="85">
        <v>5</v>
      </c>
    </row>
    <row r="185" spans="1:8" x14ac:dyDescent="0.35">
      <c r="A185" s="84" t="s">
        <v>887</v>
      </c>
      <c r="B185" s="84" t="s">
        <v>889</v>
      </c>
      <c r="C185" s="85" t="s">
        <v>699</v>
      </c>
      <c r="D185" s="86" t="s">
        <v>705</v>
      </c>
      <c r="E185" s="87">
        <v>36305</v>
      </c>
      <c r="F185" s="88"/>
      <c r="G185" s="89">
        <v>9424</v>
      </c>
      <c r="H185" s="85">
        <v>4</v>
      </c>
    </row>
    <row r="186" spans="1:8" x14ac:dyDescent="0.35">
      <c r="A186" s="84" t="s">
        <v>887</v>
      </c>
      <c r="B186" s="84" t="s">
        <v>890</v>
      </c>
      <c r="C186" s="85" t="s">
        <v>750</v>
      </c>
      <c r="D186" s="86" t="s">
        <v>697</v>
      </c>
      <c r="E186" s="87">
        <v>39153</v>
      </c>
      <c r="F186" s="88" t="s">
        <v>691</v>
      </c>
      <c r="G186" s="89">
        <v>43600</v>
      </c>
      <c r="H186" s="85">
        <v>5</v>
      </c>
    </row>
    <row r="187" spans="1:8" x14ac:dyDescent="0.35">
      <c r="A187" s="84" t="s">
        <v>887</v>
      </c>
      <c r="B187" s="84" t="s">
        <v>891</v>
      </c>
      <c r="C187" s="85" t="s">
        <v>59</v>
      </c>
      <c r="D187" s="86" t="s">
        <v>684</v>
      </c>
      <c r="E187" s="87">
        <v>40470</v>
      </c>
      <c r="F187" s="88"/>
      <c r="G187" s="89">
        <v>37840</v>
      </c>
      <c r="H187" s="85">
        <v>1</v>
      </c>
    </row>
    <row r="188" spans="1:8" x14ac:dyDescent="0.35">
      <c r="A188" s="84" t="s">
        <v>887</v>
      </c>
      <c r="B188" s="84" t="s">
        <v>892</v>
      </c>
      <c r="C188" s="85" t="s">
        <v>699</v>
      </c>
      <c r="D188" s="86" t="s">
        <v>697</v>
      </c>
      <c r="E188" s="87">
        <v>33878</v>
      </c>
      <c r="F188" s="88" t="s">
        <v>713</v>
      </c>
      <c r="G188" s="89">
        <v>75370</v>
      </c>
      <c r="H188" s="85">
        <v>2</v>
      </c>
    </row>
    <row r="189" spans="1:8" x14ac:dyDescent="0.35">
      <c r="A189" s="84" t="s">
        <v>887</v>
      </c>
      <c r="B189" s="84" t="s">
        <v>893</v>
      </c>
      <c r="C189" s="85" t="s">
        <v>683</v>
      </c>
      <c r="D189" s="86" t="s">
        <v>697</v>
      </c>
      <c r="E189" s="87">
        <v>39455</v>
      </c>
      <c r="F189" s="88" t="s">
        <v>691</v>
      </c>
      <c r="G189" s="89">
        <v>59420</v>
      </c>
      <c r="H189" s="85">
        <v>4</v>
      </c>
    </row>
    <row r="190" spans="1:8" x14ac:dyDescent="0.35">
      <c r="A190" s="84" t="s">
        <v>887</v>
      </c>
      <c r="B190" s="84" t="s">
        <v>894</v>
      </c>
      <c r="C190" s="85" t="s">
        <v>59</v>
      </c>
      <c r="D190" s="86" t="s">
        <v>697</v>
      </c>
      <c r="E190" s="87">
        <v>36506</v>
      </c>
      <c r="F190" s="88" t="s">
        <v>691</v>
      </c>
      <c r="G190" s="89">
        <v>32100</v>
      </c>
      <c r="H190" s="85">
        <v>1</v>
      </c>
    </row>
    <row r="191" spans="1:8" x14ac:dyDescent="0.35">
      <c r="A191" s="84" t="s">
        <v>887</v>
      </c>
      <c r="B191" s="84" t="s">
        <v>895</v>
      </c>
      <c r="C191" s="85" t="s">
        <v>750</v>
      </c>
      <c r="D191" s="86" t="s">
        <v>684</v>
      </c>
      <c r="E191" s="87">
        <v>34149</v>
      </c>
      <c r="F191" s="88"/>
      <c r="G191" s="89">
        <v>45770</v>
      </c>
      <c r="H191" s="85">
        <v>5</v>
      </c>
    </row>
    <row r="192" spans="1:8" x14ac:dyDescent="0.35">
      <c r="A192" s="84" t="s">
        <v>887</v>
      </c>
      <c r="B192" s="84" t="s">
        <v>896</v>
      </c>
      <c r="C192" s="85" t="s">
        <v>72</v>
      </c>
      <c r="D192" s="86" t="s">
        <v>684</v>
      </c>
      <c r="E192" s="90">
        <v>40563</v>
      </c>
      <c r="F192" s="88"/>
      <c r="G192" s="89">
        <v>55510</v>
      </c>
      <c r="H192" s="85">
        <v>3</v>
      </c>
    </row>
    <row r="193" spans="1:8" x14ac:dyDescent="0.35">
      <c r="A193" s="84" t="s">
        <v>887</v>
      </c>
      <c r="B193" s="84" t="s">
        <v>897</v>
      </c>
      <c r="C193" s="85" t="s">
        <v>750</v>
      </c>
      <c r="D193" s="86" t="s">
        <v>697</v>
      </c>
      <c r="E193" s="87">
        <v>39404</v>
      </c>
      <c r="F193" s="88" t="s">
        <v>707</v>
      </c>
      <c r="G193" s="89">
        <v>50990</v>
      </c>
      <c r="H193" s="85">
        <v>4</v>
      </c>
    </row>
    <row r="194" spans="1:8" x14ac:dyDescent="0.35">
      <c r="A194" s="84" t="s">
        <v>887</v>
      </c>
      <c r="B194" s="84" t="s">
        <v>898</v>
      </c>
      <c r="C194" s="85" t="s">
        <v>59</v>
      </c>
      <c r="D194" s="86" t="s">
        <v>697</v>
      </c>
      <c r="E194" s="87">
        <v>35938</v>
      </c>
      <c r="F194" s="88" t="s">
        <v>707</v>
      </c>
      <c r="G194" s="89">
        <v>55450</v>
      </c>
      <c r="H194" s="85">
        <v>5</v>
      </c>
    </row>
    <row r="195" spans="1:8" x14ac:dyDescent="0.35">
      <c r="A195" s="84" t="s">
        <v>887</v>
      </c>
      <c r="B195" s="84" t="s">
        <v>899</v>
      </c>
      <c r="C195" s="85" t="s">
        <v>59</v>
      </c>
      <c r="D195" s="86" t="s">
        <v>688</v>
      </c>
      <c r="E195" s="87">
        <v>37470</v>
      </c>
      <c r="F195" s="88" t="s">
        <v>689</v>
      </c>
      <c r="G195" s="89">
        <v>33810</v>
      </c>
      <c r="H195" s="85">
        <v>5</v>
      </c>
    </row>
    <row r="196" spans="1:8" x14ac:dyDescent="0.35">
      <c r="A196" s="84" t="s">
        <v>887</v>
      </c>
      <c r="B196" s="84" t="s">
        <v>900</v>
      </c>
      <c r="C196" s="85" t="s">
        <v>85</v>
      </c>
      <c r="D196" s="86" t="s">
        <v>697</v>
      </c>
      <c r="E196" s="87">
        <v>39441</v>
      </c>
      <c r="F196" s="88" t="s">
        <v>693</v>
      </c>
      <c r="G196" s="89">
        <v>68860</v>
      </c>
      <c r="H196" s="85">
        <v>2</v>
      </c>
    </row>
    <row r="197" spans="1:8" x14ac:dyDescent="0.35">
      <c r="A197" s="84" t="s">
        <v>887</v>
      </c>
      <c r="B197" s="84" t="s">
        <v>901</v>
      </c>
      <c r="C197" s="85" t="s">
        <v>59</v>
      </c>
      <c r="D197" s="86" t="s">
        <v>688</v>
      </c>
      <c r="E197" s="87">
        <v>37166</v>
      </c>
      <c r="F197" s="88" t="s">
        <v>693</v>
      </c>
      <c r="G197" s="89">
        <v>47295</v>
      </c>
      <c r="H197" s="85">
        <v>4</v>
      </c>
    </row>
    <row r="198" spans="1:8" x14ac:dyDescent="0.35">
      <c r="A198" s="84" t="s">
        <v>887</v>
      </c>
      <c r="B198" s="84" t="s">
        <v>902</v>
      </c>
      <c r="C198" s="85" t="s">
        <v>85</v>
      </c>
      <c r="D198" s="86" t="s">
        <v>697</v>
      </c>
      <c r="E198" s="87">
        <v>35086</v>
      </c>
      <c r="F198" s="88" t="s">
        <v>707</v>
      </c>
      <c r="G198" s="89">
        <v>77350</v>
      </c>
      <c r="H198" s="85">
        <v>5</v>
      </c>
    </row>
    <row r="199" spans="1:8" x14ac:dyDescent="0.35">
      <c r="A199" s="84" t="s">
        <v>887</v>
      </c>
      <c r="B199" s="84" t="s">
        <v>903</v>
      </c>
      <c r="C199" s="85" t="s">
        <v>85</v>
      </c>
      <c r="D199" s="86" t="s">
        <v>697</v>
      </c>
      <c r="E199" s="87">
        <v>38135</v>
      </c>
      <c r="F199" s="88" t="s">
        <v>707</v>
      </c>
      <c r="G199" s="89">
        <v>65560</v>
      </c>
      <c r="H199" s="85">
        <v>1</v>
      </c>
    </row>
    <row r="200" spans="1:8" x14ac:dyDescent="0.35">
      <c r="A200" s="84" t="s">
        <v>887</v>
      </c>
      <c r="B200" s="84" t="s">
        <v>904</v>
      </c>
      <c r="C200" s="85" t="s">
        <v>72</v>
      </c>
      <c r="D200" s="86" t="s">
        <v>688</v>
      </c>
      <c r="E200" s="87">
        <v>35564</v>
      </c>
      <c r="F200" s="88" t="s">
        <v>689</v>
      </c>
      <c r="G200" s="89">
        <v>11025</v>
      </c>
      <c r="H200" s="85">
        <v>1</v>
      </c>
    </row>
    <row r="201" spans="1:8" x14ac:dyDescent="0.35">
      <c r="A201" s="84" t="s">
        <v>887</v>
      </c>
      <c r="B201" s="84" t="s">
        <v>905</v>
      </c>
      <c r="C201" s="85" t="s">
        <v>699</v>
      </c>
      <c r="D201" s="86" t="s">
        <v>697</v>
      </c>
      <c r="E201" s="87">
        <v>37509</v>
      </c>
      <c r="F201" s="88" t="s">
        <v>691</v>
      </c>
      <c r="G201" s="89">
        <v>69080</v>
      </c>
      <c r="H201" s="85">
        <v>3</v>
      </c>
    </row>
    <row r="202" spans="1:8" x14ac:dyDescent="0.35">
      <c r="A202" s="84" t="s">
        <v>887</v>
      </c>
      <c r="B202" s="84" t="s">
        <v>906</v>
      </c>
      <c r="C202" s="85" t="s">
        <v>72</v>
      </c>
      <c r="D202" s="86" t="s">
        <v>684</v>
      </c>
      <c r="E202" s="87">
        <v>35682</v>
      </c>
      <c r="F202" s="88"/>
      <c r="G202" s="89">
        <v>63850</v>
      </c>
      <c r="H202" s="85">
        <v>2</v>
      </c>
    </row>
    <row r="203" spans="1:8" x14ac:dyDescent="0.35">
      <c r="A203" s="84" t="s">
        <v>887</v>
      </c>
      <c r="B203" s="84" t="s">
        <v>907</v>
      </c>
      <c r="C203" s="85" t="s">
        <v>85</v>
      </c>
      <c r="D203" s="86" t="s">
        <v>684</v>
      </c>
      <c r="E203" s="87">
        <v>38438</v>
      </c>
      <c r="F203" s="88"/>
      <c r="G203" s="89">
        <v>32880</v>
      </c>
      <c r="H203" s="85">
        <v>3</v>
      </c>
    </row>
    <row r="204" spans="1:8" x14ac:dyDescent="0.35">
      <c r="A204" s="84" t="s">
        <v>887</v>
      </c>
      <c r="B204" s="84" t="s">
        <v>908</v>
      </c>
      <c r="C204" s="85" t="s">
        <v>699</v>
      </c>
      <c r="D204" s="86" t="s">
        <v>697</v>
      </c>
      <c r="E204" s="87">
        <v>37009</v>
      </c>
      <c r="F204" s="88" t="s">
        <v>691</v>
      </c>
      <c r="G204" s="89">
        <v>78710</v>
      </c>
      <c r="H204" s="85">
        <v>2</v>
      </c>
    </row>
    <row r="205" spans="1:8" x14ac:dyDescent="0.35">
      <c r="A205" s="84" t="s">
        <v>887</v>
      </c>
      <c r="B205" s="84" t="s">
        <v>909</v>
      </c>
      <c r="C205" s="85" t="s">
        <v>85</v>
      </c>
      <c r="D205" s="86" t="s">
        <v>705</v>
      </c>
      <c r="E205" s="87">
        <v>33256</v>
      </c>
      <c r="F205" s="88"/>
      <c r="G205" s="89">
        <v>30468</v>
      </c>
      <c r="H205" s="85">
        <v>2</v>
      </c>
    </row>
    <row r="206" spans="1:8" x14ac:dyDescent="0.35">
      <c r="A206" s="84" t="s">
        <v>887</v>
      </c>
      <c r="B206" s="84" t="s">
        <v>910</v>
      </c>
      <c r="C206" s="85" t="s">
        <v>59</v>
      </c>
      <c r="D206" s="86" t="s">
        <v>684</v>
      </c>
      <c r="E206" s="87">
        <v>34534</v>
      </c>
      <c r="F206" s="88"/>
      <c r="G206" s="89">
        <v>45105</v>
      </c>
      <c r="H206" s="85">
        <v>1</v>
      </c>
    </row>
    <row r="207" spans="1:8" x14ac:dyDescent="0.35">
      <c r="A207" s="84" t="s">
        <v>887</v>
      </c>
      <c r="B207" s="84" t="s">
        <v>911</v>
      </c>
      <c r="C207" s="85" t="s">
        <v>683</v>
      </c>
      <c r="D207" s="86" t="s">
        <v>697</v>
      </c>
      <c r="E207" s="87">
        <v>36297</v>
      </c>
      <c r="F207" s="88" t="s">
        <v>689</v>
      </c>
      <c r="G207" s="89">
        <v>46030</v>
      </c>
      <c r="H207" s="85">
        <v>2</v>
      </c>
    </row>
    <row r="208" spans="1:8" x14ac:dyDescent="0.35">
      <c r="A208" s="84" t="s">
        <v>887</v>
      </c>
      <c r="B208" s="84" t="s">
        <v>912</v>
      </c>
      <c r="C208" s="85" t="s">
        <v>750</v>
      </c>
      <c r="D208" s="86" t="s">
        <v>697</v>
      </c>
      <c r="E208" s="87">
        <v>33113</v>
      </c>
      <c r="F208" s="88" t="s">
        <v>689</v>
      </c>
      <c r="G208" s="89">
        <v>32600</v>
      </c>
      <c r="H208" s="85">
        <v>5</v>
      </c>
    </row>
    <row r="209" spans="1:8" x14ac:dyDescent="0.35">
      <c r="A209" s="84" t="s">
        <v>887</v>
      </c>
      <c r="B209" s="84" t="s">
        <v>913</v>
      </c>
      <c r="C209" s="85" t="s">
        <v>683</v>
      </c>
      <c r="D209" s="86" t="s">
        <v>697</v>
      </c>
      <c r="E209" s="87">
        <v>36567</v>
      </c>
      <c r="F209" s="88" t="s">
        <v>713</v>
      </c>
      <c r="G209" s="89">
        <v>45450</v>
      </c>
      <c r="H209" s="85">
        <v>5</v>
      </c>
    </row>
    <row r="210" spans="1:8" x14ac:dyDescent="0.35">
      <c r="A210" s="84" t="s">
        <v>887</v>
      </c>
      <c r="B210" s="84" t="s">
        <v>914</v>
      </c>
      <c r="C210" s="85" t="s">
        <v>59</v>
      </c>
      <c r="D210" s="86" t="s">
        <v>684</v>
      </c>
      <c r="E210" s="87">
        <v>40235</v>
      </c>
      <c r="F210" s="88"/>
      <c r="G210" s="89">
        <v>80729</v>
      </c>
      <c r="H210" s="85">
        <v>3</v>
      </c>
    </row>
    <row r="211" spans="1:8" x14ac:dyDescent="0.35">
      <c r="A211" s="84" t="s">
        <v>887</v>
      </c>
      <c r="B211" s="84" t="s">
        <v>915</v>
      </c>
      <c r="C211" s="85" t="s">
        <v>683</v>
      </c>
      <c r="D211" s="86" t="s">
        <v>705</v>
      </c>
      <c r="E211" s="87">
        <v>36519</v>
      </c>
      <c r="F211" s="88" t="s">
        <v>691</v>
      </c>
      <c r="G211" s="89">
        <v>61860</v>
      </c>
      <c r="H211" s="85">
        <v>5</v>
      </c>
    </row>
    <row r="212" spans="1:8" x14ac:dyDescent="0.35">
      <c r="A212" s="84" t="s">
        <v>887</v>
      </c>
      <c r="B212" s="84" t="s">
        <v>916</v>
      </c>
      <c r="C212" s="85" t="s">
        <v>699</v>
      </c>
      <c r="D212" s="86" t="s">
        <v>684</v>
      </c>
      <c r="E212" s="87">
        <v>33506</v>
      </c>
      <c r="F212" s="88"/>
      <c r="G212" s="89">
        <v>61134</v>
      </c>
      <c r="H212" s="85">
        <v>4</v>
      </c>
    </row>
    <row r="213" spans="1:8" x14ac:dyDescent="0.35">
      <c r="A213" s="84" t="s">
        <v>887</v>
      </c>
      <c r="B213" s="84" t="s">
        <v>917</v>
      </c>
      <c r="C213" s="85" t="s">
        <v>85</v>
      </c>
      <c r="D213" s="86" t="s">
        <v>688</v>
      </c>
      <c r="E213" s="87">
        <v>36357</v>
      </c>
      <c r="F213" s="88" t="s">
        <v>713</v>
      </c>
      <c r="G213" s="89">
        <v>42905</v>
      </c>
      <c r="H213" s="85">
        <v>1</v>
      </c>
    </row>
    <row r="214" spans="1:8" x14ac:dyDescent="0.35">
      <c r="A214" s="84" t="s">
        <v>887</v>
      </c>
      <c r="B214" s="84" t="s">
        <v>918</v>
      </c>
      <c r="C214" s="85" t="s">
        <v>59</v>
      </c>
      <c r="D214" s="86" t="s">
        <v>697</v>
      </c>
      <c r="E214" s="87">
        <v>34785</v>
      </c>
      <c r="F214" s="88" t="s">
        <v>689</v>
      </c>
      <c r="G214" s="89">
        <v>24300</v>
      </c>
      <c r="H214" s="85">
        <v>3</v>
      </c>
    </row>
    <row r="215" spans="1:8" x14ac:dyDescent="0.35">
      <c r="A215" s="84" t="s">
        <v>887</v>
      </c>
      <c r="B215" s="84" t="s">
        <v>919</v>
      </c>
      <c r="C215" s="85" t="s">
        <v>59</v>
      </c>
      <c r="D215" s="86" t="s">
        <v>697</v>
      </c>
      <c r="E215" s="87">
        <v>37785</v>
      </c>
      <c r="F215" s="88" t="s">
        <v>691</v>
      </c>
      <c r="G215" s="89">
        <v>87280</v>
      </c>
      <c r="H215" s="85">
        <v>4</v>
      </c>
    </row>
    <row r="216" spans="1:8" x14ac:dyDescent="0.35">
      <c r="A216" s="84" t="s">
        <v>887</v>
      </c>
      <c r="B216" s="84" t="s">
        <v>920</v>
      </c>
      <c r="C216" s="85" t="s">
        <v>85</v>
      </c>
      <c r="D216" s="86" t="s">
        <v>684</v>
      </c>
      <c r="E216" s="87">
        <v>33811</v>
      </c>
      <c r="F216" s="88"/>
      <c r="G216" s="89">
        <v>32650</v>
      </c>
      <c r="H216" s="85">
        <v>1</v>
      </c>
    </row>
    <row r="217" spans="1:8" x14ac:dyDescent="0.35">
      <c r="A217" s="84" t="s">
        <v>887</v>
      </c>
      <c r="B217" s="84" t="s">
        <v>921</v>
      </c>
      <c r="C217" s="85" t="s">
        <v>85</v>
      </c>
      <c r="D217" s="86" t="s">
        <v>697</v>
      </c>
      <c r="E217" s="87">
        <v>33613</v>
      </c>
      <c r="F217" s="88" t="s">
        <v>707</v>
      </c>
      <c r="G217" s="89">
        <v>82500</v>
      </c>
      <c r="H217" s="85">
        <v>5</v>
      </c>
    </row>
    <row r="218" spans="1:8" x14ac:dyDescent="0.35">
      <c r="A218" s="84" t="s">
        <v>887</v>
      </c>
      <c r="B218" s="84" t="s">
        <v>922</v>
      </c>
      <c r="C218" s="85" t="s">
        <v>59</v>
      </c>
      <c r="D218" s="86" t="s">
        <v>697</v>
      </c>
      <c r="E218" s="87">
        <v>35829</v>
      </c>
      <c r="F218" s="88" t="s">
        <v>689</v>
      </c>
      <c r="G218" s="89">
        <v>61030</v>
      </c>
      <c r="H218" s="85">
        <v>3</v>
      </c>
    </row>
    <row r="219" spans="1:8" x14ac:dyDescent="0.35">
      <c r="A219" s="84" t="s">
        <v>887</v>
      </c>
      <c r="B219" s="84" t="s">
        <v>923</v>
      </c>
      <c r="C219" s="85" t="s">
        <v>59</v>
      </c>
      <c r="D219" s="86" t="s">
        <v>697</v>
      </c>
      <c r="E219" s="87">
        <v>38664</v>
      </c>
      <c r="F219" s="88" t="s">
        <v>689</v>
      </c>
      <c r="G219" s="89">
        <v>61060</v>
      </c>
      <c r="H219" s="85">
        <v>5</v>
      </c>
    </row>
    <row r="220" spans="1:8" x14ac:dyDescent="0.35">
      <c r="A220" s="84" t="s">
        <v>887</v>
      </c>
      <c r="B220" s="84" t="s">
        <v>924</v>
      </c>
      <c r="C220" s="85" t="s">
        <v>85</v>
      </c>
      <c r="D220" s="86" t="s">
        <v>697</v>
      </c>
      <c r="E220" s="87">
        <v>40370</v>
      </c>
      <c r="F220" s="88" t="s">
        <v>689</v>
      </c>
      <c r="G220" s="89">
        <v>66840</v>
      </c>
      <c r="H220" s="85">
        <v>4</v>
      </c>
    </row>
    <row r="221" spans="1:8" x14ac:dyDescent="0.35">
      <c r="A221" s="84" t="s">
        <v>887</v>
      </c>
      <c r="B221" s="84" t="s">
        <v>925</v>
      </c>
      <c r="C221" s="85" t="s">
        <v>699</v>
      </c>
      <c r="D221" s="86" t="s">
        <v>697</v>
      </c>
      <c r="E221" s="87">
        <v>36956</v>
      </c>
      <c r="F221" s="88" t="s">
        <v>713</v>
      </c>
      <c r="G221" s="89">
        <v>49930</v>
      </c>
      <c r="H221" s="85">
        <v>1</v>
      </c>
    </row>
    <row r="222" spans="1:8" x14ac:dyDescent="0.35">
      <c r="A222" s="84" t="s">
        <v>887</v>
      </c>
      <c r="B222" s="84" t="s">
        <v>926</v>
      </c>
      <c r="C222" s="85" t="s">
        <v>699</v>
      </c>
      <c r="D222" s="86" t="s">
        <v>684</v>
      </c>
      <c r="E222" s="87">
        <v>33981</v>
      </c>
      <c r="F222" s="88"/>
      <c r="G222" s="89">
        <v>83020</v>
      </c>
      <c r="H222" s="85">
        <v>4</v>
      </c>
    </row>
    <row r="223" spans="1:8" x14ac:dyDescent="0.35">
      <c r="A223" s="84" t="s">
        <v>887</v>
      </c>
      <c r="B223" s="84" t="s">
        <v>927</v>
      </c>
      <c r="C223" s="85" t="s">
        <v>59</v>
      </c>
      <c r="D223" s="86" t="s">
        <v>697</v>
      </c>
      <c r="E223" s="87">
        <v>39704</v>
      </c>
      <c r="F223" s="88" t="s">
        <v>713</v>
      </c>
      <c r="G223" s="89">
        <v>58290</v>
      </c>
      <c r="H223" s="85">
        <v>5</v>
      </c>
    </row>
    <row r="224" spans="1:8" x14ac:dyDescent="0.35">
      <c r="A224" s="84" t="s">
        <v>887</v>
      </c>
      <c r="B224" s="84" t="s">
        <v>928</v>
      </c>
      <c r="C224" s="85" t="s">
        <v>72</v>
      </c>
      <c r="D224" s="86" t="s">
        <v>705</v>
      </c>
      <c r="E224" s="87">
        <v>36028</v>
      </c>
      <c r="F224" s="88"/>
      <c r="G224" s="89">
        <v>16688</v>
      </c>
      <c r="H224" s="85">
        <v>3</v>
      </c>
    </row>
    <row r="225" spans="1:8" x14ac:dyDescent="0.35">
      <c r="A225" s="84" t="s">
        <v>887</v>
      </c>
      <c r="B225" s="84" t="s">
        <v>929</v>
      </c>
      <c r="C225" s="85" t="s">
        <v>699</v>
      </c>
      <c r="D225" s="86" t="s">
        <v>684</v>
      </c>
      <c r="E225" s="87">
        <v>39783</v>
      </c>
      <c r="F225" s="88"/>
      <c r="G225" s="89">
        <v>54000</v>
      </c>
      <c r="H225" s="85">
        <v>3</v>
      </c>
    </row>
    <row r="226" spans="1:8" x14ac:dyDescent="0.35">
      <c r="A226" s="84" t="s">
        <v>887</v>
      </c>
      <c r="B226" s="84" t="s">
        <v>930</v>
      </c>
      <c r="C226" s="85" t="s">
        <v>59</v>
      </c>
      <c r="D226" s="86" t="s">
        <v>684</v>
      </c>
      <c r="E226" s="87">
        <v>39822</v>
      </c>
      <c r="F226" s="88"/>
      <c r="G226" s="89">
        <v>60040</v>
      </c>
      <c r="H226" s="85">
        <v>5</v>
      </c>
    </row>
    <row r="227" spans="1:8" x14ac:dyDescent="0.35">
      <c r="A227" s="84" t="s">
        <v>887</v>
      </c>
      <c r="B227" s="84" t="s">
        <v>931</v>
      </c>
      <c r="C227" s="85" t="s">
        <v>699</v>
      </c>
      <c r="D227" s="86" t="s">
        <v>697</v>
      </c>
      <c r="E227" s="87">
        <v>35996</v>
      </c>
      <c r="F227" s="88" t="s">
        <v>689</v>
      </c>
      <c r="G227" s="89">
        <v>40340</v>
      </c>
      <c r="H227" s="85">
        <v>2</v>
      </c>
    </row>
    <row r="228" spans="1:8" x14ac:dyDescent="0.35">
      <c r="A228" s="84" t="s">
        <v>887</v>
      </c>
      <c r="B228" s="84" t="s">
        <v>932</v>
      </c>
      <c r="C228" s="85" t="s">
        <v>699</v>
      </c>
      <c r="D228" s="86" t="s">
        <v>697</v>
      </c>
      <c r="E228" s="87">
        <v>34111</v>
      </c>
      <c r="F228" s="88" t="s">
        <v>691</v>
      </c>
      <c r="G228" s="89">
        <v>73030</v>
      </c>
      <c r="H228" s="85">
        <v>5</v>
      </c>
    </row>
    <row r="229" spans="1:8" x14ac:dyDescent="0.35">
      <c r="A229" s="84" t="s">
        <v>887</v>
      </c>
      <c r="B229" s="84" t="s">
        <v>933</v>
      </c>
      <c r="C229" s="85" t="s">
        <v>85</v>
      </c>
      <c r="D229" s="86" t="s">
        <v>684</v>
      </c>
      <c r="E229" s="87">
        <v>38507</v>
      </c>
      <c r="F229" s="88"/>
      <c r="G229" s="89">
        <v>40940</v>
      </c>
      <c r="H229" s="85">
        <v>2</v>
      </c>
    </row>
    <row r="230" spans="1:8" x14ac:dyDescent="0.35">
      <c r="A230" s="84" t="s">
        <v>887</v>
      </c>
      <c r="B230" s="84" t="s">
        <v>934</v>
      </c>
      <c r="C230" s="85" t="s">
        <v>59</v>
      </c>
      <c r="D230" s="86" t="s">
        <v>697</v>
      </c>
      <c r="E230" s="87">
        <v>38227</v>
      </c>
      <c r="F230" s="88" t="s">
        <v>691</v>
      </c>
      <c r="G230" s="89">
        <v>86200</v>
      </c>
      <c r="H230" s="85">
        <v>3</v>
      </c>
    </row>
    <row r="231" spans="1:8" x14ac:dyDescent="0.35">
      <c r="A231" s="84" t="s">
        <v>887</v>
      </c>
      <c r="B231" s="84" t="s">
        <v>935</v>
      </c>
      <c r="C231" s="85" t="s">
        <v>59</v>
      </c>
      <c r="D231" s="86" t="s">
        <v>684</v>
      </c>
      <c r="E231" s="87">
        <v>34723</v>
      </c>
      <c r="F231" s="88"/>
      <c r="G231" s="89">
        <v>64263</v>
      </c>
      <c r="H231" s="85">
        <v>3</v>
      </c>
    </row>
    <row r="232" spans="1:8" x14ac:dyDescent="0.35">
      <c r="A232" s="84" t="s">
        <v>887</v>
      </c>
      <c r="B232" s="84" t="s">
        <v>936</v>
      </c>
      <c r="C232" s="85" t="s">
        <v>699</v>
      </c>
      <c r="D232" s="86" t="s">
        <v>697</v>
      </c>
      <c r="E232" s="87">
        <v>36392</v>
      </c>
      <c r="F232" s="88" t="s">
        <v>691</v>
      </c>
      <c r="G232" s="89">
        <v>51410</v>
      </c>
      <c r="H232" s="85">
        <v>4</v>
      </c>
    </row>
    <row r="233" spans="1:8" x14ac:dyDescent="0.35">
      <c r="A233" s="84" t="s">
        <v>887</v>
      </c>
      <c r="B233" s="84" t="s">
        <v>937</v>
      </c>
      <c r="C233" s="85" t="s">
        <v>85</v>
      </c>
      <c r="D233" s="86" t="s">
        <v>697</v>
      </c>
      <c r="E233" s="87">
        <v>36330</v>
      </c>
      <c r="F233" s="88" t="s">
        <v>713</v>
      </c>
      <c r="G233" s="89">
        <v>61850</v>
      </c>
      <c r="H233" s="85">
        <v>2</v>
      </c>
    </row>
    <row r="234" spans="1:8" x14ac:dyDescent="0.35">
      <c r="A234" s="84" t="s">
        <v>887</v>
      </c>
      <c r="B234" s="84" t="s">
        <v>938</v>
      </c>
      <c r="C234" s="85" t="s">
        <v>59</v>
      </c>
      <c r="D234" s="86" t="s">
        <v>688</v>
      </c>
      <c r="E234" s="87">
        <v>36503</v>
      </c>
      <c r="F234" s="88" t="s">
        <v>707</v>
      </c>
      <c r="G234" s="89">
        <v>41615</v>
      </c>
      <c r="H234" s="85">
        <v>1</v>
      </c>
    </row>
    <row r="235" spans="1:8" x14ac:dyDescent="0.35">
      <c r="A235" s="84" t="s">
        <v>887</v>
      </c>
      <c r="B235" s="84" t="s">
        <v>939</v>
      </c>
      <c r="C235" s="85" t="s">
        <v>59</v>
      </c>
      <c r="D235" s="86" t="s">
        <v>684</v>
      </c>
      <c r="E235" s="87">
        <v>33424</v>
      </c>
      <c r="F235" s="88"/>
      <c r="G235" s="89">
        <v>22320</v>
      </c>
      <c r="H235" s="85">
        <v>2</v>
      </c>
    </row>
    <row r="236" spans="1:8" x14ac:dyDescent="0.35">
      <c r="A236" s="84" t="s">
        <v>887</v>
      </c>
      <c r="B236" s="84" t="s">
        <v>940</v>
      </c>
      <c r="C236" s="85" t="s">
        <v>59</v>
      </c>
      <c r="D236" s="86" t="s">
        <v>688</v>
      </c>
      <c r="E236" s="87">
        <v>33671</v>
      </c>
      <c r="F236" s="88" t="s">
        <v>689</v>
      </c>
      <c r="G236" s="89">
        <v>46380</v>
      </c>
      <c r="H236" s="85">
        <v>3</v>
      </c>
    </row>
    <row r="237" spans="1:8" x14ac:dyDescent="0.35">
      <c r="A237" s="84" t="s">
        <v>887</v>
      </c>
      <c r="B237" s="84" t="s">
        <v>941</v>
      </c>
      <c r="C237" s="85" t="s">
        <v>59</v>
      </c>
      <c r="D237" s="86" t="s">
        <v>697</v>
      </c>
      <c r="E237" s="87">
        <v>35052</v>
      </c>
      <c r="F237" s="88" t="s">
        <v>707</v>
      </c>
      <c r="G237" s="89">
        <v>64780</v>
      </c>
      <c r="H237" s="85">
        <v>5</v>
      </c>
    </row>
    <row r="238" spans="1:8" x14ac:dyDescent="0.35">
      <c r="A238" s="84" t="s">
        <v>887</v>
      </c>
      <c r="B238" s="84" t="s">
        <v>942</v>
      </c>
      <c r="C238" s="85" t="s">
        <v>72</v>
      </c>
      <c r="D238" s="86" t="s">
        <v>697</v>
      </c>
      <c r="E238" s="87">
        <v>36182</v>
      </c>
      <c r="F238" s="88" t="s">
        <v>691</v>
      </c>
      <c r="G238" s="89">
        <v>68300</v>
      </c>
      <c r="H238" s="85">
        <v>5</v>
      </c>
    </row>
    <row r="239" spans="1:8" x14ac:dyDescent="0.35">
      <c r="A239" s="84" t="s">
        <v>887</v>
      </c>
      <c r="B239" s="84" t="s">
        <v>943</v>
      </c>
      <c r="C239" s="85" t="s">
        <v>85</v>
      </c>
      <c r="D239" s="86" t="s">
        <v>684</v>
      </c>
      <c r="E239" s="87">
        <v>35505</v>
      </c>
      <c r="F239" s="88"/>
      <c r="G239" s="89">
        <v>74740</v>
      </c>
      <c r="H239" s="85">
        <v>5</v>
      </c>
    </row>
    <row r="240" spans="1:8" x14ac:dyDescent="0.35">
      <c r="A240" s="84" t="s">
        <v>887</v>
      </c>
      <c r="B240" s="84" t="s">
        <v>944</v>
      </c>
      <c r="C240" s="85" t="s">
        <v>59</v>
      </c>
      <c r="D240" s="86" t="s">
        <v>697</v>
      </c>
      <c r="E240" s="87">
        <v>33179</v>
      </c>
      <c r="F240" s="88" t="s">
        <v>691</v>
      </c>
      <c r="G240" s="89">
        <v>43110</v>
      </c>
      <c r="H240" s="85">
        <v>2</v>
      </c>
    </row>
    <row r="241" spans="1:8" x14ac:dyDescent="0.35">
      <c r="A241" s="84" t="s">
        <v>887</v>
      </c>
      <c r="B241" s="84" t="s">
        <v>945</v>
      </c>
      <c r="C241" s="85" t="s">
        <v>59</v>
      </c>
      <c r="D241" s="86" t="s">
        <v>697</v>
      </c>
      <c r="E241" s="87">
        <v>36549</v>
      </c>
      <c r="F241" s="88" t="s">
        <v>691</v>
      </c>
      <c r="G241" s="89">
        <v>35460</v>
      </c>
      <c r="H241" s="85">
        <v>1</v>
      </c>
    </row>
    <row r="242" spans="1:8" x14ac:dyDescent="0.35">
      <c r="A242" s="84" t="s">
        <v>887</v>
      </c>
      <c r="B242" s="84" t="s">
        <v>946</v>
      </c>
      <c r="C242" s="85" t="s">
        <v>699</v>
      </c>
      <c r="D242" s="86" t="s">
        <v>697</v>
      </c>
      <c r="E242" s="87">
        <v>35253</v>
      </c>
      <c r="F242" s="88" t="s">
        <v>689</v>
      </c>
      <c r="G242" s="89">
        <v>63780</v>
      </c>
      <c r="H242" s="85">
        <v>5</v>
      </c>
    </row>
    <row r="243" spans="1:8" x14ac:dyDescent="0.35">
      <c r="A243" s="84" t="s">
        <v>887</v>
      </c>
      <c r="B243" s="84" t="s">
        <v>947</v>
      </c>
      <c r="C243" s="85" t="s">
        <v>59</v>
      </c>
      <c r="D243" s="86" t="s">
        <v>705</v>
      </c>
      <c r="E243" s="87">
        <v>36602</v>
      </c>
      <c r="F243" s="88"/>
      <c r="G243" s="89">
        <v>30080</v>
      </c>
      <c r="H243" s="85">
        <v>3</v>
      </c>
    </row>
    <row r="244" spans="1:8" x14ac:dyDescent="0.35">
      <c r="A244" s="84" t="s">
        <v>887</v>
      </c>
      <c r="B244" s="84" t="s">
        <v>948</v>
      </c>
      <c r="C244" s="85" t="s">
        <v>59</v>
      </c>
      <c r="D244" s="86" t="s">
        <v>688</v>
      </c>
      <c r="E244" s="87">
        <v>39417</v>
      </c>
      <c r="F244" s="88" t="s">
        <v>707</v>
      </c>
      <c r="G244" s="89">
        <v>46095</v>
      </c>
      <c r="H244" s="85">
        <v>3</v>
      </c>
    </row>
    <row r="245" spans="1:8" x14ac:dyDescent="0.35">
      <c r="A245" s="84" t="s">
        <v>887</v>
      </c>
      <c r="B245" s="84" t="s">
        <v>949</v>
      </c>
      <c r="C245" s="85" t="s">
        <v>72</v>
      </c>
      <c r="D245" s="86" t="s">
        <v>684</v>
      </c>
      <c r="E245" s="87">
        <v>35848</v>
      </c>
      <c r="F245" s="88"/>
      <c r="G245" s="89">
        <v>85480</v>
      </c>
      <c r="H245" s="85">
        <v>5</v>
      </c>
    </row>
    <row r="246" spans="1:8" x14ac:dyDescent="0.35">
      <c r="A246" s="84" t="s">
        <v>887</v>
      </c>
      <c r="B246" s="84" t="s">
        <v>950</v>
      </c>
      <c r="C246" s="85" t="s">
        <v>59</v>
      </c>
      <c r="D246" s="86" t="s">
        <v>697</v>
      </c>
      <c r="E246" s="87">
        <v>33720</v>
      </c>
      <c r="F246" s="88" t="s">
        <v>691</v>
      </c>
      <c r="G246" s="89">
        <v>58910</v>
      </c>
      <c r="H246" s="85">
        <v>1</v>
      </c>
    </row>
    <row r="247" spans="1:8" x14ac:dyDescent="0.35">
      <c r="A247" s="84" t="s">
        <v>887</v>
      </c>
      <c r="B247" s="84" t="s">
        <v>951</v>
      </c>
      <c r="C247" s="85" t="s">
        <v>699</v>
      </c>
      <c r="D247" s="86" t="s">
        <v>684</v>
      </c>
      <c r="E247" s="87">
        <v>37899</v>
      </c>
      <c r="F247" s="88"/>
      <c r="G247" s="89">
        <v>64220</v>
      </c>
      <c r="H247" s="85">
        <v>5</v>
      </c>
    </row>
    <row r="248" spans="1:8" x14ac:dyDescent="0.35">
      <c r="A248" s="84" t="s">
        <v>887</v>
      </c>
      <c r="B248" s="84" t="s">
        <v>952</v>
      </c>
      <c r="C248" s="85" t="s">
        <v>699</v>
      </c>
      <c r="D248" s="86" t="s">
        <v>697</v>
      </c>
      <c r="E248" s="87">
        <v>33685</v>
      </c>
      <c r="F248" s="88" t="s">
        <v>689</v>
      </c>
      <c r="G248" s="89">
        <v>65571</v>
      </c>
      <c r="H248" s="85">
        <v>3</v>
      </c>
    </row>
    <row r="249" spans="1:8" x14ac:dyDescent="0.35">
      <c r="A249" s="84" t="s">
        <v>887</v>
      </c>
      <c r="B249" s="84" t="s">
        <v>953</v>
      </c>
      <c r="C249" s="85" t="s">
        <v>85</v>
      </c>
      <c r="D249" s="86" t="s">
        <v>697</v>
      </c>
      <c r="E249" s="87">
        <v>33578</v>
      </c>
      <c r="F249" s="88" t="s">
        <v>689</v>
      </c>
      <c r="G249" s="89">
        <v>43580</v>
      </c>
      <c r="H249" s="85">
        <v>5</v>
      </c>
    </row>
    <row r="250" spans="1:8" x14ac:dyDescent="0.35">
      <c r="A250" s="84" t="s">
        <v>887</v>
      </c>
      <c r="B250" s="84" t="s">
        <v>954</v>
      </c>
      <c r="C250" s="85" t="s">
        <v>59</v>
      </c>
      <c r="D250" s="86" t="s">
        <v>688</v>
      </c>
      <c r="E250" s="87">
        <v>34140</v>
      </c>
      <c r="F250" s="88" t="s">
        <v>713</v>
      </c>
      <c r="G250" s="89">
        <v>11230</v>
      </c>
      <c r="H250" s="85">
        <v>4</v>
      </c>
    </row>
    <row r="251" spans="1:8" x14ac:dyDescent="0.35">
      <c r="A251" s="84" t="s">
        <v>887</v>
      </c>
      <c r="B251" s="84" t="s">
        <v>955</v>
      </c>
      <c r="C251" s="85" t="s">
        <v>699</v>
      </c>
      <c r="D251" s="86" t="s">
        <v>697</v>
      </c>
      <c r="E251" s="87">
        <v>33746</v>
      </c>
      <c r="F251" s="88" t="s">
        <v>693</v>
      </c>
      <c r="G251" s="89">
        <v>31830</v>
      </c>
      <c r="H251" s="85">
        <v>3</v>
      </c>
    </row>
    <row r="252" spans="1:8" x14ac:dyDescent="0.35">
      <c r="A252" s="84" t="s">
        <v>887</v>
      </c>
      <c r="B252" s="84" t="s">
        <v>956</v>
      </c>
      <c r="C252" s="85" t="s">
        <v>699</v>
      </c>
      <c r="D252" s="86" t="s">
        <v>684</v>
      </c>
      <c r="E252" s="87">
        <v>37453</v>
      </c>
      <c r="F252" s="88"/>
      <c r="G252" s="89">
        <v>49090</v>
      </c>
      <c r="H252" s="85">
        <v>4</v>
      </c>
    </row>
    <row r="253" spans="1:8" x14ac:dyDescent="0.35">
      <c r="A253" s="84" t="s">
        <v>887</v>
      </c>
      <c r="B253" s="84" t="s">
        <v>957</v>
      </c>
      <c r="C253" s="85" t="s">
        <v>699</v>
      </c>
      <c r="D253" s="86" t="s">
        <v>684</v>
      </c>
      <c r="E253" s="87">
        <v>37526</v>
      </c>
      <c r="F253" s="88"/>
      <c r="G253" s="89">
        <v>61580</v>
      </c>
      <c r="H253" s="85">
        <v>3</v>
      </c>
    </row>
    <row r="254" spans="1:8" x14ac:dyDescent="0.35">
      <c r="A254" s="84" t="s">
        <v>887</v>
      </c>
      <c r="B254" s="84" t="s">
        <v>958</v>
      </c>
      <c r="C254" s="85" t="s">
        <v>85</v>
      </c>
      <c r="D254" s="86" t="s">
        <v>688</v>
      </c>
      <c r="E254" s="87">
        <v>36531</v>
      </c>
      <c r="F254" s="88" t="s">
        <v>707</v>
      </c>
      <c r="G254" s="89">
        <v>20990</v>
      </c>
      <c r="H254" s="85">
        <v>4</v>
      </c>
    </row>
    <row r="255" spans="1:8" x14ac:dyDescent="0.35">
      <c r="A255" s="84" t="s">
        <v>887</v>
      </c>
      <c r="B255" s="84" t="s">
        <v>959</v>
      </c>
      <c r="C255" s="85" t="s">
        <v>699</v>
      </c>
      <c r="D255" s="86" t="s">
        <v>684</v>
      </c>
      <c r="E255" s="87">
        <v>36406</v>
      </c>
      <c r="F255" s="88"/>
      <c r="G255" s="89">
        <v>60800</v>
      </c>
      <c r="H255" s="85">
        <v>4</v>
      </c>
    </row>
    <row r="256" spans="1:8" x14ac:dyDescent="0.35">
      <c r="A256" s="84" t="s">
        <v>887</v>
      </c>
      <c r="B256" s="84" t="s">
        <v>960</v>
      </c>
      <c r="C256" s="85" t="s">
        <v>59</v>
      </c>
      <c r="D256" s="86" t="s">
        <v>697</v>
      </c>
      <c r="E256" s="87">
        <v>35137</v>
      </c>
      <c r="F256" s="88" t="s">
        <v>691</v>
      </c>
      <c r="G256" s="89">
        <v>33590</v>
      </c>
      <c r="H256" s="85">
        <v>5</v>
      </c>
    </row>
    <row r="257" spans="1:8" x14ac:dyDescent="0.35">
      <c r="A257" s="84" t="s">
        <v>887</v>
      </c>
      <c r="B257" s="84" t="s">
        <v>961</v>
      </c>
      <c r="C257" s="85" t="s">
        <v>683</v>
      </c>
      <c r="D257" s="86" t="s">
        <v>697</v>
      </c>
      <c r="E257" s="87">
        <v>36672</v>
      </c>
      <c r="F257" s="88" t="s">
        <v>693</v>
      </c>
      <c r="G257" s="89">
        <v>65320</v>
      </c>
      <c r="H257" s="85">
        <v>5</v>
      </c>
    </row>
    <row r="258" spans="1:8" x14ac:dyDescent="0.35">
      <c r="A258" s="84" t="s">
        <v>887</v>
      </c>
      <c r="B258" s="84" t="s">
        <v>962</v>
      </c>
      <c r="C258" s="85" t="s">
        <v>59</v>
      </c>
      <c r="D258" s="86" t="s">
        <v>697</v>
      </c>
      <c r="E258" s="87">
        <v>40399</v>
      </c>
      <c r="F258" s="88" t="s">
        <v>707</v>
      </c>
      <c r="G258" s="89">
        <v>32640</v>
      </c>
      <c r="H258" s="85">
        <v>4</v>
      </c>
    </row>
    <row r="259" spans="1:8" x14ac:dyDescent="0.35">
      <c r="A259" s="84" t="s">
        <v>887</v>
      </c>
      <c r="B259" s="84" t="s">
        <v>963</v>
      </c>
      <c r="C259" s="85" t="s">
        <v>59</v>
      </c>
      <c r="D259" s="86" t="s">
        <v>697</v>
      </c>
      <c r="E259" s="87">
        <v>39972</v>
      </c>
      <c r="F259" s="88" t="s">
        <v>689</v>
      </c>
      <c r="G259" s="89">
        <v>78170</v>
      </c>
      <c r="H259" s="85">
        <v>5</v>
      </c>
    </row>
    <row r="260" spans="1:8" x14ac:dyDescent="0.35">
      <c r="A260" s="84" t="s">
        <v>887</v>
      </c>
      <c r="B260" s="84" t="s">
        <v>964</v>
      </c>
      <c r="C260" s="85" t="s">
        <v>85</v>
      </c>
      <c r="D260" s="86" t="s">
        <v>684</v>
      </c>
      <c r="E260" s="87">
        <v>37326</v>
      </c>
      <c r="F260" s="88"/>
      <c r="G260" s="89">
        <v>52770</v>
      </c>
      <c r="H260" s="85">
        <v>2</v>
      </c>
    </row>
    <row r="261" spans="1:8" x14ac:dyDescent="0.35">
      <c r="A261" s="84" t="s">
        <v>887</v>
      </c>
      <c r="B261" s="84" t="s">
        <v>965</v>
      </c>
      <c r="C261" s="85" t="s">
        <v>59</v>
      </c>
      <c r="D261" s="86" t="s">
        <v>688</v>
      </c>
      <c r="E261" s="87">
        <v>35961</v>
      </c>
      <c r="F261" s="88" t="s">
        <v>689</v>
      </c>
      <c r="G261" s="89">
        <v>20500</v>
      </c>
      <c r="H261" s="85">
        <v>3</v>
      </c>
    </row>
    <row r="262" spans="1:8" x14ac:dyDescent="0.35">
      <c r="A262" s="84" t="s">
        <v>887</v>
      </c>
      <c r="B262" s="84" t="s">
        <v>966</v>
      </c>
      <c r="C262" s="85" t="s">
        <v>59</v>
      </c>
      <c r="D262" s="86" t="s">
        <v>697</v>
      </c>
      <c r="E262" s="87">
        <v>36012</v>
      </c>
      <c r="F262" s="88" t="s">
        <v>693</v>
      </c>
      <c r="G262" s="89">
        <v>78950</v>
      </c>
      <c r="H262" s="85">
        <v>1</v>
      </c>
    </row>
    <row r="263" spans="1:8" x14ac:dyDescent="0.35">
      <c r="A263" s="84" t="s">
        <v>887</v>
      </c>
      <c r="B263" s="84" t="s">
        <v>967</v>
      </c>
      <c r="C263" s="85" t="s">
        <v>59</v>
      </c>
      <c r="D263" s="86" t="s">
        <v>688</v>
      </c>
      <c r="E263" s="87">
        <v>36217</v>
      </c>
      <c r="F263" s="88" t="s">
        <v>691</v>
      </c>
      <c r="G263" s="89">
        <v>22475</v>
      </c>
      <c r="H263" s="85">
        <v>4</v>
      </c>
    </row>
    <row r="264" spans="1:8" x14ac:dyDescent="0.35">
      <c r="A264" s="84" t="s">
        <v>887</v>
      </c>
      <c r="B264" s="84" t="s">
        <v>968</v>
      </c>
      <c r="C264" s="85" t="s">
        <v>699</v>
      </c>
      <c r="D264" s="86" t="s">
        <v>697</v>
      </c>
      <c r="E264" s="87">
        <v>33117</v>
      </c>
      <c r="F264" s="88" t="s">
        <v>707</v>
      </c>
      <c r="G264" s="89">
        <v>35360</v>
      </c>
      <c r="H264" s="85">
        <v>5</v>
      </c>
    </row>
    <row r="265" spans="1:8" x14ac:dyDescent="0.35">
      <c r="A265" s="84" t="s">
        <v>887</v>
      </c>
      <c r="B265" s="84" t="s">
        <v>969</v>
      </c>
      <c r="C265" s="85" t="s">
        <v>72</v>
      </c>
      <c r="D265" s="86" t="s">
        <v>688</v>
      </c>
      <c r="E265" s="87">
        <v>33319</v>
      </c>
      <c r="F265" s="88" t="s">
        <v>707</v>
      </c>
      <c r="G265" s="89">
        <v>13090</v>
      </c>
      <c r="H265" s="85">
        <v>4</v>
      </c>
    </row>
    <row r="266" spans="1:8" x14ac:dyDescent="0.35">
      <c r="A266" s="84" t="s">
        <v>887</v>
      </c>
      <c r="B266" s="84" t="s">
        <v>970</v>
      </c>
      <c r="C266" s="85" t="s">
        <v>59</v>
      </c>
      <c r="D266" s="86" t="s">
        <v>697</v>
      </c>
      <c r="E266" s="87">
        <v>40501</v>
      </c>
      <c r="F266" s="88" t="s">
        <v>707</v>
      </c>
      <c r="G266" s="89">
        <v>77820</v>
      </c>
      <c r="H266" s="85">
        <v>3</v>
      </c>
    </row>
    <row r="267" spans="1:8" x14ac:dyDescent="0.35">
      <c r="A267" s="84" t="s">
        <v>887</v>
      </c>
      <c r="B267" s="84" t="s">
        <v>971</v>
      </c>
      <c r="C267" s="85" t="s">
        <v>699</v>
      </c>
      <c r="D267" s="86" t="s">
        <v>697</v>
      </c>
      <c r="E267" s="87">
        <v>35373</v>
      </c>
      <c r="F267" s="88" t="s">
        <v>691</v>
      </c>
      <c r="G267" s="89">
        <v>66440</v>
      </c>
      <c r="H267" s="85">
        <v>3</v>
      </c>
    </row>
    <row r="268" spans="1:8" x14ac:dyDescent="0.35">
      <c r="A268" s="84" t="s">
        <v>887</v>
      </c>
      <c r="B268" s="84" t="s">
        <v>972</v>
      </c>
      <c r="C268" s="85" t="s">
        <v>699</v>
      </c>
      <c r="D268" s="86" t="s">
        <v>697</v>
      </c>
      <c r="E268" s="87">
        <v>38353</v>
      </c>
      <c r="F268" s="88" t="s">
        <v>691</v>
      </c>
      <c r="G268" s="89">
        <v>83710</v>
      </c>
      <c r="H268" s="85">
        <v>3</v>
      </c>
    </row>
    <row r="269" spans="1:8" x14ac:dyDescent="0.35">
      <c r="A269" s="84" t="s">
        <v>887</v>
      </c>
      <c r="B269" s="84" t="s">
        <v>973</v>
      </c>
      <c r="C269" s="85" t="s">
        <v>85</v>
      </c>
      <c r="D269" s="86" t="s">
        <v>697</v>
      </c>
      <c r="E269" s="87">
        <v>33279</v>
      </c>
      <c r="F269" s="88" t="s">
        <v>689</v>
      </c>
      <c r="G269" s="89">
        <v>24200</v>
      </c>
      <c r="H269" s="85">
        <v>5</v>
      </c>
    </row>
    <row r="270" spans="1:8" x14ac:dyDescent="0.35">
      <c r="A270" s="84" t="s">
        <v>887</v>
      </c>
      <c r="B270" s="84" t="s">
        <v>974</v>
      </c>
      <c r="C270" s="85" t="s">
        <v>750</v>
      </c>
      <c r="D270" s="86" t="s">
        <v>697</v>
      </c>
      <c r="E270" s="87">
        <v>36122</v>
      </c>
      <c r="F270" s="88" t="s">
        <v>693</v>
      </c>
      <c r="G270" s="89">
        <v>22660</v>
      </c>
      <c r="H270" s="85">
        <v>2</v>
      </c>
    </row>
    <row r="271" spans="1:8" x14ac:dyDescent="0.35">
      <c r="A271" s="84" t="s">
        <v>887</v>
      </c>
      <c r="B271" s="84" t="s">
        <v>975</v>
      </c>
      <c r="C271" s="85" t="s">
        <v>750</v>
      </c>
      <c r="D271" s="86" t="s">
        <v>697</v>
      </c>
      <c r="E271" s="87">
        <v>35254</v>
      </c>
      <c r="F271" s="88" t="s">
        <v>689</v>
      </c>
      <c r="G271" s="89">
        <v>48800</v>
      </c>
      <c r="H271" s="85">
        <v>4</v>
      </c>
    </row>
    <row r="272" spans="1:8" x14ac:dyDescent="0.35">
      <c r="A272" s="84" t="s">
        <v>887</v>
      </c>
      <c r="B272" s="84" t="s">
        <v>976</v>
      </c>
      <c r="C272" s="85" t="s">
        <v>699</v>
      </c>
      <c r="D272" s="86" t="s">
        <v>697</v>
      </c>
      <c r="E272" s="87">
        <v>37848</v>
      </c>
      <c r="F272" s="88" t="s">
        <v>693</v>
      </c>
      <c r="G272" s="89">
        <v>76910</v>
      </c>
      <c r="H272" s="85">
        <v>2</v>
      </c>
    </row>
    <row r="273" spans="1:8" x14ac:dyDescent="0.35">
      <c r="A273" s="84" t="s">
        <v>887</v>
      </c>
      <c r="B273" s="84" t="s">
        <v>977</v>
      </c>
      <c r="C273" s="85" t="s">
        <v>699</v>
      </c>
      <c r="D273" s="86" t="s">
        <v>697</v>
      </c>
      <c r="E273" s="87">
        <v>40274</v>
      </c>
      <c r="F273" s="88" t="s">
        <v>693</v>
      </c>
      <c r="G273" s="89">
        <v>38730</v>
      </c>
      <c r="H273" s="85">
        <v>1</v>
      </c>
    </row>
    <row r="274" spans="1:8" x14ac:dyDescent="0.35">
      <c r="A274" s="84" t="s">
        <v>887</v>
      </c>
      <c r="B274" s="84" t="s">
        <v>978</v>
      </c>
      <c r="C274" s="85" t="s">
        <v>683</v>
      </c>
      <c r="D274" s="86" t="s">
        <v>697</v>
      </c>
      <c r="E274" s="87">
        <v>36536</v>
      </c>
      <c r="F274" s="88" t="s">
        <v>689</v>
      </c>
      <c r="G274" s="89">
        <v>62400</v>
      </c>
      <c r="H274" s="85">
        <v>4</v>
      </c>
    </row>
    <row r="275" spans="1:8" x14ac:dyDescent="0.35">
      <c r="A275" s="84" t="s">
        <v>887</v>
      </c>
      <c r="B275" s="84" t="s">
        <v>979</v>
      </c>
      <c r="C275" s="85" t="s">
        <v>699</v>
      </c>
      <c r="D275" s="86" t="s">
        <v>697</v>
      </c>
      <c r="E275" s="87">
        <v>40637</v>
      </c>
      <c r="F275" s="88" t="s">
        <v>689</v>
      </c>
      <c r="G275" s="89">
        <v>86640</v>
      </c>
      <c r="H275" s="85">
        <v>3</v>
      </c>
    </row>
    <row r="276" spans="1:8" x14ac:dyDescent="0.35">
      <c r="A276" s="84" t="s">
        <v>887</v>
      </c>
      <c r="B276" s="84" t="s">
        <v>980</v>
      </c>
      <c r="C276" s="85" t="s">
        <v>699</v>
      </c>
      <c r="D276" s="86" t="s">
        <v>684</v>
      </c>
      <c r="E276" s="87">
        <v>36479</v>
      </c>
      <c r="F276" s="88"/>
      <c r="G276" s="89">
        <v>54840</v>
      </c>
      <c r="H276" s="85">
        <v>4</v>
      </c>
    </row>
    <row r="277" spans="1:8" x14ac:dyDescent="0.35">
      <c r="A277" s="84" t="s">
        <v>887</v>
      </c>
      <c r="B277" s="84" t="s">
        <v>981</v>
      </c>
      <c r="C277" s="85" t="s">
        <v>85</v>
      </c>
      <c r="D277" s="86" t="s">
        <v>684</v>
      </c>
      <c r="E277" s="87">
        <v>33245</v>
      </c>
      <c r="F277" s="88"/>
      <c r="G277" s="89">
        <v>80050</v>
      </c>
      <c r="H277" s="85">
        <v>2</v>
      </c>
    </row>
    <row r="278" spans="1:8" x14ac:dyDescent="0.35">
      <c r="A278" s="84" t="s">
        <v>887</v>
      </c>
      <c r="B278" s="84" t="s">
        <v>982</v>
      </c>
      <c r="C278" s="85" t="s">
        <v>59</v>
      </c>
      <c r="D278" s="86" t="s">
        <v>705</v>
      </c>
      <c r="E278" s="87">
        <v>37946</v>
      </c>
      <c r="F278" s="88" t="s">
        <v>689</v>
      </c>
      <c r="G278" s="89">
        <v>85130</v>
      </c>
      <c r="H278" s="85">
        <v>5</v>
      </c>
    </row>
    <row r="279" spans="1:8" x14ac:dyDescent="0.35">
      <c r="A279" s="84" t="s">
        <v>887</v>
      </c>
      <c r="B279" s="84" t="s">
        <v>983</v>
      </c>
      <c r="C279" s="85" t="s">
        <v>59</v>
      </c>
      <c r="D279" s="86" t="s">
        <v>697</v>
      </c>
      <c r="E279" s="87">
        <v>35487</v>
      </c>
      <c r="F279" s="88" t="s">
        <v>689</v>
      </c>
      <c r="G279" s="89">
        <v>80120</v>
      </c>
      <c r="H279" s="85">
        <v>4</v>
      </c>
    </row>
    <row r="280" spans="1:8" x14ac:dyDescent="0.35">
      <c r="A280" s="84" t="s">
        <v>887</v>
      </c>
      <c r="B280" s="84" t="s">
        <v>984</v>
      </c>
      <c r="C280" s="85" t="s">
        <v>72</v>
      </c>
      <c r="D280" s="86" t="s">
        <v>697</v>
      </c>
      <c r="E280" s="87">
        <v>35307</v>
      </c>
      <c r="F280" s="88" t="s">
        <v>689</v>
      </c>
      <c r="G280" s="89">
        <v>31690</v>
      </c>
      <c r="H280" s="85">
        <v>4</v>
      </c>
    </row>
    <row r="281" spans="1:8" x14ac:dyDescent="0.35">
      <c r="A281" s="84" t="s">
        <v>887</v>
      </c>
      <c r="B281" s="84" t="s">
        <v>985</v>
      </c>
      <c r="C281" s="85" t="s">
        <v>699</v>
      </c>
      <c r="D281" s="86" t="s">
        <v>697</v>
      </c>
      <c r="E281" s="87">
        <v>39745</v>
      </c>
      <c r="F281" s="88" t="s">
        <v>691</v>
      </c>
      <c r="G281" s="89">
        <v>29330</v>
      </c>
      <c r="H281" s="85">
        <v>5</v>
      </c>
    </row>
    <row r="282" spans="1:8" x14ac:dyDescent="0.35">
      <c r="A282" s="84" t="s">
        <v>887</v>
      </c>
      <c r="B282" s="84" t="s">
        <v>986</v>
      </c>
      <c r="C282" s="85" t="s">
        <v>59</v>
      </c>
      <c r="D282" s="86" t="s">
        <v>684</v>
      </c>
      <c r="E282" s="87">
        <v>36070</v>
      </c>
      <c r="F282" s="88"/>
      <c r="G282" s="89">
        <v>59050</v>
      </c>
      <c r="H282" s="85">
        <v>4</v>
      </c>
    </row>
    <row r="283" spans="1:8" x14ac:dyDescent="0.35">
      <c r="A283" s="84" t="s">
        <v>887</v>
      </c>
      <c r="B283" s="84" t="s">
        <v>987</v>
      </c>
      <c r="C283" s="85" t="s">
        <v>699</v>
      </c>
      <c r="D283" s="86" t="s">
        <v>697</v>
      </c>
      <c r="E283" s="87">
        <v>36967</v>
      </c>
      <c r="F283" s="88" t="s">
        <v>689</v>
      </c>
      <c r="G283" s="89">
        <v>63060</v>
      </c>
      <c r="H283" s="85">
        <v>4</v>
      </c>
    </row>
    <row r="284" spans="1:8" x14ac:dyDescent="0.35">
      <c r="A284" s="84" t="s">
        <v>887</v>
      </c>
      <c r="B284" s="84" t="s">
        <v>988</v>
      </c>
      <c r="C284" s="85" t="s">
        <v>683</v>
      </c>
      <c r="D284" s="86" t="s">
        <v>697</v>
      </c>
      <c r="E284" s="87">
        <v>35412</v>
      </c>
      <c r="F284" s="88" t="s">
        <v>693</v>
      </c>
      <c r="G284" s="89">
        <v>77950</v>
      </c>
      <c r="H284" s="85">
        <v>4</v>
      </c>
    </row>
    <row r="285" spans="1:8" x14ac:dyDescent="0.35">
      <c r="A285" s="84" t="s">
        <v>887</v>
      </c>
      <c r="B285" s="84" t="s">
        <v>989</v>
      </c>
      <c r="C285" s="85" t="s">
        <v>59</v>
      </c>
      <c r="D285" s="86" t="s">
        <v>688</v>
      </c>
      <c r="E285" s="87">
        <v>36360</v>
      </c>
      <c r="F285" s="88" t="s">
        <v>691</v>
      </c>
      <c r="G285" s="89">
        <v>11065</v>
      </c>
      <c r="H285" s="85">
        <v>1</v>
      </c>
    </row>
    <row r="286" spans="1:8" x14ac:dyDescent="0.35">
      <c r="A286" s="84" t="s">
        <v>887</v>
      </c>
      <c r="B286" s="84" t="s">
        <v>990</v>
      </c>
      <c r="C286" s="85" t="s">
        <v>699</v>
      </c>
      <c r="D286" s="86" t="s">
        <v>684</v>
      </c>
      <c r="E286" s="87">
        <v>35776</v>
      </c>
      <c r="F286" s="88"/>
      <c r="G286" s="89">
        <v>77930</v>
      </c>
      <c r="H286" s="85">
        <v>5</v>
      </c>
    </row>
    <row r="287" spans="1:8" x14ac:dyDescent="0.35">
      <c r="A287" s="84" t="s">
        <v>887</v>
      </c>
      <c r="B287" s="84" t="s">
        <v>991</v>
      </c>
      <c r="C287" s="85" t="s">
        <v>59</v>
      </c>
      <c r="D287" s="86" t="s">
        <v>684</v>
      </c>
      <c r="E287" s="87">
        <v>34671</v>
      </c>
      <c r="F287" s="88"/>
      <c r="G287" s="89">
        <v>80690</v>
      </c>
      <c r="H287" s="85">
        <v>3</v>
      </c>
    </row>
    <row r="288" spans="1:8" x14ac:dyDescent="0.35">
      <c r="A288" s="84" t="s">
        <v>887</v>
      </c>
      <c r="B288" s="84" t="s">
        <v>992</v>
      </c>
      <c r="C288" s="85" t="s">
        <v>699</v>
      </c>
      <c r="D288" s="86" t="s">
        <v>684</v>
      </c>
      <c r="E288" s="87">
        <v>40054</v>
      </c>
      <c r="F288" s="88"/>
      <c r="G288" s="89">
        <v>56920</v>
      </c>
      <c r="H288" s="85">
        <v>4</v>
      </c>
    </row>
    <row r="289" spans="1:8" x14ac:dyDescent="0.35">
      <c r="A289" s="84" t="s">
        <v>887</v>
      </c>
      <c r="B289" s="84" t="s">
        <v>993</v>
      </c>
      <c r="C289" s="85" t="s">
        <v>59</v>
      </c>
      <c r="D289" s="86" t="s">
        <v>697</v>
      </c>
      <c r="E289" s="87">
        <v>35356</v>
      </c>
      <c r="F289" s="88" t="s">
        <v>693</v>
      </c>
      <c r="G289" s="89">
        <v>45480</v>
      </c>
      <c r="H289" s="85">
        <v>4</v>
      </c>
    </row>
    <row r="290" spans="1:8" x14ac:dyDescent="0.35">
      <c r="A290" s="84" t="s">
        <v>887</v>
      </c>
      <c r="B290" s="84" t="s">
        <v>994</v>
      </c>
      <c r="C290" s="85" t="s">
        <v>683</v>
      </c>
      <c r="D290" s="86" t="s">
        <v>697</v>
      </c>
      <c r="E290" s="87">
        <v>37810</v>
      </c>
      <c r="F290" s="88" t="s">
        <v>691</v>
      </c>
      <c r="G290" s="89">
        <v>48010</v>
      </c>
      <c r="H290" s="85">
        <v>3</v>
      </c>
    </row>
    <row r="291" spans="1:8" x14ac:dyDescent="0.35">
      <c r="A291" s="84" t="s">
        <v>887</v>
      </c>
      <c r="B291" s="84" t="s">
        <v>995</v>
      </c>
      <c r="C291" s="85" t="s">
        <v>59</v>
      </c>
      <c r="D291" s="86" t="s">
        <v>697</v>
      </c>
      <c r="E291" s="87">
        <v>35605</v>
      </c>
      <c r="F291" s="88" t="s">
        <v>691</v>
      </c>
      <c r="G291" s="89">
        <v>56870</v>
      </c>
      <c r="H291" s="85">
        <v>1</v>
      </c>
    </row>
    <row r="292" spans="1:8" x14ac:dyDescent="0.35">
      <c r="A292" s="84" t="s">
        <v>887</v>
      </c>
      <c r="B292" s="84" t="s">
        <v>996</v>
      </c>
      <c r="C292" s="85" t="s">
        <v>59</v>
      </c>
      <c r="D292" s="86" t="s">
        <v>697</v>
      </c>
      <c r="E292" s="87">
        <v>34021</v>
      </c>
      <c r="F292" s="88" t="s">
        <v>691</v>
      </c>
      <c r="G292" s="89">
        <v>45110</v>
      </c>
      <c r="H292" s="85">
        <v>2</v>
      </c>
    </row>
    <row r="293" spans="1:8" x14ac:dyDescent="0.35">
      <c r="A293" s="84" t="s">
        <v>887</v>
      </c>
      <c r="B293" s="84" t="s">
        <v>997</v>
      </c>
      <c r="C293" s="85" t="s">
        <v>85</v>
      </c>
      <c r="D293" s="86" t="s">
        <v>684</v>
      </c>
      <c r="E293" s="87">
        <v>35939</v>
      </c>
      <c r="F293" s="88"/>
      <c r="G293" s="89">
        <v>25120</v>
      </c>
      <c r="H293" s="85">
        <v>5</v>
      </c>
    </row>
    <row r="294" spans="1:8" x14ac:dyDescent="0.35">
      <c r="A294" s="84" t="s">
        <v>887</v>
      </c>
      <c r="B294" s="84" t="s">
        <v>998</v>
      </c>
      <c r="C294" s="85" t="s">
        <v>699</v>
      </c>
      <c r="D294" s="86" t="s">
        <v>684</v>
      </c>
      <c r="E294" s="87">
        <v>37820</v>
      </c>
      <c r="F294" s="88"/>
      <c r="G294" s="89">
        <v>75420</v>
      </c>
      <c r="H294" s="85">
        <v>1</v>
      </c>
    </row>
    <row r="295" spans="1:8" x14ac:dyDescent="0.35">
      <c r="A295" s="84" t="s">
        <v>887</v>
      </c>
      <c r="B295" s="84" t="s">
        <v>999</v>
      </c>
      <c r="C295" s="85" t="s">
        <v>59</v>
      </c>
      <c r="D295" s="86" t="s">
        <v>684</v>
      </c>
      <c r="E295" s="87">
        <v>33167</v>
      </c>
      <c r="F295" s="88"/>
      <c r="G295" s="89">
        <v>23020</v>
      </c>
      <c r="H295" s="85">
        <v>4</v>
      </c>
    </row>
    <row r="296" spans="1:8" x14ac:dyDescent="0.35">
      <c r="A296" s="84" t="s">
        <v>887</v>
      </c>
      <c r="B296" s="84" t="s">
        <v>1000</v>
      </c>
      <c r="C296" s="85" t="s">
        <v>59</v>
      </c>
      <c r="D296" s="86" t="s">
        <v>684</v>
      </c>
      <c r="E296" s="87">
        <v>35959</v>
      </c>
      <c r="F296" s="88"/>
      <c r="G296" s="89">
        <v>64470</v>
      </c>
      <c r="H296" s="85">
        <v>3</v>
      </c>
    </row>
    <row r="297" spans="1:8" x14ac:dyDescent="0.35">
      <c r="A297" s="84" t="s">
        <v>887</v>
      </c>
      <c r="B297" s="84" t="s">
        <v>1001</v>
      </c>
      <c r="C297" s="85" t="s">
        <v>59</v>
      </c>
      <c r="D297" s="86" t="s">
        <v>705</v>
      </c>
      <c r="E297" s="87">
        <v>37730</v>
      </c>
      <c r="F297" s="88"/>
      <c r="G297" s="89">
        <v>8892</v>
      </c>
      <c r="H297" s="85">
        <v>1</v>
      </c>
    </row>
    <row r="298" spans="1:8" x14ac:dyDescent="0.35">
      <c r="A298" s="84" t="s">
        <v>887</v>
      </c>
      <c r="B298" s="84" t="s">
        <v>1002</v>
      </c>
      <c r="C298" s="85" t="s">
        <v>683</v>
      </c>
      <c r="D298" s="86" t="s">
        <v>697</v>
      </c>
      <c r="E298" s="87">
        <v>36260</v>
      </c>
      <c r="F298" s="88" t="s">
        <v>689</v>
      </c>
      <c r="G298" s="89">
        <v>75150</v>
      </c>
      <c r="H298" s="85">
        <v>1</v>
      </c>
    </row>
    <row r="299" spans="1:8" x14ac:dyDescent="0.35">
      <c r="A299" s="84" t="s">
        <v>887</v>
      </c>
      <c r="B299" s="84" t="s">
        <v>1003</v>
      </c>
      <c r="C299" s="85" t="s">
        <v>72</v>
      </c>
      <c r="D299" s="86" t="s">
        <v>705</v>
      </c>
      <c r="E299" s="87">
        <v>38144</v>
      </c>
      <c r="F299" s="88"/>
      <c r="G299" s="89">
        <v>33512</v>
      </c>
      <c r="H299" s="85">
        <v>4</v>
      </c>
    </row>
    <row r="300" spans="1:8" x14ac:dyDescent="0.35">
      <c r="A300" s="84" t="s">
        <v>887</v>
      </c>
      <c r="B300" s="84" t="s">
        <v>1004</v>
      </c>
      <c r="C300" s="85" t="s">
        <v>683</v>
      </c>
      <c r="D300" s="86" t="s">
        <v>684</v>
      </c>
      <c r="E300" s="90">
        <v>40449</v>
      </c>
      <c r="F300" s="88"/>
      <c r="G300" s="89">
        <v>88840</v>
      </c>
      <c r="H300" s="85">
        <v>5</v>
      </c>
    </row>
    <row r="301" spans="1:8" x14ac:dyDescent="0.35">
      <c r="A301" s="84" t="s">
        <v>887</v>
      </c>
      <c r="B301" s="84" t="s">
        <v>1005</v>
      </c>
      <c r="C301" s="85" t="s">
        <v>59</v>
      </c>
      <c r="D301" s="86" t="s">
        <v>697</v>
      </c>
      <c r="E301" s="87">
        <v>39147</v>
      </c>
      <c r="F301" s="88" t="s">
        <v>691</v>
      </c>
      <c r="G301" s="89">
        <v>43680</v>
      </c>
      <c r="H301" s="85">
        <v>5</v>
      </c>
    </row>
    <row r="302" spans="1:8" x14ac:dyDescent="0.35">
      <c r="A302" s="84" t="s">
        <v>887</v>
      </c>
      <c r="B302" s="84" t="s">
        <v>1006</v>
      </c>
      <c r="C302" s="85" t="s">
        <v>85</v>
      </c>
      <c r="D302" s="86" t="s">
        <v>697</v>
      </c>
      <c r="E302" s="87">
        <v>36514</v>
      </c>
      <c r="F302" s="88" t="s">
        <v>691</v>
      </c>
      <c r="G302" s="89">
        <v>48250</v>
      </c>
      <c r="H302" s="85">
        <v>3</v>
      </c>
    </row>
    <row r="303" spans="1:8" x14ac:dyDescent="0.35">
      <c r="A303" s="84" t="s">
        <v>887</v>
      </c>
      <c r="B303" s="84" t="s">
        <v>1007</v>
      </c>
      <c r="C303" s="85" t="s">
        <v>699</v>
      </c>
      <c r="D303" s="86" t="s">
        <v>697</v>
      </c>
      <c r="E303" s="87">
        <v>34875</v>
      </c>
      <c r="F303" s="88" t="s">
        <v>713</v>
      </c>
      <c r="G303" s="89">
        <v>66920</v>
      </c>
      <c r="H303" s="85">
        <v>2</v>
      </c>
    </row>
    <row r="304" spans="1:8" x14ac:dyDescent="0.35">
      <c r="A304" s="84" t="s">
        <v>887</v>
      </c>
      <c r="B304" s="84" t="s">
        <v>1008</v>
      </c>
      <c r="C304" s="85" t="s">
        <v>750</v>
      </c>
      <c r="D304" s="86" t="s">
        <v>688</v>
      </c>
      <c r="E304" s="87">
        <v>36177</v>
      </c>
      <c r="F304" s="88" t="s">
        <v>707</v>
      </c>
      <c r="G304" s="89">
        <v>21670</v>
      </c>
      <c r="H304" s="85">
        <v>2</v>
      </c>
    </row>
    <row r="305" spans="1:8" x14ac:dyDescent="0.35">
      <c r="A305" s="84" t="s">
        <v>887</v>
      </c>
      <c r="B305" s="84" t="s">
        <v>1009</v>
      </c>
      <c r="C305" s="85" t="s">
        <v>85</v>
      </c>
      <c r="D305" s="86" t="s">
        <v>697</v>
      </c>
      <c r="E305" s="87">
        <v>36456</v>
      </c>
      <c r="F305" s="88" t="s">
        <v>691</v>
      </c>
      <c r="G305" s="89">
        <v>43460</v>
      </c>
      <c r="H305" s="85">
        <v>5</v>
      </c>
    </row>
    <row r="306" spans="1:8" x14ac:dyDescent="0.35">
      <c r="A306" s="84" t="s">
        <v>887</v>
      </c>
      <c r="B306" s="84" t="s">
        <v>1010</v>
      </c>
      <c r="C306" s="85" t="s">
        <v>72</v>
      </c>
      <c r="D306" s="86" t="s">
        <v>697</v>
      </c>
      <c r="E306" s="87">
        <v>38397</v>
      </c>
      <c r="F306" s="88" t="s">
        <v>689</v>
      </c>
      <c r="G306" s="89">
        <v>36630</v>
      </c>
      <c r="H306" s="85">
        <v>4</v>
      </c>
    </row>
    <row r="307" spans="1:8" x14ac:dyDescent="0.35">
      <c r="A307" s="84" t="s">
        <v>887</v>
      </c>
      <c r="B307" s="84" t="s">
        <v>1011</v>
      </c>
      <c r="C307" s="85" t="s">
        <v>85</v>
      </c>
      <c r="D307" s="86" t="s">
        <v>697</v>
      </c>
      <c r="E307" s="87">
        <v>33527</v>
      </c>
      <c r="F307" s="88" t="s">
        <v>691</v>
      </c>
      <c r="G307" s="89">
        <v>85920</v>
      </c>
      <c r="H307" s="85">
        <v>4</v>
      </c>
    </row>
    <row r="308" spans="1:8" x14ac:dyDescent="0.35">
      <c r="A308" s="84" t="s">
        <v>887</v>
      </c>
      <c r="B308" s="84" t="s">
        <v>1012</v>
      </c>
      <c r="C308" s="85" t="s">
        <v>750</v>
      </c>
      <c r="D308" s="86" t="s">
        <v>697</v>
      </c>
      <c r="E308" s="87">
        <v>38051</v>
      </c>
      <c r="F308" s="88" t="s">
        <v>689</v>
      </c>
      <c r="G308" s="89">
        <v>30350</v>
      </c>
      <c r="H308" s="85">
        <v>1</v>
      </c>
    </row>
    <row r="309" spans="1:8" x14ac:dyDescent="0.35">
      <c r="A309" s="84" t="s">
        <v>887</v>
      </c>
      <c r="B309" s="84" t="s">
        <v>1013</v>
      </c>
      <c r="C309" s="85" t="s">
        <v>699</v>
      </c>
      <c r="D309" s="86" t="s">
        <v>697</v>
      </c>
      <c r="E309" s="87">
        <v>37288</v>
      </c>
      <c r="F309" s="88" t="s">
        <v>689</v>
      </c>
      <c r="G309" s="89">
        <v>42480</v>
      </c>
      <c r="H309" s="85">
        <v>3</v>
      </c>
    </row>
    <row r="310" spans="1:8" x14ac:dyDescent="0.35">
      <c r="A310" s="84" t="s">
        <v>887</v>
      </c>
      <c r="B310" s="84" t="s">
        <v>1014</v>
      </c>
      <c r="C310" s="85" t="s">
        <v>699</v>
      </c>
      <c r="D310" s="86" t="s">
        <v>697</v>
      </c>
      <c r="E310" s="87">
        <v>37138</v>
      </c>
      <c r="F310" s="88" t="s">
        <v>689</v>
      </c>
      <c r="G310" s="89">
        <v>29130</v>
      </c>
      <c r="H310" s="85">
        <v>1</v>
      </c>
    </row>
    <row r="311" spans="1:8" x14ac:dyDescent="0.35">
      <c r="A311" s="84" t="s">
        <v>887</v>
      </c>
      <c r="B311" s="84" t="s">
        <v>1015</v>
      </c>
      <c r="C311" s="85" t="s">
        <v>85</v>
      </c>
      <c r="D311" s="86" t="s">
        <v>697</v>
      </c>
      <c r="E311" s="87">
        <v>36243</v>
      </c>
      <c r="F311" s="88" t="s">
        <v>713</v>
      </c>
      <c r="G311" s="89">
        <v>77680</v>
      </c>
      <c r="H311" s="85">
        <v>3</v>
      </c>
    </row>
    <row r="312" spans="1:8" x14ac:dyDescent="0.35">
      <c r="A312" s="84" t="s">
        <v>887</v>
      </c>
      <c r="B312" s="84" t="s">
        <v>1016</v>
      </c>
      <c r="C312" s="85" t="s">
        <v>59</v>
      </c>
      <c r="D312" s="86" t="s">
        <v>688</v>
      </c>
      <c r="E312" s="87">
        <v>34401</v>
      </c>
      <c r="F312" s="88" t="s">
        <v>707</v>
      </c>
      <c r="G312" s="89">
        <v>89780</v>
      </c>
      <c r="H312" s="85">
        <v>4</v>
      </c>
    </row>
    <row r="313" spans="1:8" x14ac:dyDescent="0.35">
      <c r="A313" s="84" t="s">
        <v>887</v>
      </c>
      <c r="B313" s="84" t="s">
        <v>1017</v>
      </c>
      <c r="C313" s="85" t="s">
        <v>72</v>
      </c>
      <c r="D313" s="86" t="s">
        <v>688</v>
      </c>
      <c r="E313" s="87">
        <v>36371</v>
      </c>
      <c r="F313" s="88" t="s">
        <v>691</v>
      </c>
      <c r="G313" s="89">
        <v>26790</v>
      </c>
      <c r="H313" s="85">
        <v>2</v>
      </c>
    </row>
    <row r="314" spans="1:8" x14ac:dyDescent="0.35">
      <c r="A314" s="84" t="s">
        <v>887</v>
      </c>
      <c r="B314" s="84" t="s">
        <v>1018</v>
      </c>
      <c r="C314" s="85" t="s">
        <v>699</v>
      </c>
      <c r="D314" s="86" t="s">
        <v>697</v>
      </c>
      <c r="E314" s="87">
        <v>35965</v>
      </c>
      <c r="F314" s="91" t="s">
        <v>707</v>
      </c>
      <c r="G314" s="89">
        <v>34780</v>
      </c>
      <c r="H314" s="85">
        <v>4</v>
      </c>
    </row>
    <row r="315" spans="1:8" x14ac:dyDescent="0.35">
      <c r="A315" s="84" t="s">
        <v>887</v>
      </c>
      <c r="B315" s="84" t="s">
        <v>1019</v>
      </c>
      <c r="C315" s="85" t="s">
        <v>59</v>
      </c>
      <c r="D315" s="86" t="s">
        <v>697</v>
      </c>
      <c r="E315" s="87">
        <v>33702</v>
      </c>
      <c r="F315" s="88" t="s">
        <v>689</v>
      </c>
      <c r="G315" s="89">
        <v>37020</v>
      </c>
      <c r="H315" s="85">
        <v>2</v>
      </c>
    </row>
    <row r="316" spans="1:8" x14ac:dyDescent="0.35">
      <c r="A316" s="84" t="s">
        <v>887</v>
      </c>
      <c r="B316" s="84" t="s">
        <v>1020</v>
      </c>
      <c r="C316" s="85" t="s">
        <v>59</v>
      </c>
      <c r="D316" s="86" t="s">
        <v>697</v>
      </c>
      <c r="E316" s="87">
        <v>35591</v>
      </c>
      <c r="F316" s="88" t="s">
        <v>691</v>
      </c>
      <c r="G316" s="89">
        <v>61150</v>
      </c>
      <c r="H316" s="85">
        <v>2</v>
      </c>
    </row>
    <row r="317" spans="1:8" x14ac:dyDescent="0.35">
      <c r="A317" s="84" t="s">
        <v>887</v>
      </c>
      <c r="B317" s="84" t="s">
        <v>1021</v>
      </c>
      <c r="C317" s="85" t="s">
        <v>683</v>
      </c>
      <c r="D317" s="86" t="s">
        <v>688</v>
      </c>
      <c r="E317" s="87">
        <v>38362</v>
      </c>
      <c r="F317" s="88" t="s">
        <v>689</v>
      </c>
      <c r="G317" s="89">
        <v>31255</v>
      </c>
      <c r="H317" s="85">
        <v>5</v>
      </c>
    </row>
    <row r="318" spans="1:8" x14ac:dyDescent="0.35">
      <c r="A318" s="84" t="s">
        <v>887</v>
      </c>
      <c r="B318" s="84" t="s">
        <v>1022</v>
      </c>
      <c r="C318" s="85" t="s">
        <v>699</v>
      </c>
      <c r="D318" s="86" t="s">
        <v>688</v>
      </c>
      <c r="E318" s="87">
        <v>39871</v>
      </c>
      <c r="F318" s="88" t="s">
        <v>707</v>
      </c>
      <c r="G318" s="89">
        <v>38575</v>
      </c>
      <c r="H318" s="85">
        <v>2</v>
      </c>
    </row>
    <row r="319" spans="1:8" x14ac:dyDescent="0.35">
      <c r="A319" s="84" t="s">
        <v>887</v>
      </c>
      <c r="B319" s="84" t="s">
        <v>1023</v>
      </c>
      <c r="C319" s="85" t="s">
        <v>683</v>
      </c>
      <c r="D319" s="86" t="s">
        <v>684</v>
      </c>
      <c r="E319" s="87">
        <v>34126</v>
      </c>
      <c r="F319" s="88"/>
      <c r="G319" s="89">
        <v>75550</v>
      </c>
      <c r="H319" s="85">
        <v>3</v>
      </c>
    </row>
    <row r="320" spans="1:8" x14ac:dyDescent="0.35">
      <c r="A320" s="84" t="s">
        <v>887</v>
      </c>
      <c r="B320" s="84" t="s">
        <v>1024</v>
      </c>
      <c r="C320" s="85" t="s">
        <v>59</v>
      </c>
      <c r="D320" s="86" t="s">
        <v>697</v>
      </c>
      <c r="E320" s="87">
        <v>38587</v>
      </c>
      <c r="F320" s="88" t="s">
        <v>689</v>
      </c>
      <c r="G320" s="89">
        <v>47350</v>
      </c>
      <c r="H320" s="85">
        <v>5</v>
      </c>
    </row>
    <row r="321" spans="1:8" x14ac:dyDescent="0.35">
      <c r="A321" s="84" t="s">
        <v>887</v>
      </c>
      <c r="B321" s="84" t="s">
        <v>1025</v>
      </c>
      <c r="C321" s="85" t="s">
        <v>683</v>
      </c>
      <c r="D321" s="86" t="s">
        <v>697</v>
      </c>
      <c r="E321" s="87">
        <v>35742</v>
      </c>
      <c r="F321" s="88" t="s">
        <v>691</v>
      </c>
      <c r="G321" s="89">
        <v>85300</v>
      </c>
      <c r="H321" s="85">
        <v>2</v>
      </c>
    </row>
    <row r="322" spans="1:8" x14ac:dyDescent="0.35">
      <c r="A322" s="84" t="s">
        <v>887</v>
      </c>
      <c r="B322" s="84" t="s">
        <v>1026</v>
      </c>
      <c r="C322" s="85" t="s">
        <v>750</v>
      </c>
      <c r="D322" s="86" t="s">
        <v>697</v>
      </c>
      <c r="E322" s="87">
        <v>33711</v>
      </c>
      <c r="F322" s="88" t="s">
        <v>689</v>
      </c>
      <c r="G322" s="89">
        <v>68470</v>
      </c>
      <c r="H322" s="85">
        <v>4</v>
      </c>
    </row>
    <row r="323" spans="1:8" x14ac:dyDescent="0.35">
      <c r="A323" s="84" t="s">
        <v>887</v>
      </c>
      <c r="B323" s="84" t="s">
        <v>1027</v>
      </c>
      <c r="C323" s="85" t="s">
        <v>59</v>
      </c>
      <c r="D323" s="86" t="s">
        <v>697</v>
      </c>
      <c r="E323" s="87">
        <v>37701</v>
      </c>
      <c r="F323" s="88" t="s">
        <v>693</v>
      </c>
      <c r="G323" s="89">
        <v>23560</v>
      </c>
      <c r="H323" s="85">
        <v>3</v>
      </c>
    </row>
    <row r="324" spans="1:8" x14ac:dyDescent="0.35">
      <c r="A324" s="84" t="s">
        <v>887</v>
      </c>
      <c r="B324" s="84" t="s">
        <v>1028</v>
      </c>
      <c r="C324" s="85" t="s">
        <v>699</v>
      </c>
      <c r="D324" s="86" t="s">
        <v>684</v>
      </c>
      <c r="E324" s="87">
        <v>35360</v>
      </c>
      <c r="F324" s="88"/>
      <c r="G324" s="89">
        <v>28260</v>
      </c>
      <c r="H324" s="85">
        <v>5</v>
      </c>
    </row>
    <row r="325" spans="1:8" x14ac:dyDescent="0.35">
      <c r="A325" s="84" t="s">
        <v>887</v>
      </c>
      <c r="B325" s="84" t="s">
        <v>1029</v>
      </c>
      <c r="C325" s="85" t="s">
        <v>750</v>
      </c>
      <c r="D325" s="86" t="s">
        <v>684</v>
      </c>
      <c r="E325" s="90">
        <v>40410</v>
      </c>
      <c r="F325" s="88"/>
      <c r="G325" s="89">
        <v>57680</v>
      </c>
      <c r="H325" s="85">
        <v>4</v>
      </c>
    </row>
    <row r="326" spans="1:8" x14ac:dyDescent="0.35">
      <c r="A326" s="84" t="s">
        <v>887</v>
      </c>
      <c r="B326" s="84" t="s">
        <v>1030</v>
      </c>
      <c r="C326" s="85" t="s">
        <v>699</v>
      </c>
      <c r="D326" s="86" t="s">
        <v>688</v>
      </c>
      <c r="E326" s="87">
        <v>36217</v>
      </c>
      <c r="F326" s="88" t="s">
        <v>689</v>
      </c>
      <c r="G326" s="89">
        <v>15240</v>
      </c>
      <c r="H326" s="85">
        <v>1</v>
      </c>
    </row>
    <row r="327" spans="1:8" x14ac:dyDescent="0.35">
      <c r="A327" s="84" t="s">
        <v>887</v>
      </c>
      <c r="B327" s="84" t="s">
        <v>1031</v>
      </c>
      <c r="C327" s="85" t="s">
        <v>699</v>
      </c>
      <c r="D327" s="86" t="s">
        <v>684</v>
      </c>
      <c r="E327" s="87">
        <v>35395</v>
      </c>
      <c r="F327" s="88"/>
      <c r="G327" s="89">
        <v>58130</v>
      </c>
      <c r="H327" s="85">
        <v>2</v>
      </c>
    </row>
    <row r="328" spans="1:8" x14ac:dyDescent="0.35">
      <c r="A328" s="84" t="s">
        <v>887</v>
      </c>
      <c r="B328" s="84" t="s">
        <v>1032</v>
      </c>
      <c r="C328" s="85" t="s">
        <v>699</v>
      </c>
      <c r="D328" s="86" t="s">
        <v>684</v>
      </c>
      <c r="E328" s="87">
        <v>36193</v>
      </c>
      <c r="F328" s="88"/>
      <c r="G328" s="89">
        <v>58250</v>
      </c>
      <c r="H328" s="85">
        <v>2</v>
      </c>
    </row>
    <row r="329" spans="1:8" x14ac:dyDescent="0.35">
      <c r="A329" s="84" t="s">
        <v>887</v>
      </c>
      <c r="B329" s="84" t="s">
        <v>1033</v>
      </c>
      <c r="C329" s="85" t="s">
        <v>59</v>
      </c>
      <c r="D329" s="86" t="s">
        <v>688</v>
      </c>
      <c r="E329" s="87">
        <v>35517</v>
      </c>
      <c r="F329" s="88" t="s">
        <v>707</v>
      </c>
      <c r="G329" s="89">
        <v>48415</v>
      </c>
      <c r="H329" s="85">
        <v>4</v>
      </c>
    </row>
    <row r="330" spans="1:8" x14ac:dyDescent="0.35">
      <c r="A330" s="84" t="s">
        <v>887</v>
      </c>
      <c r="B330" s="84" t="s">
        <v>1034</v>
      </c>
      <c r="C330" s="85" t="s">
        <v>85</v>
      </c>
      <c r="D330" s="86" t="s">
        <v>684</v>
      </c>
      <c r="E330" s="87">
        <v>35569</v>
      </c>
      <c r="F330" s="88"/>
      <c r="G330" s="89">
        <v>84200</v>
      </c>
      <c r="H330" s="85">
        <v>2</v>
      </c>
    </row>
    <row r="331" spans="1:8" x14ac:dyDescent="0.35">
      <c r="A331" s="84" t="s">
        <v>887</v>
      </c>
      <c r="B331" s="84" t="s">
        <v>1035</v>
      </c>
      <c r="C331" s="85" t="s">
        <v>699</v>
      </c>
      <c r="D331" s="86" t="s">
        <v>697</v>
      </c>
      <c r="E331" s="87">
        <v>39447</v>
      </c>
      <c r="F331" s="88" t="s">
        <v>707</v>
      </c>
      <c r="G331" s="89">
        <v>72830</v>
      </c>
      <c r="H331" s="85">
        <v>2</v>
      </c>
    </row>
    <row r="332" spans="1:8" x14ac:dyDescent="0.35">
      <c r="A332" s="84" t="s">
        <v>887</v>
      </c>
      <c r="B332" s="84" t="s">
        <v>1036</v>
      </c>
      <c r="C332" s="85" t="s">
        <v>699</v>
      </c>
      <c r="D332" s="86" t="s">
        <v>688</v>
      </c>
      <c r="E332" s="87">
        <v>36269</v>
      </c>
      <c r="F332" s="88" t="s">
        <v>691</v>
      </c>
      <c r="G332" s="89">
        <v>48190</v>
      </c>
      <c r="H332" s="85">
        <v>1</v>
      </c>
    </row>
    <row r="333" spans="1:8" x14ac:dyDescent="0.35">
      <c r="A333" s="84" t="s">
        <v>887</v>
      </c>
      <c r="B333" s="84" t="s">
        <v>1037</v>
      </c>
      <c r="C333" s="85" t="s">
        <v>683</v>
      </c>
      <c r="D333" s="86" t="s">
        <v>697</v>
      </c>
      <c r="E333" s="87">
        <v>36698</v>
      </c>
      <c r="F333" s="88" t="s">
        <v>707</v>
      </c>
      <c r="G333" s="89">
        <v>23650</v>
      </c>
      <c r="H333" s="85">
        <v>1</v>
      </c>
    </row>
    <row r="334" spans="1:8" x14ac:dyDescent="0.35">
      <c r="A334" s="84" t="s">
        <v>887</v>
      </c>
      <c r="B334" s="84" t="s">
        <v>1038</v>
      </c>
      <c r="C334" s="85" t="s">
        <v>72</v>
      </c>
      <c r="D334" s="86" t="s">
        <v>697</v>
      </c>
      <c r="E334" s="87">
        <v>33617</v>
      </c>
      <c r="F334" s="88" t="s">
        <v>689</v>
      </c>
      <c r="G334" s="89">
        <v>39110</v>
      </c>
      <c r="H334" s="85">
        <v>5</v>
      </c>
    </row>
    <row r="335" spans="1:8" x14ac:dyDescent="0.35">
      <c r="A335" s="84" t="s">
        <v>1039</v>
      </c>
      <c r="B335" s="84" t="s">
        <v>1040</v>
      </c>
      <c r="C335" s="85" t="s">
        <v>683</v>
      </c>
      <c r="D335" s="86" t="s">
        <v>697</v>
      </c>
      <c r="E335" s="87">
        <v>35627</v>
      </c>
      <c r="F335" s="88" t="s">
        <v>691</v>
      </c>
      <c r="G335" s="89">
        <v>41380</v>
      </c>
      <c r="H335" s="85">
        <v>2</v>
      </c>
    </row>
    <row r="336" spans="1:8" x14ac:dyDescent="0.35">
      <c r="A336" s="84" t="s">
        <v>1039</v>
      </c>
      <c r="B336" s="84" t="s">
        <v>1041</v>
      </c>
      <c r="C336" s="85" t="s">
        <v>59</v>
      </c>
      <c r="D336" s="86" t="s">
        <v>684</v>
      </c>
      <c r="E336" s="87">
        <v>33193</v>
      </c>
      <c r="F336" s="88"/>
      <c r="G336" s="89">
        <v>63610</v>
      </c>
      <c r="H336" s="85">
        <v>5</v>
      </c>
    </row>
    <row r="337" spans="1:8" x14ac:dyDescent="0.35">
      <c r="A337" s="84" t="s">
        <v>1039</v>
      </c>
      <c r="B337" s="84" t="s">
        <v>1042</v>
      </c>
      <c r="C337" s="85" t="s">
        <v>59</v>
      </c>
      <c r="D337" s="86" t="s">
        <v>697</v>
      </c>
      <c r="E337" s="87">
        <v>35276</v>
      </c>
      <c r="F337" s="88" t="s">
        <v>689</v>
      </c>
      <c r="G337" s="89">
        <v>58370</v>
      </c>
      <c r="H337" s="85">
        <v>5</v>
      </c>
    </row>
    <row r="338" spans="1:8" x14ac:dyDescent="0.35">
      <c r="A338" s="84" t="s">
        <v>1039</v>
      </c>
      <c r="B338" s="84" t="s">
        <v>1043</v>
      </c>
      <c r="C338" s="85" t="s">
        <v>72</v>
      </c>
      <c r="D338" s="86" t="s">
        <v>705</v>
      </c>
      <c r="E338" s="87">
        <v>35674</v>
      </c>
      <c r="F338" s="88"/>
      <c r="G338" s="89">
        <v>20028</v>
      </c>
      <c r="H338" s="85">
        <v>4</v>
      </c>
    </row>
    <row r="339" spans="1:8" x14ac:dyDescent="0.35">
      <c r="A339" s="84" t="s">
        <v>1039</v>
      </c>
      <c r="B339" s="84" t="s">
        <v>1044</v>
      </c>
      <c r="C339" s="85" t="s">
        <v>59</v>
      </c>
      <c r="D339" s="86" t="s">
        <v>688</v>
      </c>
      <c r="E339" s="87">
        <v>36896</v>
      </c>
      <c r="F339" s="88" t="s">
        <v>689</v>
      </c>
      <c r="G339" s="89">
        <v>35280</v>
      </c>
      <c r="H339" s="85">
        <v>3</v>
      </c>
    </row>
    <row r="340" spans="1:8" x14ac:dyDescent="0.35">
      <c r="A340" s="84" t="s">
        <v>1039</v>
      </c>
      <c r="B340" s="84" t="s">
        <v>1045</v>
      </c>
      <c r="C340" s="85" t="s">
        <v>699</v>
      </c>
      <c r="D340" s="86" t="s">
        <v>697</v>
      </c>
      <c r="E340" s="87">
        <v>33786</v>
      </c>
      <c r="F340" s="88" t="s">
        <v>689</v>
      </c>
      <c r="G340" s="89">
        <v>71150</v>
      </c>
      <c r="H340" s="85">
        <v>2</v>
      </c>
    </row>
    <row r="341" spans="1:8" x14ac:dyDescent="0.35">
      <c r="A341" s="84" t="s">
        <v>1039</v>
      </c>
      <c r="B341" s="84" t="s">
        <v>1046</v>
      </c>
      <c r="C341" s="85" t="s">
        <v>59</v>
      </c>
      <c r="D341" s="86" t="s">
        <v>684</v>
      </c>
      <c r="E341" s="92">
        <v>40620</v>
      </c>
      <c r="F341" s="88"/>
      <c r="G341" s="89">
        <v>84300</v>
      </c>
      <c r="H341" s="85">
        <v>1</v>
      </c>
    </row>
    <row r="342" spans="1:8" x14ac:dyDescent="0.35">
      <c r="A342" s="84" t="s">
        <v>1047</v>
      </c>
      <c r="B342" s="84" t="s">
        <v>1048</v>
      </c>
      <c r="C342" s="85" t="s">
        <v>683</v>
      </c>
      <c r="D342" s="86" t="s">
        <v>688</v>
      </c>
      <c r="E342" s="87">
        <v>33160</v>
      </c>
      <c r="F342" s="88" t="s">
        <v>693</v>
      </c>
      <c r="G342" s="89">
        <v>39620</v>
      </c>
      <c r="H342" s="85">
        <v>5</v>
      </c>
    </row>
    <row r="343" spans="1:8" x14ac:dyDescent="0.35">
      <c r="A343" s="84" t="s">
        <v>1047</v>
      </c>
      <c r="B343" s="84" t="s">
        <v>1049</v>
      </c>
      <c r="C343" s="85" t="s">
        <v>59</v>
      </c>
      <c r="D343" s="86" t="s">
        <v>705</v>
      </c>
      <c r="E343" s="87">
        <v>35829</v>
      </c>
      <c r="F343" s="88"/>
      <c r="G343" s="89">
        <v>29176</v>
      </c>
      <c r="H343" s="85">
        <v>3</v>
      </c>
    </row>
    <row r="344" spans="1:8" x14ac:dyDescent="0.35">
      <c r="A344" s="84" t="s">
        <v>1047</v>
      </c>
      <c r="B344" s="84" t="s">
        <v>1050</v>
      </c>
      <c r="C344" s="85" t="s">
        <v>699</v>
      </c>
      <c r="D344" s="86" t="s">
        <v>684</v>
      </c>
      <c r="E344" s="87">
        <v>40350</v>
      </c>
      <c r="F344" s="88"/>
      <c r="G344" s="89">
        <v>21580</v>
      </c>
      <c r="H344" s="85">
        <v>3</v>
      </c>
    </row>
    <row r="345" spans="1:8" x14ac:dyDescent="0.35">
      <c r="A345" s="84" t="s">
        <v>1047</v>
      </c>
      <c r="B345" s="84" t="s">
        <v>1051</v>
      </c>
      <c r="C345" s="85" t="s">
        <v>85</v>
      </c>
      <c r="D345" s="86" t="s">
        <v>688</v>
      </c>
      <c r="E345" s="87">
        <v>38723</v>
      </c>
      <c r="F345" s="88" t="s">
        <v>691</v>
      </c>
      <c r="G345" s="89">
        <v>10630</v>
      </c>
      <c r="H345" s="85">
        <v>3</v>
      </c>
    </row>
    <row r="346" spans="1:8" x14ac:dyDescent="0.35">
      <c r="A346" s="84" t="s">
        <v>1047</v>
      </c>
      <c r="B346" s="84" t="s">
        <v>1052</v>
      </c>
      <c r="C346" s="85" t="s">
        <v>699</v>
      </c>
      <c r="D346" s="86" t="s">
        <v>697</v>
      </c>
      <c r="E346" s="87">
        <v>37612</v>
      </c>
      <c r="F346" s="88" t="s">
        <v>707</v>
      </c>
      <c r="G346" s="89">
        <v>39740</v>
      </c>
      <c r="H346" s="85">
        <v>1</v>
      </c>
    </row>
    <row r="347" spans="1:8" x14ac:dyDescent="0.35">
      <c r="A347" s="84" t="s">
        <v>1047</v>
      </c>
      <c r="B347" s="84" t="s">
        <v>1053</v>
      </c>
      <c r="C347" s="85" t="s">
        <v>683</v>
      </c>
      <c r="D347" s="86" t="s">
        <v>688</v>
      </c>
      <c r="E347" s="87">
        <v>34042</v>
      </c>
      <c r="F347" s="88" t="s">
        <v>707</v>
      </c>
      <c r="G347" s="89">
        <v>27710</v>
      </c>
      <c r="H347" s="85">
        <v>3</v>
      </c>
    </row>
    <row r="348" spans="1:8" x14ac:dyDescent="0.35">
      <c r="A348" s="84" t="s">
        <v>1047</v>
      </c>
      <c r="B348" s="84" t="s">
        <v>1054</v>
      </c>
      <c r="C348" s="85" t="s">
        <v>699</v>
      </c>
      <c r="D348" s="86" t="s">
        <v>684</v>
      </c>
      <c r="E348" s="87">
        <v>34076</v>
      </c>
      <c r="F348" s="88"/>
      <c r="G348" s="89">
        <v>66580</v>
      </c>
      <c r="H348" s="85">
        <v>5</v>
      </c>
    </row>
    <row r="349" spans="1:8" x14ac:dyDescent="0.35">
      <c r="A349" s="84" t="s">
        <v>1047</v>
      </c>
      <c r="B349" s="84" t="s">
        <v>1055</v>
      </c>
      <c r="C349" s="85" t="s">
        <v>59</v>
      </c>
      <c r="D349" s="86" t="s">
        <v>697</v>
      </c>
      <c r="E349" s="87">
        <v>40137</v>
      </c>
      <c r="F349" s="88" t="s">
        <v>689</v>
      </c>
      <c r="G349" s="89">
        <v>54190</v>
      </c>
      <c r="H349" s="85">
        <v>4</v>
      </c>
    </row>
    <row r="350" spans="1:8" x14ac:dyDescent="0.35">
      <c r="A350" s="84" t="s">
        <v>1047</v>
      </c>
      <c r="B350" s="84" t="s">
        <v>1056</v>
      </c>
      <c r="C350" s="85" t="s">
        <v>699</v>
      </c>
      <c r="D350" s="86" t="s">
        <v>697</v>
      </c>
      <c r="E350" s="87">
        <v>33548</v>
      </c>
      <c r="F350" s="88" t="s">
        <v>691</v>
      </c>
      <c r="G350" s="89">
        <v>63050</v>
      </c>
      <c r="H350" s="85">
        <v>3</v>
      </c>
    </row>
    <row r="351" spans="1:8" x14ac:dyDescent="0.35">
      <c r="A351" s="84" t="s">
        <v>1047</v>
      </c>
      <c r="B351" s="84" t="s">
        <v>1057</v>
      </c>
      <c r="C351" s="85" t="s">
        <v>699</v>
      </c>
      <c r="D351" s="86" t="s">
        <v>697</v>
      </c>
      <c r="E351" s="87">
        <v>34010</v>
      </c>
      <c r="F351" s="88" t="s">
        <v>689</v>
      </c>
      <c r="G351" s="89">
        <v>54270</v>
      </c>
      <c r="H351" s="85">
        <v>3</v>
      </c>
    </row>
    <row r="352" spans="1:8" x14ac:dyDescent="0.35">
      <c r="A352" s="84" t="s">
        <v>1047</v>
      </c>
      <c r="B352" s="84" t="s">
        <v>1058</v>
      </c>
      <c r="C352" s="85" t="s">
        <v>85</v>
      </c>
      <c r="D352" s="86" t="s">
        <v>684</v>
      </c>
      <c r="E352" s="87">
        <v>35280</v>
      </c>
      <c r="F352" s="88"/>
      <c r="G352" s="89">
        <v>41770</v>
      </c>
      <c r="H352" s="85">
        <v>5</v>
      </c>
    </row>
    <row r="353" spans="1:8" x14ac:dyDescent="0.35">
      <c r="A353" s="84" t="s">
        <v>1047</v>
      </c>
      <c r="B353" s="84" t="s">
        <v>1059</v>
      </c>
      <c r="C353" s="85" t="s">
        <v>699</v>
      </c>
      <c r="D353" s="86" t="s">
        <v>697</v>
      </c>
      <c r="E353" s="87">
        <v>35520</v>
      </c>
      <c r="F353" s="88" t="s">
        <v>689</v>
      </c>
      <c r="G353" s="89">
        <v>79730</v>
      </c>
      <c r="H353" s="85">
        <v>2</v>
      </c>
    </row>
    <row r="354" spans="1:8" x14ac:dyDescent="0.35">
      <c r="A354" s="84" t="s">
        <v>1047</v>
      </c>
      <c r="B354" s="84" t="s">
        <v>1060</v>
      </c>
      <c r="C354" s="85" t="s">
        <v>59</v>
      </c>
      <c r="D354" s="86" t="s">
        <v>688</v>
      </c>
      <c r="E354" s="87">
        <v>35518</v>
      </c>
      <c r="F354" s="88" t="s">
        <v>693</v>
      </c>
      <c r="G354" s="89">
        <v>13690</v>
      </c>
      <c r="H354" s="85">
        <v>5</v>
      </c>
    </row>
    <row r="355" spans="1:8" x14ac:dyDescent="0.35">
      <c r="A355" s="84" t="s">
        <v>1047</v>
      </c>
      <c r="B355" s="84" t="s">
        <v>1061</v>
      </c>
      <c r="C355" s="85" t="s">
        <v>59</v>
      </c>
      <c r="D355" s="86" t="s">
        <v>684</v>
      </c>
      <c r="E355" s="87">
        <v>37667</v>
      </c>
      <c r="F355" s="88"/>
      <c r="G355" s="89">
        <v>73390</v>
      </c>
      <c r="H355" s="85">
        <v>2</v>
      </c>
    </row>
    <row r="356" spans="1:8" x14ac:dyDescent="0.35">
      <c r="A356" s="84" t="s">
        <v>1047</v>
      </c>
      <c r="B356" s="84" t="s">
        <v>1062</v>
      </c>
      <c r="C356" s="85" t="s">
        <v>59</v>
      </c>
      <c r="D356" s="86" t="s">
        <v>688</v>
      </c>
      <c r="E356" s="87">
        <v>34548</v>
      </c>
      <c r="F356" s="88" t="s">
        <v>713</v>
      </c>
      <c r="G356" s="89">
        <v>38920</v>
      </c>
      <c r="H356" s="85">
        <v>4</v>
      </c>
    </row>
    <row r="357" spans="1:8" x14ac:dyDescent="0.35">
      <c r="A357" s="84" t="s">
        <v>1047</v>
      </c>
      <c r="B357" s="84" t="s">
        <v>1063</v>
      </c>
      <c r="C357" s="85" t="s">
        <v>699</v>
      </c>
      <c r="D357" s="86" t="s">
        <v>697</v>
      </c>
      <c r="E357" s="87">
        <v>33620</v>
      </c>
      <c r="F357" s="88" t="s">
        <v>691</v>
      </c>
      <c r="G357" s="89">
        <v>43190</v>
      </c>
      <c r="H357" s="85">
        <v>2</v>
      </c>
    </row>
    <row r="358" spans="1:8" x14ac:dyDescent="0.35">
      <c r="A358" s="84" t="s">
        <v>1047</v>
      </c>
      <c r="B358" s="84" t="s">
        <v>1064</v>
      </c>
      <c r="C358" s="85" t="s">
        <v>699</v>
      </c>
      <c r="D358" s="86" t="s">
        <v>688</v>
      </c>
      <c r="E358" s="87">
        <v>34617</v>
      </c>
      <c r="F358" s="88" t="s">
        <v>689</v>
      </c>
      <c r="G358" s="89">
        <v>13435</v>
      </c>
      <c r="H358" s="85">
        <v>1</v>
      </c>
    </row>
    <row r="359" spans="1:8" x14ac:dyDescent="0.35">
      <c r="A359" s="84" t="s">
        <v>1047</v>
      </c>
      <c r="B359" s="84" t="s">
        <v>1065</v>
      </c>
      <c r="C359" s="85" t="s">
        <v>59</v>
      </c>
      <c r="D359" s="86" t="s">
        <v>697</v>
      </c>
      <c r="E359" s="87">
        <v>37068</v>
      </c>
      <c r="F359" s="88" t="s">
        <v>693</v>
      </c>
      <c r="G359" s="89">
        <v>66010</v>
      </c>
      <c r="H359" s="85">
        <v>5</v>
      </c>
    </row>
    <row r="360" spans="1:8" x14ac:dyDescent="0.35">
      <c r="A360" s="84" t="s">
        <v>1047</v>
      </c>
      <c r="B360" s="84" t="s">
        <v>1066</v>
      </c>
      <c r="C360" s="85" t="s">
        <v>59</v>
      </c>
      <c r="D360" s="86" t="s">
        <v>697</v>
      </c>
      <c r="E360" s="87">
        <v>36198</v>
      </c>
      <c r="F360" s="88" t="s">
        <v>713</v>
      </c>
      <c r="G360" s="89">
        <v>81400</v>
      </c>
      <c r="H360" s="85">
        <v>2</v>
      </c>
    </row>
    <row r="361" spans="1:8" x14ac:dyDescent="0.35">
      <c r="A361" s="84" t="s">
        <v>1047</v>
      </c>
      <c r="B361" s="84" t="s">
        <v>1067</v>
      </c>
      <c r="C361" s="85" t="s">
        <v>59</v>
      </c>
      <c r="D361" s="86" t="s">
        <v>697</v>
      </c>
      <c r="E361" s="87">
        <v>35896</v>
      </c>
      <c r="F361" s="88" t="s">
        <v>691</v>
      </c>
      <c r="G361" s="89">
        <v>70280</v>
      </c>
      <c r="H361" s="85">
        <v>3</v>
      </c>
    </row>
    <row r="362" spans="1:8" x14ac:dyDescent="0.35">
      <c r="A362" s="84" t="s">
        <v>1047</v>
      </c>
      <c r="B362" s="84" t="s">
        <v>1068</v>
      </c>
      <c r="C362" s="85" t="s">
        <v>85</v>
      </c>
      <c r="D362" s="86" t="s">
        <v>697</v>
      </c>
      <c r="E362" s="87">
        <v>33361</v>
      </c>
      <c r="F362" s="88" t="s">
        <v>689</v>
      </c>
      <c r="G362" s="89">
        <v>24090</v>
      </c>
      <c r="H362" s="85">
        <v>4</v>
      </c>
    </row>
    <row r="363" spans="1:8" x14ac:dyDescent="0.35">
      <c r="A363" s="84" t="s">
        <v>1047</v>
      </c>
      <c r="B363" s="84" t="s">
        <v>1069</v>
      </c>
      <c r="C363" s="85" t="s">
        <v>59</v>
      </c>
      <c r="D363" s="86" t="s">
        <v>697</v>
      </c>
      <c r="E363" s="87">
        <v>40477</v>
      </c>
      <c r="F363" s="88" t="s">
        <v>707</v>
      </c>
      <c r="G363" s="89">
        <v>63206</v>
      </c>
      <c r="H363" s="85">
        <v>1</v>
      </c>
    </row>
    <row r="364" spans="1:8" x14ac:dyDescent="0.35">
      <c r="A364" s="84" t="s">
        <v>1047</v>
      </c>
      <c r="B364" s="84" t="s">
        <v>1070</v>
      </c>
      <c r="C364" s="85" t="s">
        <v>72</v>
      </c>
      <c r="D364" s="86" t="s">
        <v>705</v>
      </c>
      <c r="E364" s="87">
        <v>35869</v>
      </c>
      <c r="F364" s="88"/>
      <c r="G364" s="89">
        <v>17912</v>
      </c>
      <c r="H364" s="85">
        <v>5</v>
      </c>
    </row>
    <row r="365" spans="1:8" x14ac:dyDescent="0.35">
      <c r="A365" s="84" t="s">
        <v>1047</v>
      </c>
      <c r="B365" s="84" t="s">
        <v>1071</v>
      </c>
      <c r="C365" s="85" t="s">
        <v>59</v>
      </c>
      <c r="D365" s="86" t="s">
        <v>697</v>
      </c>
      <c r="E365" s="87">
        <v>33631</v>
      </c>
      <c r="F365" s="88" t="s">
        <v>689</v>
      </c>
      <c r="G365" s="89">
        <v>52940</v>
      </c>
      <c r="H365" s="85">
        <v>4</v>
      </c>
    </row>
    <row r="366" spans="1:8" x14ac:dyDescent="0.35">
      <c r="A366" s="84" t="s">
        <v>1047</v>
      </c>
      <c r="B366" s="84" t="s">
        <v>1072</v>
      </c>
      <c r="C366" s="85" t="s">
        <v>72</v>
      </c>
      <c r="D366" s="86" t="s">
        <v>697</v>
      </c>
      <c r="E366" s="87">
        <v>34149</v>
      </c>
      <c r="F366" s="88" t="s">
        <v>713</v>
      </c>
      <c r="G366" s="89">
        <v>63440</v>
      </c>
      <c r="H366" s="85">
        <v>3</v>
      </c>
    </row>
    <row r="367" spans="1:8" x14ac:dyDescent="0.35">
      <c r="A367" s="84" t="s">
        <v>1047</v>
      </c>
      <c r="B367" s="84" t="s">
        <v>1073</v>
      </c>
      <c r="C367" s="85" t="s">
        <v>750</v>
      </c>
      <c r="D367" s="86" t="s">
        <v>705</v>
      </c>
      <c r="E367" s="87">
        <v>40543</v>
      </c>
      <c r="F367" s="88"/>
      <c r="G367" s="89">
        <v>19044</v>
      </c>
      <c r="H367" s="85">
        <v>1</v>
      </c>
    </row>
    <row r="368" spans="1:8" x14ac:dyDescent="0.35">
      <c r="A368" s="84" t="s">
        <v>1047</v>
      </c>
      <c r="B368" s="84" t="s">
        <v>1074</v>
      </c>
      <c r="C368" s="85" t="s">
        <v>59</v>
      </c>
      <c r="D368" s="86" t="s">
        <v>697</v>
      </c>
      <c r="E368" s="87">
        <v>37936</v>
      </c>
      <c r="F368" s="88" t="s">
        <v>691</v>
      </c>
      <c r="G368" s="89">
        <v>53870</v>
      </c>
      <c r="H368" s="85">
        <v>2</v>
      </c>
    </row>
    <row r="369" spans="1:8" x14ac:dyDescent="0.35">
      <c r="A369" s="84" t="s">
        <v>1047</v>
      </c>
      <c r="B369" s="84" t="s">
        <v>1075</v>
      </c>
      <c r="C369" s="85" t="s">
        <v>699</v>
      </c>
      <c r="D369" s="86" t="s">
        <v>684</v>
      </c>
      <c r="E369" s="87">
        <v>33949</v>
      </c>
      <c r="F369" s="88"/>
      <c r="G369" s="89">
        <v>44720</v>
      </c>
      <c r="H369" s="85">
        <v>2</v>
      </c>
    </row>
    <row r="370" spans="1:8" x14ac:dyDescent="0.35">
      <c r="A370" s="84" t="s">
        <v>1047</v>
      </c>
      <c r="B370" s="84" t="s">
        <v>1076</v>
      </c>
      <c r="C370" s="85" t="s">
        <v>85</v>
      </c>
      <c r="D370" s="86" t="s">
        <v>684</v>
      </c>
      <c r="E370" s="87">
        <v>36283</v>
      </c>
      <c r="F370" s="88"/>
      <c r="G370" s="89">
        <v>25130</v>
      </c>
      <c r="H370" s="85">
        <v>5</v>
      </c>
    </row>
    <row r="371" spans="1:8" x14ac:dyDescent="0.35">
      <c r="A371" s="84" t="s">
        <v>1047</v>
      </c>
      <c r="B371" s="84" t="s">
        <v>1077</v>
      </c>
      <c r="C371" s="85" t="s">
        <v>699</v>
      </c>
      <c r="D371" s="86" t="s">
        <v>697</v>
      </c>
      <c r="E371" s="87">
        <v>36171</v>
      </c>
      <c r="F371" s="88" t="s">
        <v>689</v>
      </c>
      <c r="G371" s="89">
        <v>24550</v>
      </c>
      <c r="H371" s="85">
        <v>1</v>
      </c>
    </row>
    <row r="372" spans="1:8" x14ac:dyDescent="0.35">
      <c r="A372" s="84" t="s">
        <v>1047</v>
      </c>
      <c r="B372" s="84" t="s">
        <v>1078</v>
      </c>
      <c r="C372" s="85" t="s">
        <v>59</v>
      </c>
      <c r="D372" s="86" t="s">
        <v>697</v>
      </c>
      <c r="E372" s="87">
        <v>35464</v>
      </c>
      <c r="F372" s="88" t="s">
        <v>689</v>
      </c>
      <c r="G372" s="89">
        <v>60830</v>
      </c>
      <c r="H372" s="85">
        <v>2</v>
      </c>
    </row>
    <row r="373" spans="1:8" x14ac:dyDescent="0.35">
      <c r="A373" s="84" t="s">
        <v>1047</v>
      </c>
      <c r="B373" s="84" t="s">
        <v>1079</v>
      </c>
      <c r="C373" s="85" t="s">
        <v>72</v>
      </c>
      <c r="D373" s="86" t="s">
        <v>697</v>
      </c>
      <c r="E373" s="87">
        <v>36673</v>
      </c>
      <c r="F373" s="88" t="s">
        <v>713</v>
      </c>
      <c r="G373" s="89">
        <v>48330</v>
      </c>
      <c r="H373" s="85">
        <v>1</v>
      </c>
    </row>
    <row r="374" spans="1:8" x14ac:dyDescent="0.35">
      <c r="A374" s="84" t="s">
        <v>1047</v>
      </c>
      <c r="B374" s="84" t="s">
        <v>1080</v>
      </c>
      <c r="C374" s="85" t="s">
        <v>699</v>
      </c>
      <c r="D374" s="86" t="s">
        <v>688</v>
      </c>
      <c r="E374" s="87">
        <v>33890</v>
      </c>
      <c r="F374" s="88" t="s">
        <v>691</v>
      </c>
      <c r="G374" s="89">
        <v>25885</v>
      </c>
      <c r="H374" s="85">
        <v>5</v>
      </c>
    </row>
    <row r="375" spans="1:8" x14ac:dyDescent="0.35">
      <c r="A375" s="84" t="s">
        <v>1047</v>
      </c>
      <c r="B375" s="84" t="s">
        <v>1081</v>
      </c>
      <c r="C375" s="85" t="s">
        <v>59</v>
      </c>
      <c r="D375" s="86" t="s">
        <v>705</v>
      </c>
      <c r="E375" s="87">
        <v>37711</v>
      </c>
      <c r="F375" s="88"/>
      <c r="G375" s="89">
        <v>21648</v>
      </c>
      <c r="H375" s="85">
        <v>2</v>
      </c>
    </row>
    <row r="376" spans="1:8" x14ac:dyDescent="0.35">
      <c r="A376" s="84" t="s">
        <v>1047</v>
      </c>
      <c r="B376" s="84" t="s">
        <v>1082</v>
      </c>
      <c r="C376" s="85" t="s">
        <v>85</v>
      </c>
      <c r="D376" s="86" t="s">
        <v>697</v>
      </c>
      <c r="E376" s="87">
        <v>34881</v>
      </c>
      <c r="F376" s="88" t="s">
        <v>693</v>
      </c>
      <c r="G376" s="89">
        <v>63070</v>
      </c>
      <c r="H376" s="85">
        <v>1</v>
      </c>
    </row>
    <row r="377" spans="1:8" x14ac:dyDescent="0.35">
      <c r="A377" s="84" t="s">
        <v>1047</v>
      </c>
      <c r="B377" s="84" t="s">
        <v>1083</v>
      </c>
      <c r="C377" s="85" t="s">
        <v>59</v>
      </c>
      <c r="D377" s="86" t="s">
        <v>688</v>
      </c>
      <c r="E377" s="87">
        <v>34793</v>
      </c>
      <c r="F377" s="88" t="s">
        <v>691</v>
      </c>
      <c r="G377" s="89">
        <v>10700</v>
      </c>
      <c r="H377" s="85">
        <v>4</v>
      </c>
    </row>
    <row r="378" spans="1:8" x14ac:dyDescent="0.35">
      <c r="A378" s="84" t="s">
        <v>1047</v>
      </c>
      <c r="B378" s="84" t="s">
        <v>1084</v>
      </c>
      <c r="C378" s="85" t="s">
        <v>59</v>
      </c>
      <c r="D378" s="86" t="s">
        <v>697</v>
      </c>
      <c r="E378" s="87">
        <v>40085</v>
      </c>
      <c r="F378" s="88" t="s">
        <v>689</v>
      </c>
      <c r="G378" s="89">
        <v>41490</v>
      </c>
      <c r="H378" s="85">
        <v>5</v>
      </c>
    </row>
    <row r="379" spans="1:8" x14ac:dyDescent="0.35">
      <c r="A379" s="84" t="s">
        <v>1047</v>
      </c>
      <c r="B379" s="84" t="s">
        <v>1085</v>
      </c>
      <c r="C379" s="85" t="s">
        <v>72</v>
      </c>
      <c r="D379" s="86" t="s">
        <v>697</v>
      </c>
      <c r="E379" s="87">
        <v>39038</v>
      </c>
      <c r="F379" s="88" t="s">
        <v>713</v>
      </c>
      <c r="G379" s="89">
        <v>71400</v>
      </c>
      <c r="H379" s="85">
        <v>4</v>
      </c>
    </row>
    <row r="380" spans="1:8" x14ac:dyDescent="0.35">
      <c r="A380" s="84" t="s">
        <v>1047</v>
      </c>
      <c r="B380" s="84" t="s">
        <v>1086</v>
      </c>
      <c r="C380" s="85" t="s">
        <v>85</v>
      </c>
      <c r="D380" s="86" t="s">
        <v>684</v>
      </c>
      <c r="E380" s="87">
        <v>34771</v>
      </c>
      <c r="F380" s="88"/>
      <c r="G380" s="89">
        <v>26360</v>
      </c>
      <c r="H380" s="85">
        <v>4</v>
      </c>
    </row>
    <row r="381" spans="1:8" x14ac:dyDescent="0.35">
      <c r="A381" s="84" t="s">
        <v>1047</v>
      </c>
      <c r="B381" s="84" t="s">
        <v>1087</v>
      </c>
      <c r="C381" s="85" t="s">
        <v>72</v>
      </c>
      <c r="D381" s="86" t="s">
        <v>684</v>
      </c>
      <c r="E381" s="87">
        <v>37404</v>
      </c>
      <c r="F381" s="88"/>
      <c r="G381" s="89">
        <v>60070</v>
      </c>
      <c r="H381" s="85">
        <v>3</v>
      </c>
    </row>
    <row r="382" spans="1:8" x14ac:dyDescent="0.35">
      <c r="A382" s="84" t="s">
        <v>1047</v>
      </c>
      <c r="B382" s="84" t="s">
        <v>1088</v>
      </c>
      <c r="C382" s="85" t="s">
        <v>683</v>
      </c>
      <c r="D382" s="86" t="s">
        <v>684</v>
      </c>
      <c r="E382" s="87">
        <v>38527</v>
      </c>
      <c r="F382" s="88"/>
      <c r="G382" s="89">
        <v>60060</v>
      </c>
      <c r="H382" s="85">
        <v>2</v>
      </c>
    </row>
    <row r="383" spans="1:8" x14ac:dyDescent="0.35">
      <c r="A383" s="84" t="s">
        <v>1047</v>
      </c>
      <c r="B383" s="84" t="s">
        <v>1089</v>
      </c>
      <c r="C383" s="85" t="s">
        <v>750</v>
      </c>
      <c r="D383" s="86" t="s">
        <v>697</v>
      </c>
      <c r="E383" s="87">
        <v>35361</v>
      </c>
      <c r="F383" s="88" t="s">
        <v>689</v>
      </c>
      <c r="G383" s="89">
        <v>59320</v>
      </c>
      <c r="H383" s="85">
        <v>4</v>
      </c>
    </row>
    <row r="384" spans="1:8" x14ac:dyDescent="0.35">
      <c r="A384" s="84" t="s">
        <v>1047</v>
      </c>
      <c r="B384" s="84" t="s">
        <v>1090</v>
      </c>
      <c r="C384" s="85" t="s">
        <v>699</v>
      </c>
      <c r="D384" s="86" t="s">
        <v>697</v>
      </c>
      <c r="E384" s="87">
        <v>37043</v>
      </c>
      <c r="F384" s="88" t="s">
        <v>693</v>
      </c>
      <c r="G384" s="89">
        <v>45150</v>
      </c>
      <c r="H384" s="85">
        <v>1</v>
      </c>
    </row>
    <row r="385" spans="1:8" x14ac:dyDescent="0.35">
      <c r="A385" s="84" t="s">
        <v>1047</v>
      </c>
      <c r="B385" s="84" t="s">
        <v>1091</v>
      </c>
      <c r="C385" s="85" t="s">
        <v>699</v>
      </c>
      <c r="D385" s="86" t="s">
        <v>684</v>
      </c>
      <c r="E385" s="87">
        <v>35255</v>
      </c>
      <c r="F385" s="88"/>
      <c r="G385" s="89">
        <v>89310</v>
      </c>
      <c r="H385" s="85">
        <v>5</v>
      </c>
    </row>
    <row r="386" spans="1:8" x14ac:dyDescent="0.35">
      <c r="A386" s="84" t="s">
        <v>1047</v>
      </c>
      <c r="B386" s="84" t="s">
        <v>1092</v>
      </c>
      <c r="C386" s="85" t="s">
        <v>699</v>
      </c>
      <c r="D386" s="86" t="s">
        <v>697</v>
      </c>
      <c r="E386" s="90">
        <v>40313</v>
      </c>
      <c r="F386" s="88" t="s">
        <v>691</v>
      </c>
      <c r="G386" s="89">
        <v>27250</v>
      </c>
      <c r="H386" s="85">
        <v>5</v>
      </c>
    </row>
    <row r="387" spans="1:8" x14ac:dyDescent="0.35">
      <c r="A387" s="84" t="s">
        <v>1047</v>
      </c>
      <c r="B387" s="84" t="s">
        <v>1093</v>
      </c>
      <c r="C387" s="85" t="s">
        <v>59</v>
      </c>
      <c r="D387" s="86" t="s">
        <v>697</v>
      </c>
      <c r="E387" s="87">
        <v>36393</v>
      </c>
      <c r="F387" s="88" t="s">
        <v>691</v>
      </c>
      <c r="G387" s="89">
        <v>65910</v>
      </c>
      <c r="H387" s="85">
        <v>5</v>
      </c>
    </row>
    <row r="388" spans="1:8" x14ac:dyDescent="0.35">
      <c r="A388" s="84" t="s">
        <v>1047</v>
      </c>
      <c r="B388" s="84" t="s">
        <v>1094</v>
      </c>
      <c r="C388" s="85" t="s">
        <v>72</v>
      </c>
      <c r="D388" s="86" t="s">
        <v>697</v>
      </c>
      <c r="E388" s="87">
        <v>36273</v>
      </c>
      <c r="F388" s="88" t="s">
        <v>691</v>
      </c>
      <c r="G388" s="89">
        <v>61330</v>
      </c>
      <c r="H388" s="85">
        <v>4</v>
      </c>
    </row>
    <row r="389" spans="1:8" x14ac:dyDescent="0.35">
      <c r="A389" s="84" t="s">
        <v>1047</v>
      </c>
      <c r="B389" s="84" t="s">
        <v>1095</v>
      </c>
      <c r="C389" s="85" t="s">
        <v>699</v>
      </c>
      <c r="D389" s="86" t="s">
        <v>684</v>
      </c>
      <c r="E389" s="87">
        <v>37634</v>
      </c>
      <c r="F389" s="88"/>
      <c r="G389" s="89">
        <v>61370</v>
      </c>
      <c r="H389" s="85">
        <v>3</v>
      </c>
    </row>
    <row r="390" spans="1:8" x14ac:dyDescent="0.35">
      <c r="A390" s="84" t="s">
        <v>1047</v>
      </c>
      <c r="B390" s="84" t="s">
        <v>1096</v>
      </c>
      <c r="C390" s="85" t="s">
        <v>59</v>
      </c>
      <c r="D390" s="86" t="s">
        <v>697</v>
      </c>
      <c r="E390" s="87">
        <v>35547</v>
      </c>
      <c r="F390" s="88" t="s">
        <v>689</v>
      </c>
      <c r="G390" s="89">
        <v>81640</v>
      </c>
      <c r="H390" s="85">
        <v>4</v>
      </c>
    </row>
    <row r="391" spans="1:8" x14ac:dyDescent="0.35">
      <c r="A391" s="84" t="s">
        <v>1047</v>
      </c>
      <c r="B391" s="84" t="s">
        <v>1097</v>
      </c>
      <c r="C391" s="85" t="s">
        <v>699</v>
      </c>
      <c r="D391" s="86" t="s">
        <v>684</v>
      </c>
      <c r="E391" s="87">
        <v>35737</v>
      </c>
      <c r="F391" s="88"/>
      <c r="G391" s="89">
        <v>76020</v>
      </c>
      <c r="H391" s="85">
        <v>1</v>
      </c>
    </row>
    <row r="392" spans="1:8" x14ac:dyDescent="0.35">
      <c r="A392" s="84" t="s">
        <v>1047</v>
      </c>
      <c r="B392" s="84" t="s">
        <v>1098</v>
      </c>
      <c r="C392" s="85" t="s">
        <v>85</v>
      </c>
      <c r="D392" s="86" t="s">
        <v>697</v>
      </c>
      <c r="E392" s="87">
        <v>36662</v>
      </c>
      <c r="F392" s="88" t="s">
        <v>691</v>
      </c>
      <c r="G392" s="89">
        <v>52490</v>
      </c>
      <c r="H392" s="85">
        <v>4</v>
      </c>
    </row>
    <row r="393" spans="1:8" x14ac:dyDescent="0.35">
      <c r="A393" s="84" t="s">
        <v>1099</v>
      </c>
      <c r="B393" s="84" t="s">
        <v>1100</v>
      </c>
      <c r="C393" s="85" t="s">
        <v>85</v>
      </c>
      <c r="D393" s="86" t="s">
        <v>688</v>
      </c>
      <c r="E393" s="87">
        <v>34005</v>
      </c>
      <c r="F393" s="88" t="s">
        <v>689</v>
      </c>
      <c r="G393" s="89">
        <v>19935</v>
      </c>
      <c r="H393" s="85">
        <v>1</v>
      </c>
    </row>
    <row r="394" spans="1:8" x14ac:dyDescent="0.35">
      <c r="A394" s="84" t="s">
        <v>1099</v>
      </c>
      <c r="B394" s="84" t="s">
        <v>1101</v>
      </c>
      <c r="C394" s="85" t="s">
        <v>85</v>
      </c>
      <c r="D394" s="86" t="s">
        <v>688</v>
      </c>
      <c r="E394" s="87">
        <v>39098</v>
      </c>
      <c r="F394" s="88" t="s">
        <v>691</v>
      </c>
      <c r="G394" s="89">
        <v>47705</v>
      </c>
      <c r="H394" s="85">
        <v>5</v>
      </c>
    </row>
    <row r="395" spans="1:8" x14ac:dyDescent="0.35">
      <c r="A395" s="84" t="s">
        <v>1099</v>
      </c>
      <c r="B395" s="84" t="s">
        <v>1102</v>
      </c>
      <c r="C395" s="85" t="s">
        <v>699</v>
      </c>
      <c r="D395" s="86" t="s">
        <v>697</v>
      </c>
      <c r="E395" s="87">
        <v>33872</v>
      </c>
      <c r="F395" s="88" t="s">
        <v>689</v>
      </c>
      <c r="G395" s="89">
        <v>64510</v>
      </c>
      <c r="H395" s="85">
        <v>3</v>
      </c>
    </row>
    <row r="396" spans="1:8" x14ac:dyDescent="0.35">
      <c r="A396" s="84" t="s">
        <v>1099</v>
      </c>
      <c r="B396" s="84" t="s">
        <v>1103</v>
      </c>
      <c r="C396" s="85" t="s">
        <v>59</v>
      </c>
      <c r="D396" s="86" t="s">
        <v>688</v>
      </c>
      <c r="E396" s="87">
        <v>35070</v>
      </c>
      <c r="F396" s="88" t="s">
        <v>713</v>
      </c>
      <c r="G396" s="89">
        <v>21220</v>
      </c>
      <c r="H396" s="85">
        <v>3</v>
      </c>
    </row>
    <row r="397" spans="1:8" x14ac:dyDescent="0.35">
      <c r="A397" s="84" t="s">
        <v>1099</v>
      </c>
      <c r="B397" s="84" t="s">
        <v>1104</v>
      </c>
      <c r="C397" s="85" t="s">
        <v>699</v>
      </c>
      <c r="D397" s="86" t="s">
        <v>697</v>
      </c>
      <c r="E397" s="87">
        <v>34404</v>
      </c>
      <c r="F397" s="88" t="s">
        <v>691</v>
      </c>
      <c r="G397" s="89">
        <v>24710</v>
      </c>
      <c r="H397" s="85">
        <v>2</v>
      </c>
    </row>
    <row r="398" spans="1:8" x14ac:dyDescent="0.35">
      <c r="A398" s="84" t="s">
        <v>1099</v>
      </c>
      <c r="B398" s="84" t="s">
        <v>1105</v>
      </c>
      <c r="C398" s="85" t="s">
        <v>699</v>
      </c>
      <c r="D398" s="86" t="s">
        <v>684</v>
      </c>
      <c r="E398" s="87">
        <v>35724</v>
      </c>
      <c r="F398" s="88"/>
      <c r="G398" s="89">
        <v>86470</v>
      </c>
      <c r="H398" s="85">
        <v>4</v>
      </c>
    </row>
    <row r="399" spans="1:8" x14ac:dyDescent="0.35">
      <c r="A399" s="84" t="s">
        <v>1099</v>
      </c>
      <c r="B399" s="84" t="s">
        <v>1106</v>
      </c>
      <c r="C399" s="85" t="s">
        <v>72</v>
      </c>
      <c r="D399" s="86" t="s">
        <v>684</v>
      </c>
      <c r="E399" s="87">
        <v>35902</v>
      </c>
      <c r="F399" s="88"/>
      <c r="G399" s="89">
        <v>63340</v>
      </c>
      <c r="H399" s="85">
        <v>3</v>
      </c>
    </row>
    <row r="400" spans="1:8" x14ac:dyDescent="0.35">
      <c r="A400" s="84" t="s">
        <v>1099</v>
      </c>
      <c r="B400" s="84" t="s">
        <v>1107</v>
      </c>
      <c r="C400" s="85" t="s">
        <v>59</v>
      </c>
      <c r="D400" s="86" t="s">
        <v>684</v>
      </c>
      <c r="E400" s="87">
        <v>33413</v>
      </c>
      <c r="F400" s="88"/>
      <c r="G400" s="89">
        <v>26020</v>
      </c>
      <c r="H400" s="85">
        <v>5</v>
      </c>
    </row>
    <row r="401" spans="1:8" x14ac:dyDescent="0.35">
      <c r="A401" s="84" t="s">
        <v>1099</v>
      </c>
      <c r="B401" s="84" t="s">
        <v>1108</v>
      </c>
      <c r="C401" s="85" t="s">
        <v>85</v>
      </c>
      <c r="D401" s="86" t="s">
        <v>697</v>
      </c>
      <c r="E401" s="87">
        <v>33447</v>
      </c>
      <c r="F401" s="88" t="s">
        <v>691</v>
      </c>
      <c r="G401" s="89">
        <v>37620</v>
      </c>
      <c r="H401" s="85">
        <v>5</v>
      </c>
    </row>
    <row r="402" spans="1:8" x14ac:dyDescent="0.35">
      <c r="A402" s="84" t="s">
        <v>1099</v>
      </c>
      <c r="B402" s="84" t="s">
        <v>1109</v>
      </c>
      <c r="C402" s="85" t="s">
        <v>85</v>
      </c>
      <c r="D402" s="86" t="s">
        <v>684</v>
      </c>
      <c r="E402" s="92">
        <v>40334</v>
      </c>
      <c r="F402" s="88"/>
      <c r="G402" s="89">
        <v>47280</v>
      </c>
      <c r="H402" s="85">
        <v>1</v>
      </c>
    </row>
    <row r="403" spans="1:8" x14ac:dyDescent="0.35">
      <c r="A403" s="84" t="s">
        <v>1099</v>
      </c>
      <c r="B403" s="84" t="s">
        <v>1110</v>
      </c>
      <c r="C403" s="85" t="s">
        <v>72</v>
      </c>
      <c r="D403" s="86" t="s">
        <v>697</v>
      </c>
      <c r="E403" s="87">
        <v>40438</v>
      </c>
      <c r="F403" s="88" t="s">
        <v>707</v>
      </c>
      <c r="G403" s="89">
        <v>59150</v>
      </c>
      <c r="H403" s="85">
        <v>4</v>
      </c>
    </row>
    <row r="404" spans="1:8" x14ac:dyDescent="0.35">
      <c r="A404" s="84" t="s">
        <v>1099</v>
      </c>
      <c r="B404" s="84" t="s">
        <v>1111</v>
      </c>
      <c r="C404" s="85" t="s">
        <v>699</v>
      </c>
      <c r="D404" s="86" t="s">
        <v>697</v>
      </c>
      <c r="E404" s="87">
        <v>35286</v>
      </c>
      <c r="F404" s="88" t="s">
        <v>693</v>
      </c>
      <c r="G404" s="89">
        <v>72700</v>
      </c>
      <c r="H404" s="85">
        <v>5</v>
      </c>
    </row>
    <row r="405" spans="1:8" x14ac:dyDescent="0.35">
      <c r="A405" s="84" t="s">
        <v>1099</v>
      </c>
      <c r="B405" s="84" t="s">
        <v>1112</v>
      </c>
      <c r="C405" s="85" t="s">
        <v>699</v>
      </c>
      <c r="D405" s="86" t="s">
        <v>684</v>
      </c>
      <c r="E405" s="87">
        <v>38496</v>
      </c>
      <c r="F405" s="88"/>
      <c r="G405" s="89">
        <v>57520</v>
      </c>
      <c r="H405" s="85">
        <v>3</v>
      </c>
    </row>
    <row r="406" spans="1:8" x14ac:dyDescent="0.35">
      <c r="A406" s="84" t="s">
        <v>1099</v>
      </c>
      <c r="B406" s="84" t="s">
        <v>1113</v>
      </c>
      <c r="C406" s="85" t="s">
        <v>59</v>
      </c>
      <c r="D406" s="86" t="s">
        <v>688</v>
      </c>
      <c r="E406" s="87">
        <v>37505</v>
      </c>
      <c r="F406" s="88" t="s">
        <v>713</v>
      </c>
      <c r="G406" s="89">
        <v>51800</v>
      </c>
      <c r="H406" s="85">
        <v>1</v>
      </c>
    </row>
    <row r="407" spans="1:8" x14ac:dyDescent="0.35">
      <c r="A407" s="84" t="s">
        <v>1099</v>
      </c>
      <c r="B407" s="84" t="s">
        <v>1114</v>
      </c>
      <c r="C407" s="85" t="s">
        <v>699</v>
      </c>
      <c r="D407" s="86" t="s">
        <v>697</v>
      </c>
      <c r="E407" s="87">
        <v>40578</v>
      </c>
      <c r="F407" s="88" t="s">
        <v>689</v>
      </c>
      <c r="G407" s="89">
        <v>43820</v>
      </c>
      <c r="H407" s="85">
        <v>2</v>
      </c>
    </row>
    <row r="408" spans="1:8" x14ac:dyDescent="0.35">
      <c r="A408" s="84" t="s">
        <v>1099</v>
      </c>
      <c r="B408" s="84" t="s">
        <v>1115</v>
      </c>
      <c r="C408" s="85" t="s">
        <v>59</v>
      </c>
      <c r="D408" s="86" t="s">
        <v>684</v>
      </c>
      <c r="E408" s="87">
        <v>37065</v>
      </c>
      <c r="F408" s="88"/>
      <c r="G408" s="89">
        <v>77136</v>
      </c>
      <c r="H408" s="85">
        <v>5</v>
      </c>
    </row>
    <row r="409" spans="1:8" x14ac:dyDescent="0.35">
      <c r="A409" s="84" t="s">
        <v>1099</v>
      </c>
      <c r="B409" s="84" t="s">
        <v>1116</v>
      </c>
      <c r="C409" s="85" t="s">
        <v>59</v>
      </c>
      <c r="D409" s="86" t="s">
        <v>705</v>
      </c>
      <c r="E409" s="87">
        <v>34825</v>
      </c>
      <c r="F409" s="88"/>
      <c r="G409" s="89">
        <v>26944</v>
      </c>
      <c r="H409" s="85">
        <v>4</v>
      </c>
    </row>
    <row r="410" spans="1:8" x14ac:dyDescent="0.35">
      <c r="A410" s="84" t="s">
        <v>1099</v>
      </c>
      <c r="B410" s="84" t="s">
        <v>1117</v>
      </c>
      <c r="C410" s="85" t="s">
        <v>85</v>
      </c>
      <c r="D410" s="86" t="s">
        <v>684</v>
      </c>
      <c r="E410" s="87">
        <v>35451</v>
      </c>
      <c r="F410" s="88"/>
      <c r="G410" s="89">
        <v>42150</v>
      </c>
      <c r="H410" s="85">
        <v>5</v>
      </c>
    </row>
    <row r="411" spans="1:8" x14ac:dyDescent="0.35">
      <c r="A411" s="84" t="s">
        <v>1099</v>
      </c>
      <c r="B411" s="84" t="s">
        <v>1118</v>
      </c>
      <c r="C411" s="85" t="s">
        <v>59</v>
      </c>
      <c r="D411" s="86" t="s">
        <v>684</v>
      </c>
      <c r="E411" s="90">
        <v>40638</v>
      </c>
      <c r="F411" s="88"/>
      <c r="G411" s="89">
        <v>42990</v>
      </c>
      <c r="H411" s="85">
        <v>4</v>
      </c>
    </row>
    <row r="412" spans="1:8" x14ac:dyDescent="0.35">
      <c r="A412" s="84" t="s">
        <v>1099</v>
      </c>
      <c r="B412" s="84" t="s">
        <v>1119</v>
      </c>
      <c r="C412" s="85" t="s">
        <v>699</v>
      </c>
      <c r="D412" s="86" t="s">
        <v>684</v>
      </c>
      <c r="E412" s="87">
        <v>38874</v>
      </c>
      <c r="F412" s="88"/>
      <c r="G412" s="89">
        <v>59330</v>
      </c>
      <c r="H412" s="85">
        <v>4</v>
      </c>
    </row>
    <row r="413" spans="1:8" x14ac:dyDescent="0.35">
      <c r="A413" s="84" t="s">
        <v>1099</v>
      </c>
      <c r="B413" s="84" t="s">
        <v>1120</v>
      </c>
      <c r="C413" s="85" t="s">
        <v>59</v>
      </c>
      <c r="D413" s="86" t="s">
        <v>697</v>
      </c>
      <c r="E413" s="87">
        <v>33460</v>
      </c>
      <c r="F413" s="88" t="s">
        <v>691</v>
      </c>
      <c r="G413" s="89">
        <v>77720</v>
      </c>
      <c r="H413" s="85">
        <v>3</v>
      </c>
    </row>
    <row r="414" spans="1:8" x14ac:dyDescent="0.35">
      <c r="A414" s="84" t="s">
        <v>1121</v>
      </c>
      <c r="B414" s="84" t="s">
        <v>1122</v>
      </c>
      <c r="C414" s="85" t="s">
        <v>59</v>
      </c>
      <c r="D414" s="86" t="s">
        <v>684</v>
      </c>
      <c r="E414" s="87">
        <v>34525</v>
      </c>
      <c r="F414" s="88"/>
      <c r="G414" s="89">
        <v>64720</v>
      </c>
      <c r="H414" s="85">
        <v>5</v>
      </c>
    </row>
    <row r="415" spans="1:8" x14ac:dyDescent="0.35">
      <c r="A415" s="84" t="s">
        <v>1121</v>
      </c>
      <c r="B415" s="84" t="s">
        <v>1123</v>
      </c>
      <c r="C415" s="85" t="s">
        <v>85</v>
      </c>
      <c r="D415" s="86" t="s">
        <v>688</v>
      </c>
      <c r="E415" s="87">
        <v>35842</v>
      </c>
      <c r="F415" s="88" t="s">
        <v>713</v>
      </c>
      <c r="G415" s="89">
        <v>23380</v>
      </c>
      <c r="H415" s="85">
        <v>4</v>
      </c>
    </row>
    <row r="416" spans="1:8" x14ac:dyDescent="0.35">
      <c r="A416" s="84" t="s">
        <v>1121</v>
      </c>
      <c r="B416" s="84" t="s">
        <v>1124</v>
      </c>
      <c r="C416" s="85" t="s">
        <v>59</v>
      </c>
      <c r="D416" s="86" t="s">
        <v>684</v>
      </c>
      <c r="E416" s="87">
        <v>35806</v>
      </c>
      <c r="F416" s="88"/>
      <c r="G416" s="89">
        <v>86100</v>
      </c>
      <c r="H416" s="85">
        <v>4</v>
      </c>
    </row>
    <row r="417" spans="1:8" x14ac:dyDescent="0.35">
      <c r="A417" s="84" t="s">
        <v>1121</v>
      </c>
      <c r="B417" s="84" t="s">
        <v>1125</v>
      </c>
      <c r="C417" s="85" t="s">
        <v>59</v>
      </c>
      <c r="D417" s="86" t="s">
        <v>684</v>
      </c>
      <c r="E417" s="87">
        <v>33515</v>
      </c>
      <c r="F417" s="88"/>
      <c r="G417" s="89">
        <v>52750</v>
      </c>
      <c r="H417" s="85">
        <v>1</v>
      </c>
    </row>
    <row r="418" spans="1:8" x14ac:dyDescent="0.35">
      <c r="A418" s="84" t="s">
        <v>1126</v>
      </c>
      <c r="B418" s="84" t="s">
        <v>1127</v>
      </c>
      <c r="C418" s="85" t="s">
        <v>59</v>
      </c>
      <c r="D418" s="86" t="s">
        <v>697</v>
      </c>
      <c r="E418" s="87">
        <v>35528</v>
      </c>
      <c r="F418" s="88" t="s">
        <v>689</v>
      </c>
      <c r="G418" s="89">
        <v>63270</v>
      </c>
      <c r="H418" s="85">
        <v>1</v>
      </c>
    </row>
    <row r="419" spans="1:8" x14ac:dyDescent="0.35">
      <c r="A419" s="84" t="s">
        <v>1126</v>
      </c>
      <c r="B419" s="84" t="s">
        <v>1128</v>
      </c>
      <c r="C419" s="85" t="s">
        <v>59</v>
      </c>
      <c r="D419" s="86" t="s">
        <v>697</v>
      </c>
      <c r="E419" s="87">
        <v>33405</v>
      </c>
      <c r="F419" s="88" t="s">
        <v>691</v>
      </c>
      <c r="G419" s="89">
        <v>32140</v>
      </c>
      <c r="H419" s="85">
        <v>2</v>
      </c>
    </row>
    <row r="420" spans="1:8" x14ac:dyDescent="0.35">
      <c r="A420" s="84" t="s">
        <v>1126</v>
      </c>
      <c r="B420" s="84" t="s">
        <v>1129</v>
      </c>
      <c r="C420" s="85" t="s">
        <v>59</v>
      </c>
      <c r="D420" s="86" t="s">
        <v>684</v>
      </c>
      <c r="E420" s="87">
        <v>33495</v>
      </c>
      <c r="F420" s="88"/>
      <c r="G420" s="89">
        <v>62480</v>
      </c>
      <c r="H420" s="85">
        <v>5</v>
      </c>
    </row>
    <row r="421" spans="1:8" x14ac:dyDescent="0.35">
      <c r="A421" s="84" t="s">
        <v>1126</v>
      </c>
      <c r="B421" s="84" t="s">
        <v>1130</v>
      </c>
      <c r="C421" s="85" t="s">
        <v>683</v>
      </c>
      <c r="D421" s="86" t="s">
        <v>684</v>
      </c>
      <c r="E421" s="87">
        <v>38537</v>
      </c>
      <c r="F421" s="88"/>
      <c r="G421" s="89">
        <v>39680</v>
      </c>
      <c r="H421" s="85">
        <v>1</v>
      </c>
    </row>
    <row r="422" spans="1:8" x14ac:dyDescent="0.35">
      <c r="A422" s="84" t="s">
        <v>1126</v>
      </c>
      <c r="B422" s="84" t="s">
        <v>1131</v>
      </c>
      <c r="C422" s="85" t="s">
        <v>699</v>
      </c>
      <c r="D422" s="86" t="s">
        <v>697</v>
      </c>
      <c r="E422" s="87">
        <v>36080</v>
      </c>
      <c r="F422" s="88" t="s">
        <v>691</v>
      </c>
      <c r="G422" s="89">
        <v>48410</v>
      </c>
      <c r="H422" s="85">
        <v>5</v>
      </c>
    </row>
    <row r="423" spans="1:8" x14ac:dyDescent="0.35">
      <c r="A423" s="84" t="s">
        <v>1126</v>
      </c>
      <c r="B423" s="84" t="s">
        <v>1132</v>
      </c>
      <c r="C423" s="85" t="s">
        <v>699</v>
      </c>
      <c r="D423" s="86" t="s">
        <v>697</v>
      </c>
      <c r="E423" s="87">
        <v>37241</v>
      </c>
      <c r="F423" s="88" t="s">
        <v>689</v>
      </c>
      <c r="G423" s="89">
        <v>71950</v>
      </c>
      <c r="H423" s="85">
        <v>5</v>
      </c>
    </row>
    <row r="424" spans="1:8" x14ac:dyDescent="0.35">
      <c r="A424" s="84" t="s">
        <v>1126</v>
      </c>
      <c r="B424" s="84" t="s">
        <v>1133</v>
      </c>
      <c r="C424" s="85" t="s">
        <v>699</v>
      </c>
      <c r="D424" s="86" t="s">
        <v>697</v>
      </c>
      <c r="E424" s="87">
        <v>33741</v>
      </c>
      <c r="F424" s="88" t="s">
        <v>689</v>
      </c>
      <c r="G424" s="89">
        <v>48550</v>
      </c>
      <c r="H424" s="85">
        <v>5</v>
      </c>
    </row>
    <row r="425" spans="1:8" x14ac:dyDescent="0.35">
      <c r="A425" s="84" t="s">
        <v>1126</v>
      </c>
      <c r="B425" s="84" t="s">
        <v>1134</v>
      </c>
      <c r="C425" s="85" t="s">
        <v>59</v>
      </c>
      <c r="D425" s="86" t="s">
        <v>684</v>
      </c>
      <c r="E425" s="87">
        <v>33228</v>
      </c>
      <c r="F425" s="88"/>
      <c r="G425" s="89">
        <v>42940</v>
      </c>
      <c r="H425" s="85">
        <v>1</v>
      </c>
    </row>
    <row r="426" spans="1:8" x14ac:dyDescent="0.35">
      <c r="A426" s="84" t="s">
        <v>1126</v>
      </c>
      <c r="B426" s="84" t="s">
        <v>1135</v>
      </c>
      <c r="C426" s="85" t="s">
        <v>750</v>
      </c>
      <c r="D426" s="86" t="s">
        <v>697</v>
      </c>
      <c r="E426" s="87">
        <v>35020</v>
      </c>
      <c r="F426" s="88" t="s">
        <v>693</v>
      </c>
      <c r="G426" s="89">
        <v>38940</v>
      </c>
      <c r="H426" s="85">
        <v>2</v>
      </c>
    </row>
    <row r="427" spans="1:8" x14ac:dyDescent="0.35">
      <c r="A427" s="84" t="s">
        <v>1126</v>
      </c>
      <c r="B427" s="84" t="s">
        <v>1136</v>
      </c>
      <c r="C427" s="85" t="s">
        <v>750</v>
      </c>
      <c r="D427" s="86" t="s">
        <v>697</v>
      </c>
      <c r="E427" s="87">
        <v>35188</v>
      </c>
      <c r="F427" s="88" t="s">
        <v>691</v>
      </c>
      <c r="G427" s="89">
        <v>44270</v>
      </c>
      <c r="H427" s="85">
        <v>2</v>
      </c>
    </row>
    <row r="428" spans="1:8" x14ac:dyDescent="0.35">
      <c r="A428" s="84" t="s">
        <v>1126</v>
      </c>
      <c r="B428" s="84" t="s">
        <v>1137</v>
      </c>
      <c r="C428" s="85" t="s">
        <v>699</v>
      </c>
      <c r="D428" s="86" t="s">
        <v>684</v>
      </c>
      <c r="E428" s="87">
        <v>38970</v>
      </c>
      <c r="F428" s="88"/>
      <c r="G428" s="89">
        <v>83070</v>
      </c>
      <c r="H428" s="85">
        <v>3</v>
      </c>
    </row>
    <row r="429" spans="1:8" x14ac:dyDescent="0.35">
      <c r="A429" s="84" t="s">
        <v>1126</v>
      </c>
      <c r="B429" s="84" t="s">
        <v>1138</v>
      </c>
      <c r="C429" s="85" t="s">
        <v>59</v>
      </c>
      <c r="D429" s="86" t="s">
        <v>688</v>
      </c>
      <c r="E429" s="87">
        <v>40572</v>
      </c>
      <c r="F429" s="88" t="s">
        <v>691</v>
      </c>
      <c r="G429" s="89">
        <v>10520</v>
      </c>
      <c r="H429" s="85">
        <v>4</v>
      </c>
    </row>
    <row r="430" spans="1:8" x14ac:dyDescent="0.35">
      <c r="A430" s="84" t="s">
        <v>1126</v>
      </c>
      <c r="B430" s="84" t="s">
        <v>1139</v>
      </c>
      <c r="C430" s="85" t="s">
        <v>85</v>
      </c>
      <c r="D430" s="86" t="s">
        <v>697</v>
      </c>
      <c r="E430" s="87">
        <v>40203</v>
      </c>
      <c r="F430" s="88" t="s">
        <v>689</v>
      </c>
      <c r="G430" s="89">
        <v>35600</v>
      </c>
      <c r="H430" s="85">
        <v>5</v>
      </c>
    </row>
    <row r="431" spans="1:8" x14ac:dyDescent="0.35">
      <c r="A431" s="84" t="s">
        <v>1126</v>
      </c>
      <c r="B431" s="84" t="s">
        <v>1140</v>
      </c>
      <c r="C431" s="85" t="s">
        <v>683</v>
      </c>
      <c r="D431" s="86" t="s">
        <v>684</v>
      </c>
      <c r="E431" s="87">
        <v>33421</v>
      </c>
      <c r="F431" s="88"/>
      <c r="G431" s="89">
        <v>46650</v>
      </c>
      <c r="H431" s="85">
        <v>2</v>
      </c>
    </row>
    <row r="432" spans="1:8" x14ac:dyDescent="0.35">
      <c r="A432" s="84" t="s">
        <v>1126</v>
      </c>
      <c r="B432" s="84" t="s">
        <v>1141</v>
      </c>
      <c r="C432" s="85" t="s">
        <v>72</v>
      </c>
      <c r="D432" s="86" t="s">
        <v>697</v>
      </c>
      <c r="E432" s="87">
        <v>36843</v>
      </c>
      <c r="F432" s="88" t="s">
        <v>691</v>
      </c>
      <c r="G432" s="89">
        <v>47630</v>
      </c>
      <c r="H432" s="85">
        <v>3</v>
      </c>
    </row>
    <row r="433" spans="1:8" x14ac:dyDescent="0.35">
      <c r="A433" s="84" t="s">
        <v>1126</v>
      </c>
      <c r="B433" s="84" t="s">
        <v>1142</v>
      </c>
      <c r="C433" s="85" t="s">
        <v>59</v>
      </c>
      <c r="D433" s="86" t="s">
        <v>697</v>
      </c>
      <c r="E433" s="87">
        <v>34169</v>
      </c>
      <c r="F433" s="88" t="s">
        <v>707</v>
      </c>
      <c r="G433" s="89">
        <v>69420</v>
      </c>
      <c r="H433" s="85">
        <v>2</v>
      </c>
    </row>
    <row r="434" spans="1:8" x14ac:dyDescent="0.35">
      <c r="A434" s="84" t="s">
        <v>1126</v>
      </c>
      <c r="B434" s="84" t="s">
        <v>1143</v>
      </c>
      <c r="C434" s="85" t="s">
        <v>59</v>
      </c>
      <c r="D434" s="86" t="s">
        <v>697</v>
      </c>
      <c r="E434" s="87">
        <v>35830</v>
      </c>
      <c r="F434" s="88" t="s">
        <v>707</v>
      </c>
      <c r="G434" s="89">
        <v>35460</v>
      </c>
      <c r="H434" s="85">
        <v>5</v>
      </c>
    </row>
    <row r="435" spans="1:8" x14ac:dyDescent="0.35">
      <c r="A435" s="84" t="s">
        <v>1126</v>
      </c>
      <c r="B435" s="84" t="s">
        <v>1144</v>
      </c>
      <c r="C435" s="85" t="s">
        <v>85</v>
      </c>
      <c r="D435" s="86" t="s">
        <v>688</v>
      </c>
      <c r="E435" s="87">
        <v>36422</v>
      </c>
      <c r="F435" s="88" t="s">
        <v>691</v>
      </c>
      <c r="G435" s="89">
        <v>17270</v>
      </c>
      <c r="H435" s="85">
        <v>5</v>
      </c>
    </row>
    <row r="436" spans="1:8" x14ac:dyDescent="0.35">
      <c r="A436" s="84" t="s">
        <v>1126</v>
      </c>
      <c r="B436" s="84" t="s">
        <v>1145</v>
      </c>
      <c r="C436" s="85" t="s">
        <v>683</v>
      </c>
      <c r="D436" s="86" t="s">
        <v>684</v>
      </c>
      <c r="E436" s="87">
        <v>39720</v>
      </c>
      <c r="F436" s="88"/>
      <c r="G436" s="89">
        <v>43320</v>
      </c>
      <c r="H436" s="85">
        <v>5</v>
      </c>
    </row>
    <row r="437" spans="1:8" x14ac:dyDescent="0.35">
      <c r="A437" s="84" t="s">
        <v>1126</v>
      </c>
      <c r="B437" s="84" t="s">
        <v>1146</v>
      </c>
      <c r="C437" s="85" t="s">
        <v>699</v>
      </c>
      <c r="D437" s="86" t="s">
        <v>688</v>
      </c>
      <c r="E437" s="87">
        <v>35189</v>
      </c>
      <c r="F437" s="88" t="s">
        <v>689</v>
      </c>
      <c r="G437" s="89">
        <v>46285</v>
      </c>
      <c r="H437" s="85">
        <v>5</v>
      </c>
    </row>
    <row r="438" spans="1:8" x14ac:dyDescent="0.35">
      <c r="A438" s="84" t="s">
        <v>1126</v>
      </c>
      <c r="B438" s="84" t="s">
        <v>1147</v>
      </c>
      <c r="C438" s="85" t="s">
        <v>750</v>
      </c>
      <c r="D438" s="86" t="s">
        <v>684</v>
      </c>
      <c r="E438" s="87">
        <v>35150</v>
      </c>
      <c r="F438" s="88"/>
      <c r="G438" s="89">
        <v>35260</v>
      </c>
      <c r="H438" s="85">
        <v>2</v>
      </c>
    </row>
    <row r="439" spans="1:8" x14ac:dyDescent="0.35">
      <c r="A439" s="84" t="s">
        <v>1126</v>
      </c>
      <c r="B439" s="84" t="s">
        <v>1148</v>
      </c>
      <c r="C439" s="85" t="s">
        <v>59</v>
      </c>
      <c r="D439" s="86" t="s">
        <v>684</v>
      </c>
      <c r="E439" s="87">
        <v>36642</v>
      </c>
      <c r="F439" s="88"/>
      <c r="G439" s="89">
        <v>77760</v>
      </c>
      <c r="H439" s="85">
        <v>3</v>
      </c>
    </row>
    <row r="440" spans="1:8" x14ac:dyDescent="0.35">
      <c r="A440" s="84" t="s">
        <v>1126</v>
      </c>
      <c r="B440" s="84" t="s">
        <v>1149</v>
      </c>
      <c r="C440" s="85" t="s">
        <v>59</v>
      </c>
      <c r="D440" s="86" t="s">
        <v>684</v>
      </c>
      <c r="E440" s="87">
        <v>33678</v>
      </c>
      <c r="F440" s="88"/>
      <c r="G440" s="89">
        <v>64460</v>
      </c>
      <c r="H440" s="85">
        <v>1</v>
      </c>
    </row>
    <row r="441" spans="1:8" x14ac:dyDescent="0.35">
      <c r="A441" s="84" t="s">
        <v>1126</v>
      </c>
      <c r="B441" s="84" t="s">
        <v>1150</v>
      </c>
      <c r="C441" s="85" t="s">
        <v>72</v>
      </c>
      <c r="D441" s="86" t="s">
        <v>697</v>
      </c>
      <c r="E441" s="87">
        <v>38626</v>
      </c>
      <c r="F441" s="88" t="s">
        <v>689</v>
      </c>
      <c r="G441" s="89">
        <v>44530</v>
      </c>
      <c r="H441" s="85">
        <v>2</v>
      </c>
    </row>
    <row r="442" spans="1:8" x14ac:dyDescent="0.35">
      <c r="A442" s="84" t="s">
        <v>1126</v>
      </c>
      <c r="B442" s="84" t="s">
        <v>1151</v>
      </c>
      <c r="C442" s="85" t="s">
        <v>750</v>
      </c>
      <c r="D442" s="86" t="s">
        <v>697</v>
      </c>
      <c r="E442" s="87">
        <v>33460</v>
      </c>
      <c r="F442" s="88" t="s">
        <v>707</v>
      </c>
      <c r="G442" s="89">
        <v>77740</v>
      </c>
      <c r="H442" s="85">
        <v>1</v>
      </c>
    </row>
    <row r="443" spans="1:8" x14ac:dyDescent="0.35">
      <c r="A443" s="84" t="s">
        <v>1126</v>
      </c>
      <c r="B443" s="84" t="s">
        <v>1152</v>
      </c>
      <c r="C443" s="85" t="s">
        <v>750</v>
      </c>
      <c r="D443" s="86" t="s">
        <v>697</v>
      </c>
      <c r="E443" s="87">
        <v>36444</v>
      </c>
      <c r="F443" s="88" t="s">
        <v>689</v>
      </c>
      <c r="G443" s="89">
        <v>67280</v>
      </c>
      <c r="H443" s="85">
        <v>3</v>
      </c>
    </row>
    <row r="444" spans="1:8" x14ac:dyDescent="0.35">
      <c r="A444" s="84" t="s">
        <v>1126</v>
      </c>
      <c r="B444" s="84" t="s">
        <v>1153</v>
      </c>
      <c r="C444" s="85" t="s">
        <v>59</v>
      </c>
      <c r="D444" s="86" t="s">
        <v>688</v>
      </c>
      <c r="E444" s="87">
        <v>37815</v>
      </c>
      <c r="F444" s="88" t="s">
        <v>689</v>
      </c>
      <c r="G444" s="89">
        <v>48740</v>
      </c>
      <c r="H444" s="85">
        <v>1</v>
      </c>
    </row>
    <row r="445" spans="1:8" x14ac:dyDescent="0.35">
      <c r="A445" s="84" t="s">
        <v>1126</v>
      </c>
      <c r="B445" s="84" t="s">
        <v>1154</v>
      </c>
      <c r="C445" s="85" t="s">
        <v>85</v>
      </c>
      <c r="D445" s="86" t="s">
        <v>684</v>
      </c>
      <c r="E445" s="87">
        <v>34947</v>
      </c>
      <c r="F445" s="88"/>
      <c r="G445" s="89">
        <v>81930</v>
      </c>
      <c r="H445" s="85">
        <v>5</v>
      </c>
    </row>
    <row r="446" spans="1:8" x14ac:dyDescent="0.35">
      <c r="A446" s="84" t="s">
        <v>1126</v>
      </c>
      <c r="B446" s="84" t="s">
        <v>1155</v>
      </c>
      <c r="C446" s="85" t="s">
        <v>59</v>
      </c>
      <c r="D446" s="86" t="s">
        <v>697</v>
      </c>
      <c r="E446" s="87">
        <v>37943</v>
      </c>
      <c r="F446" s="88" t="s">
        <v>689</v>
      </c>
      <c r="G446" s="89">
        <v>75176</v>
      </c>
      <c r="H446" s="85">
        <v>3</v>
      </c>
    </row>
    <row r="447" spans="1:8" x14ac:dyDescent="0.35">
      <c r="A447" s="84" t="s">
        <v>1126</v>
      </c>
      <c r="B447" s="84" t="s">
        <v>1156</v>
      </c>
      <c r="C447" s="85" t="s">
        <v>683</v>
      </c>
      <c r="D447" s="86" t="s">
        <v>697</v>
      </c>
      <c r="E447" s="87">
        <v>35207</v>
      </c>
      <c r="F447" s="88" t="s">
        <v>707</v>
      </c>
      <c r="G447" s="89">
        <v>77580</v>
      </c>
      <c r="H447" s="85">
        <v>3</v>
      </c>
    </row>
    <row r="448" spans="1:8" x14ac:dyDescent="0.35">
      <c r="A448" s="84" t="s">
        <v>1126</v>
      </c>
      <c r="B448" s="84" t="s">
        <v>1157</v>
      </c>
      <c r="C448" s="85" t="s">
        <v>59</v>
      </c>
      <c r="D448" s="86" t="s">
        <v>684</v>
      </c>
      <c r="E448" s="87">
        <v>36047</v>
      </c>
      <c r="F448" s="88"/>
      <c r="G448" s="89">
        <v>72480</v>
      </c>
      <c r="H448" s="85">
        <v>2</v>
      </c>
    </row>
    <row r="449" spans="1:8" x14ac:dyDescent="0.35">
      <c r="A449" s="84" t="s">
        <v>1126</v>
      </c>
      <c r="B449" s="84" t="s">
        <v>1158</v>
      </c>
      <c r="C449" s="85" t="s">
        <v>699</v>
      </c>
      <c r="D449" s="86" t="s">
        <v>697</v>
      </c>
      <c r="E449" s="87">
        <v>36214</v>
      </c>
      <c r="F449" s="88" t="s">
        <v>713</v>
      </c>
      <c r="G449" s="89">
        <v>47850</v>
      </c>
      <c r="H449" s="85">
        <v>1</v>
      </c>
    </row>
    <row r="450" spans="1:8" x14ac:dyDescent="0.35">
      <c r="A450" s="84" t="s">
        <v>1126</v>
      </c>
      <c r="B450" s="84" t="s">
        <v>1159</v>
      </c>
      <c r="C450" s="85" t="s">
        <v>59</v>
      </c>
      <c r="D450" s="86" t="s">
        <v>697</v>
      </c>
      <c r="E450" s="87">
        <v>34814</v>
      </c>
      <c r="F450" s="88" t="s">
        <v>689</v>
      </c>
      <c r="G450" s="89">
        <v>63190</v>
      </c>
      <c r="H450" s="85">
        <v>1</v>
      </c>
    </row>
    <row r="451" spans="1:8" x14ac:dyDescent="0.35">
      <c r="A451" s="84" t="s">
        <v>1126</v>
      </c>
      <c r="B451" s="84" t="s">
        <v>1160</v>
      </c>
      <c r="C451" s="85" t="s">
        <v>85</v>
      </c>
      <c r="D451" s="86" t="s">
        <v>705</v>
      </c>
      <c r="E451" s="92">
        <v>40403</v>
      </c>
      <c r="F451" s="88"/>
      <c r="G451" s="89">
        <v>15056</v>
      </c>
      <c r="H451" s="85">
        <v>5</v>
      </c>
    </row>
    <row r="452" spans="1:8" x14ac:dyDescent="0.35">
      <c r="A452" s="84" t="s">
        <v>1126</v>
      </c>
      <c r="B452" s="84" t="s">
        <v>1161</v>
      </c>
      <c r="C452" s="85" t="s">
        <v>699</v>
      </c>
      <c r="D452" s="86" t="s">
        <v>697</v>
      </c>
      <c r="E452" s="87">
        <v>33721</v>
      </c>
      <c r="F452" s="88" t="s">
        <v>691</v>
      </c>
      <c r="G452" s="89">
        <v>26190</v>
      </c>
      <c r="H452" s="85">
        <v>5</v>
      </c>
    </row>
    <row r="453" spans="1:8" x14ac:dyDescent="0.35">
      <c r="A453" s="84" t="s">
        <v>1126</v>
      </c>
      <c r="B453" s="84" t="s">
        <v>1162</v>
      </c>
      <c r="C453" s="85" t="s">
        <v>699</v>
      </c>
      <c r="D453" s="86" t="s">
        <v>697</v>
      </c>
      <c r="E453" s="87">
        <v>33806</v>
      </c>
      <c r="F453" s="88" t="s">
        <v>693</v>
      </c>
      <c r="G453" s="89">
        <v>62780</v>
      </c>
      <c r="H453" s="85">
        <v>3</v>
      </c>
    </row>
    <row r="454" spans="1:8" x14ac:dyDescent="0.35">
      <c r="A454" s="84" t="s">
        <v>1126</v>
      </c>
      <c r="B454" s="84" t="s">
        <v>1163</v>
      </c>
      <c r="C454" s="85" t="s">
        <v>683</v>
      </c>
      <c r="D454" s="86" t="s">
        <v>684</v>
      </c>
      <c r="E454" s="90">
        <v>40680</v>
      </c>
      <c r="F454" s="88"/>
      <c r="G454" s="89">
        <v>57110</v>
      </c>
      <c r="H454" s="85">
        <v>3</v>
      </c>
    </row>
    <row r="455" spans="1:8" x14ac:dyDescent="0.35">
      <c r="A455" s="84" t="s">
        <v>1126</v>
      </c>
      <c r="B455" s="84" t="s">
        <v>1164</v>
      </c>
      <c r="C455" s="85" t="s">
        <v>699</v>
      </c>
      <c r="D455" s="86" t="s">
        <v>697</v>
      </c>
      <c r="E455" s="87">
        <v>37404</v>
      </c>
      <c r="F455" s="88" t="s">
        <v>689</v>
      </c>
      <c r="G455" s="89">
        <v>30780</v>
      </c>
      <c r="H455" s="85">
        <v>4</v>
      </c>
    </row>
    <row r="456" spans="1:8" x14ac:dyDescent="0.35">
      <c r="A456" s="84" t="s">
        <v>1126</v>
      </c>
      <c r="B456" s="84" t="s">
        <v>1165</v>
      </c>
      <c r="C456" s="85" t="s">
        <v>683</v>
      </c>
      <c r="D456" s="86" t="s">
        <v>697</v>
      </c>
      <c r="E456" s="87">
        <v>35589</v>
      </c>
      <c r="F456" s="88" t="s">
        <v>689</v>
      </c>
      <c r="G456" s="89">
        <v>60280</v>
      </c>
      <c r="H456" s="85">
        <v>1</v>
      </c>
    </row>
    <row r="457" spans="1:8" x14ac:dyDescent="0.35">
      <c r="A457" s="84" t="s">
        <v>1126</v>
      </c>
      <c r="B457" s="84" t="s">
        <v>1166</v>
      </c>
      <c r="C457" s="85" t="s">
        <v>699</v>
      </c>
      <c r="D457" s="86" t="s">
        <v>688</v>
      </c>
      <c r="E457" s="87">
        <v>36462</v>
      </c>
      <c r="F457" s="88" t="s">
        <v>691</v>
      </c>
      <c r="G457" s="89">
        <v>26185</v>
      </c>
      <c r="H457" s="85">
        <v>5</v>
      </c>
    </row>
    <row r="458" spans="1:8" x14ac:dyDescent="0.35">
      <c r="A458" s="84" t="s">
        <v>1126</v>
      </c>
      <c r="B458" s="84" t="s">
        <v>1167</v>
      </c>
      <c r="C458" s="85" t="s">
        <v>59</v>
      </c>
      <c r="D458" s="86" t="s">
        <v>697</v>
      </c>
      <c r="E458" s="90">
        <v>40680</v>
      </c>
      <c r="F458" s="88" t="s">
        <v>689</v>
      </c>
      <c r="G458" s="89">
        <v>23030</v>
      </c>
      <c r="H458" s="85">
        <v>4</v>
      </c>
    </row>
    <row r="459" spans="1:8" x14ac:dyDescent="0.35">
      <c r="A459" s="84" t="s">
        <v>1126</v>
      </c>
      <c r="B459" s="84" t="s">
        <v>1168</v>
      </c>
      <c r="C459" s="85" t="s">
        <v>699</v>
      </c>
      <c r="D459" s="86" t="s">
        <v>684</v>
      </c>
      <c r="E459" s="87">
        <v>35447</v>
      </c>
      <c r="F459" s="88"/>
      <c r="G459" s="89">
        <v>54190</v>
      </c>
      <c r="H459" s="85">
        <v>4</v>
      </c>
    </row>
    <row r="460" spans="1:8" x14ac:dyDescent="0.35">
      <c r="A460" s="84" t="s">
        <v>1126</v>
      </c>
      <c r="B460" s="84" t="s">
        <v>1169</v>
      </c>
      <c r="C460" s="85" t="s">
        <v>683</v>
      </c>
      <c r="D460" s="86" t="s">
        <v>684</v>
      </c>
      <c r="E460" s="87">
        <v>38027</v>
      </c>
      <c r="F460" s="88"/>
      <c r="G460" s="89">
        <v>64590</v>
      </c>
      <c r="H460" s="85">
        <v>1</v>
      </c>
    </row>
    <row r="461" spans="1:8" x14ac:dyDescent="0.35">
      <c r="A461" s="84" t="s">
        <v>1126</v>
      </c>
      <c r="B461" s="84" t="s">
        <v>1170</v>
      </c>
      <c r="C461" s="85" t="s">
        <v>59</v>
      </c>
      <c r="D461" s="86" t="s">
        <v>697</v>
      </c>
      <c r="E461" s="87">
        <v>39388</v>
      </c>
      <c r="F461" s="88" t="s">
        <v>689</v>
      </c>
      <c r="G461" s="89">
        <v>71120</v>
      </c>
      <c r="H461" s="85">
        <v>4</v>
      </c>
    </row>
    <row r="462" spans="1:8" x14ac:dyDescent="0.35">
      <c r="A462" s="84" t="s">
        <v>1171</v>
      </c>
      <c r="B462" s="84" t="s">
        <v>1172</v>
      </c>
      <c r="C462" s="85" t="s">
        <v>699</v>
      </c>
      <c r="D462" s="86" t="s">
        <v>684</v>
      </c>
      <c r="E462" s="87">
        <v>34915</v>
      </c>
      <c r="F462" s="88"/>
      <c r="G462" s="89">
        <v>76870</v>
      </c>
      <c r="H462" s="85">
        <v>5</v>
      </c>
    </row>
    <row r="463" spans="1:8" x14ac:dyDescent="0.35">
      <c r="A463" s="84" t="s">
        <v>1171</v>
      </c>
      <c r="B463" s="84" t="s">
        <v>1173</v>
      </c>
      <c r="C463" s="85" t="s">
        <v>699</v>
      </c>
      <c r="D463" s="86" t="s">
        <v>697</v>
      </c>
      <c r="E463" s="87">
        <v>33921</v>
      </c>
      <c r="F463" s="88" t="s">
        <v>707</v>
      </c>
      <c r="G463" s="89">
        <v>32160</v>
      </c>
      <c r="H463" s="85">
        <v>3</v>
      </c>
    </row>
    <row r="464" spans="1:8" x14ac:dyDescent="0.35">
      <c r="A464" s="84" t="s">
        <v>1171</v>
      </c>
      <c r="B464" s="84" t="s">
        <v>1174</v>
      </c>
      <c r="C464" s="85" t="s">
        <v>59</v>
      </c>
      <c r="D464" s="86" t="s">
        <v>684</v>
      </c>
      <c r="E464" s="87">
        <v>35699</v>
      </c>
      <c r="F464" s="88"/>
      <c r="G464" s="89">
        <v>36230</v>
      </c>
      <c r="H464" s="85">
        <v>2</v>
      </c>
    </row>
    <row r="465" spans="1:8" x14ac:dyDescent="0.35">
      <c r="A465" s="84" t="s">
        <v>1171</v>
      </c>
      <c r="B465" s="84" t="s">
        <v>1175</v>
      </c>
      <c r="C465" s="85" t="s">
        <v>699</v>
      </c>
      <c r="D465" s="86" t="s">
        <v>697</v>
      </c>
      <c r="E465" s="87">
        <v>39217</v>
      </c>
      <c r="F465" s="88" t="s">
        <v>689</v>
      </c>
      <c r="G465" s="89">
        <v>73830</v>
      </c>
      <c r="H465" s="85">
        <v>2</v>
      </c>
    </row>
    <row r="466" spans="1:8" x14ac:dyDescent="0.35">
      <c r="A466" s="84" t="s">
        <v>1171</v>
      </c>
      <c r="B466" s="84" t="s">
        <v>1176</v>
      </c>
      <c r="C466" s="85" t="s">
        <v>699</v>
      </c>
      <c r="D466" s="86" t="s">
        <v>697</v>
      </c>
      <c r="E466" s="87">
        <v>33510</v>
      </c>
      <c r="F466" s="88" t="s">
        <v>693</v>
      </c>
      <c r="G466" s="89">
        <v>54500</v>
      </c>
      <c r="H466" s="85">
        <v>5</v>
      </c>
    </row>
    <row r="467" spans="1:8" x14ac:dyDescent="0.35">
      <c r="A467" s="84" t="s">
        <v>1171</v>
      </c>
      <c r="B467" s="84" t="s">
        <v>1177</v>
      </c>
      <c r="C467" s="85" t="s">
        <v>85</v>
      </c>
      <c r="D467" s="86" t="s">
        <v>697</v>
      </c>
      <c r="E467" s="87">
        <v>38753</v>
      </c>
      <c r="F467" s="88" t="s">
        <v>689</v>
      </c>
      <c r="G467" s="89">
        <v>22410</v>
      </c>
      <c r="H467" s="85">
        <v>4</v>
      </c>
    </row>
    <row r="468" spans="1:8" x14ac:dyDescent="0.35">
      <c r="A468" s="84" t="s">
        <v>1171</v>
      </c>
      <c r="B468" s="84" t="s">
        <v>1178</v>
      </c>
      <c r="C468" s="85" t="s">
        <v>59</v>
      </c>
      <c r="D468" s="86" t="s">
        <v>684</v>
      </c>
      <c r="E468" s="87">
        <v>33914</v>
      </c>
      <c r="F468" s="88"/>
      <c r="G468" s="89">
        <v>55690</v>
      </c>
      <c r="H468" s="85">
        <v>2</v>
      </c>
    </row>
    <row r="469" spans="1:8" x14ac:dyDescent="0.35">
      <c r="A469" s="84" t="s">
        <v>1171</v>
      </c>
      <c r="B469" s="84" t="s">
        <v>1179</v>
      </c>
      <c r="C469" s="85" t="s">
        <v>59</v>
      </c>
      <c r="D469" s="86" t="s">
        <v>688</v>
      </c>
      <c r="E469" s="87">
        <v>34583</v>
      </c>
      <c r="F469" s="88" t="s">
        <v>693</v>
      </c>
      <c r="G469" s="89">
        <v>15260</v>
      </c>
      <c r="H469" s="85">
        <v>2</v>
      </c>
    </row>
    <row r="470" spans="1:8" x14ac:dyDescent="0.35">
      <c r="A470" s="84" t="s">
        <v>1171</v>
      </c>
      <c r="B470" s="84" t="s">
        <v>1180</v>
      </c>
      <c r="C470" s="85" t="s">
        <v>72</v>
      </c>
      <c r="D470" s="86" t="s">
        <v>688</v>
      </c>
      <c r="E470" s="90">
        <v>40254</v>
      </c>
      <c r="F470" s="88" t="s">
        <v>691</v>
      </c>
      <c r="G470" s="89">
        <v>48700</v>
      </c>
      <c r="H470" s="85">
        <v>3</v>
      </c>
    </row>
    <row r="471" spans="1:8" x14ac:dyDescent="0.35">
      <c r="A471" s="84" t="s">
        <v>1171</v>
      </c>
      <c r="B471" s="84" t="s">
        <v>1181</v>
      </c>
      <c r="C471" s="85" t="s">
        <v>683</v>
      </c>
      <c r="D471" s="86" t="s">
        <v>705</v>
      </c>
      <c r="E471" s="87">
        <v>35490</v>
      </c>
      <c r="F471" s="88"/>
      <c r="G471" s="89">
        <v>22472</v>
      </c>
      <c r="H471" s="85">
        <v>1</v>
      </c>
    </row>
    <row r="472" spans="1:8" x14ac:dyDescent="0.35">
      <c r="A472" s="84" t="s">
        <v>1171</v>
      </c>
      <c r="B472" s="84" t="s">
        <v>1182</v>
      </c>
      <c r="C472" s="85" t="s">
        <v>59</v>
      </c>
      <c r="D472" s="86" t="s">
        <v>697</v>
      </c>
      <c r="E472" s="87">
        <v>35133</v>
      </c>
      <c r="F472" s="88" t="s">
        <v>691</v>
      </c>
      <c r="G472" s="89">
        <v>63080</v>
      </c>
      <c r="H472" s="85">
        <v>5</v>
      </c>
    </row>
    <row r="473" spans="1:8" x14ac:dyDescent="0.35">
      <c r="A473" s="84" t="s">
        <v>1171</v>
      </c>
      <c r="B473" s="84" t="s">
        <v>1183</v>
      </c>
      <c r="C473" s="85" t="s">
        <v>59</v>
      </c>
      <c r="D473" s="86" t="s">
        <v>684</v>
      </c>
      <c r="E473" s="87">
        <v>36600</v>
      </c>
      <c r="F473" s="88"/>
      <c r="G473" s="89">
        <v>41840</v>
      </c>
      <c r="H473" s="85">
        <v>2</v>
      </c>
    </row>
    <row r="474" spans="1:8" x14ac:dyDescent="0.35">
      <c r="A474" s="84" t="s">
        <v>1171</v>
      </c>
      <c r="B474" s="84" t="s">
        <v>1184</v>
      </c>
      <c r="C474" s="85" t="s">
        <v>72</v>
      </c>
      <c r="D474" s="86" t="s">
        <v>684</v>
      </c>
      <c r="E474" s="87">
        <v>36703</v>
      </c>
      <c r="F474" s="88"/>
      <c r="G474" s="89">
        <v>50200</v>
      </c>
      <c r="H474" s="85">
        <v>4</v>
      </c>
    </row>
    <row r="475" spans="1:8" x14ac:dyDescent="0.35">
      <c r="A475" s="84" t="s">
        <v>1171</v>
      </c>
      <c r="B475" s="84" t="s">
        <v>1185</v>
      </c>
      <c r="C475" s="85" t="s">
        <v>72</v>
      </c>
      <c r="D475" s="86" t="s">
        <v>684</v>
      </c>
      <c r="E475" s="87">
        <v>34651</v>
      </c>
      <c r="F475" s="88"/>
      <c r="G475" s="89">
        <v>46670</v>
      </c>
      <c r="H475" s="85">
        <v>3</v>
      </c>
    </row>
    <row r="476" spans="1:8" x14ac:dyDescent="0.35">
      <c r="A476" s="84" t="s">
        <v>1171</v>
      </c>
      <c r="B476" s="84" t="s">
        <v>1186</v>
      </c>
      <c r="C476" s="85" t="s">
        <v>683</v>
      </c>
      <c r="D476" s="86" t="s">
        <v>688</v>
      </c>
      <c r="E476" s="87">
        <v>40166</v>
      </c>
      <c r="F476" s="88" t="s">
        <v>713</v>
      </c>
      <c r="G476" s="89">
        <v>25245</v>
      </c>
      <c r="H476" s="85">
        <v>5</v>
      </c>
    </row>
    <row r="477" spans="1:8" x14ac:dyDescent="0.35">
      <c r="A477" s="84" t="s">
        <v>1171</v>
      </c>
      <c r="B477" s="84" t="s">
        <v>1187</v>
      </c>
      <c r="C477" s="85" t="s">
        <v>85</v>
      </c>
      <c r="D477" s="86" t="s">
        <v>697</v>
      </c>
      <c r="E477" s="87">
        <v>33648</v>
      </c>
      <c r="F477" s="88" t="s">
        <v>713</v>
      </c>
      <c r="G477" s="89">
        <v>60380</v>
      </c>
      <c r="H477" s="85">
        <v>4</v>
      </c>
    </row>
    <row r="478" spans="1:8" x14ac:dyDescent="0.35">
      <c r="A478" s="84" t="s">
        <v>1188</v>
      </c>
      <c r="B478" s="84" t="s">
        <v>1189</v>
      </c>
      <c r="C478" s="85" t="s">
        <v>750</v>
      </c>
      <c r="D478" s="86" t="s">
        <v>697</v>
      </c>
      <c r="E478" s="87">
        <v>33604</v>
      </c>
      <c r="F478" s="88" t="s">
        <v>689</v>
      </c>
      <c r="G478" s="89">
        <v>54830</v>
      </c>
      <c r="H478" s="85">
        <v>1</v>
      </c>
    </row>
    <row r="479" spans="1:8" x14ac:dyDescent="0.35">
      <c r="A479" s="84" t="s">
        <v>1188</v>
      </c>
      <c r="B479" s="84" t="s">
        <v>1190</v>
      </c>
      <c r="C479" s="85" t="s">
        <v>59</v>
      </c>
      <c r="D479" s="86" t="s">
        <v>697</v>
      </c>
      <c r="E479" s="87">
        <v>38377</v>
      </c>
      <c r="F479" s="88" t="s">
        <v>689</v>
      </c>
      <c r="G479" s="89">
        <v>87760</v>
      </c>
      <c r="H479" s="85">
        <v>1</v>
      </c>
    </row>
    <row r="480" spans="1:8" x14ac:dyDescent="0.35">
      <c r="A480" s="84" t="s">
        <v>1188</v>
      </c>
      <c r="B480" s="84" t="s">
        <v>1191</v>
      </c>
      <c r="C480" s="85" t="s">
        <v>683</v>
      </c>
      <c r="D480" s="86" t="s">
        <v>684</v>
      </c>
      <c r="E480" s="87">
        <v>34265</v>
      </c>
      <c r="F480" s="88"/>
      <c r="G480" s="89">
        <v>35460</v>
      </c>
      <c r="H480" s="85">
        <v>3</v>
      </c>
    </row>
    <row r="481" spans="1:8" x14ac:dyDescent="0.35">
      <c r="A481" s="84" t="s">
        <v>1188</v>
      </c>
      <c r="B481" s="84" t="s">
        <v>1192</v>
      </c>
      <c r="C481" s="85" t="s">
        <v>85</v>
      </c>
      <c r="D481" s="86" t="s">
        <v>684</v>
      </c>
      <c r="E481" s="87">
        <v>33977</v>
      </c>
      <c r="F481" s="88"/>
      <c r="G481" s="89">
        <v>63290</v>
      </c>
      <c r="H481" s="85">
        <v>5</v>
      </c>
    </row>
    <row r="482" spans="1:8" x14ac:dyDescent="0.35">
      <c r="A482" s="84" t="s">
        <v>1188</v>
      </c>
      <c r="B482" s="84" t="s">
        <v>1193</v>
      </c>
      <c r="C482" s="85" t="s">
        <v>59</v>
      </c>
      <c r="D482" s="86" t="s">
        <v>705</v>
      </c>
      <c r="E482" s="87">
        <v>35673</v>
      </c>
      <c r="F482" s="88"/>
      <c r="G482" s="89">
        <v>12676</v>
      </c>
      <c r="H482" s="85">
        <v>2</v>
      </c>
    </row>
    <row r="483" spans="1:8" x14ac:dyDescent="0.35">
      <c r="A483" s="84" t="s">
        <v>1188</v>
      </c>
      <c r="B483" s="84" t="s">
        <v>1194</v>
      </c>
      <c r="C483" s="85" t="s">
        <v>699</v>
      </c>
      <c r="D483" s="86" t="s">
        <v>684</v>
      </c>
      <c r="E483" s="87">
        <v>33387</v>
      </c>
      <c r="F483" s="88"/>
      <c r="G483" s="89">
        <v>85510</v>
      </c>
      <c r="H483" s="85">
        <v>4</v>
      </c>
    </row>
    <row r="484" spans="1:8" x14ac:dyDescent="0.35">
      <c r="A484" s="84" t="s">
        <v>1188</v>
      </c>
      <c r="B484" s="84" t="s">
        <v>1195</v>
      </c>
      <c r="C484" s="85" t="s">
        <v>72</v>
      </c>
      <c r="D484" s="86" t="s">
        <v>697</v>
      </c>
      <c r="E484" s="87">
        <v>38821</v>
      </c>
      <c r="F484" s="88" t="s">
        <v>691</v>
      </c>
      <c r="G484" s="89">
        <v>65720</v>
      </c>
      <c r="H484" s="85">
        <v>1</v>
      </c>
    </row>
    <row r="485" spans="1:8" x14ac:dyDescent="0.35">
      <c r="A485" s="84" t="s">
        <v>1188</v>
      </c>
      <c r="B485" s="84" t="s">
        <v>1196</v>
      </c>
      <c r="C485" s="85" t="s">
        <v>699</v>
      </c>
      <c r="D485" s="86" t="s">
        <v>697</v>
      </c>
      <c r="E485" s="87">
        <v>35449</v>
      </c>
      <c r="F485" s="88" t="s">
        <v>691</v>
      </c>
      <c r="G485" s="89">
        <v>22920</v>
      </c>
      <c r="H485" s="85">
        <v>3</v>
      </c>
    </row>
    <row r="486" spans="1:8" x14ac:dyDescent="0.35">
      <c r="A486" s="84" t="s">
        <v>1188</v>
      </c>
      <c r="B486" s="84" t="s">
        <v>1197</v>
      </c>
      <c r="C486" s="85" t="s">
        <v>59</v>
      </c>
      <c r="D486" s="86" t="s">
        <v>697</v>
      </c>
      <c r="E486" s="87">
        <v>36619</v>
      </c>
      <c r="F486" s="88" t="s">
        <v>707</v>
      </c>
      <c r="G486" s="89">
        <v>56440</v>
      </c>
      <c r="H486" s="85">
        <v>1</v>
      </c>
    </row>
    <row r="487" spans="1:8" x14ac:dyDescent="0.35">
      <c r="A487" s="84" t="s">
        <v>1188</v>
      </c>
      <c r="B487" s="84" t="s">
        <v>1198</v>
      </c>
      <c r="C487" s="85" t="s">
        <v>59</v>
      </c>
      <c r="D487" s="86" t="s">
        <v>697</v>
      </c>
      <c r="E487" s="87">
        <v>39312</v>
      </c>
      <c r="F487" s="88" t="s">
        <v>693</v>
      </c>
      <c r="G487" s="89">
        <v>71030</v>
      </c>
      <c r="H487" s="85">
        <v>3</v>
      </c>
    </row>
    <row r="488" spans="1:8" x14ac:dyDescent="0.35">
      <c r="A488" s="84" t="s">
        <v>1188</v>
      </c>
      <c r="B488" s="84" t="s">
        <v>1199</v>
      </c>
      <c r="C488" s="85" t="s">
        <v>72</v>
      </c>
      <c r="D488" s="86" t="s">
        <v>697</v>
      </c>
      <c r="E488" s="87">
        <v>35693</v>
      </c>
      <c r="F488" s="88" t="s">
        <v>693</v>
      </c>
      <c r="G488" s="89">
        <v>24340</v>
      </c>
      <c r="H488" s="85">
        <v>4</v>
      </c>
    </row>
    <row r="489" spans="1:8" x14ac:dyDescent="0.35">
      <c r="A489" s="84" t="s">
        <v>1188</v>
      </c>
      <c r="B489" s="84" t="s">
        <v>1200</v>
      </c>
      <c r="C489" s="85" t="s">
        <v>750</v>
      </c>
      <c r="D489" s="86" t="s">
        <v>684</v>
      </c>
      <c r="E489" s="87">
        <v>35927</v>
      </c>
      <c r="F489" s="88"/>
      <c r="G489" s="89">
        <v>76910</v>
      </c>
      <c r="H489" s="85">
        <v>1</v>
      </c>
    </row>
    <row r="490" spans="1:8" x14ac:dyDescent="0.35">
      <c r="A490" s="84" t="s">
        <v>1188</v>
      </c>
      <c r="B490" s="84" t="s">
        <v>1201</v>
      </c>
      <c r="C490" s="85" t="s">
        <v>699</v>
      </c>
      <c r="D490" s="86" t="s">
        <v>684</v>
      </c>
      <c r="E490" s="87">
        <v>33282</v>
      </c>
      <c r="F490" s="88"/>
      <c r="G490" s="89">
        <v>89450</v>
      </c>
      <c r="H490" s="85">
        <v>2</v>
      </c>
    </row>
    <row r="491" spans="1:8" x14ac:dyDescent="0.35">
      <c r="A491" s="84" t="s">
        <v>1188</v>
      </c>
      <c r="B491" s="84" t="s">
        <v>1202</v>
      </c>
      <c r="C491" s="85" t="s">
        <v>683</v>
      </c>
      <c r="D491" s="86" t="s">
        <v>697</v>
      </c>
      <c r="E491" s="87">
        <v>37073</v>
      </c>
      <c r="F491" s="88" t="s">
        <v>713</v>
      </c>
      <c r="G491" s="89">
        <v>40680</v>
      </c>
      <c r="H491" s="85">
        <v>5</v>
      </c>
    </row>
    <row r="492" spans="1:8" x14ac:dyDescent="0.35">
      <c r="A492" s="84" t="s">
        <v>1188</v>
      </c>
      <c r="B492" s="84" t="s">
        <v>1203</v>
      </c>
      <c r="C492" s="85" t="s">
        <v>699</v>
      </c>
      <c r="D492" s="86" t="s">
        <v>697</v>
      </c>
      <c r="E492" s="87">
        <v>40083</v>
      </c>
      <c r="F492" s="88" t="s">
        <v>691</v>
      </c>
      <c r="G492" s="89">
        <v>44150</v>
      </c>
      <c r="H492" s="85">
        <v>4</v>
      </c>
    </row>
    <row r="493" spans="1:8" x14ac:dyDescent="0.35">
      <c r="A493" s="84" t="s">
        <v>1188</v>
      </c>
      <c r="B493" s="84" t="s">
        <v>1204</v>
      </c>
      <c r="C493" s="85" t="s">
        <v>750</v>
      </c>
      <c r="D493" s="86" t="s">
        <v>697</v>
      </c>
      <c r="E493" s="87">
        <v>35339</v>
      </c>
      <c r="F493" s="88" t="s">
        <v>691</v>
      </c>
      <c r="G493" s="89">
        <v>43410</v>
      </c>
      <c r="H493" s="85">
        <v>1</v>
      </c>
    </row>
    <row r="494" spans="1:8" x14ac:dyDescent="0.35">
      <c r="A494" s="84" t="s">
        <v>1188</v>
      </c>
      <c r="B494" s="84" t="s">
        <v>1205</v>
      </c>
      <c r="C494" s="85" t="s">
        <v>85</v>
      </c>
      <c r="D494" s="86" t="s">
        <v>684</v>
      </c>
      <c r="E494" s="87">
        <v>33974</v>
      </c>
      <c r="F494" s="88"/>
      <c r="G494" s="89">
        <v>70150</v>
      </c>
      <c r="H494" s="85">
        <v>2</v>
      </c>
    </row>
    <row r="495" spans="1:8" x14ac:dyDescent="0.35">
      <c r="A495" s="84" t="s">
        <v>1188</v>
      </c>
      <c r="B495" s="84" t="s">
        <v>1206</v>
      </c>
      <c r="C495" s="85" t="s">
        <v>699</v>
      </c>
      <c r="D495" s="86" t="s">
        <v>697</v>
      </c>
      <c r="E495" s="87">
        <v>35932</v>
      </c>
      <c r="F495" s="88" t="s">
        <v>691</v>
      </c>
      <c r="G495" s="89">
        <v>89740</v>
      </c>
      <c r="H495" s="85">
        <v>5</v>
      </c>
    </row>
    <row r="496" spans="1:8" x14ac:dyDescent="0.35">
      <c r="A496" s="84" t="s">
        <v>1188</v>
      </c>
      <c r="B496" s="84" t="s">
        <v>1207</v>
      </c>
      <c r="C496" s="85" t="s">
        <v>85</v>
      </c>
      <c r="D496" s="86" t="s">
        <v>684</v>
      </c>
      <c r="E496" s="87">
        <v>35997</v>
      </c>
      <c r="F496" s="88"/>
      <c r="G496" s="89">
        <v>72520</v>
      </c>
      <c r="H496" s="85">
        <v>3</v>
      </c>
    </row>
    <row r="497" spans="1:8" x14ac:dyDescent="0.35">
      <c r="A497" s="84" t="s">
        <v>1188</v>
      </c>
      <c r="B497" s="84" t="s">
        <v>1208</v>
      </c>
      <c r="C497" s="85" t="s">
        <v>683</v>
      </c>
      <c r="D497" s="86" t="s">
        <v>684</v>
      </c>
      <c r="E497" s="87">
        <v>39538</v>
      </c>
      <c r="F497" s="88"/>
      <c r="G497" s="89">
        <v>62780</v>
      </c>
      <c r="H497" s="85">
        <v>4</v>
      </c>
    </row>
    <row r="498" spans="1:8" x14ac:dyDescent="0.35">
      <c r="A498" s="84" t="s">
        <v>1188</v>
      </c>
      <c r="B498" s="84" t="s">
        <v>1209</v>
      </c>
      <c r="C498" s="85" t="s">
        <v>72</v>
      </c>
      <c r="D498" s="86" t="s">
        <v>684</v>
      </c>
      <c r="E498" s="87">
        <v>33658</v>
      </c>
      <c r="F498" s="88"/>
      <c r="G498" s="89">
        <v>60550</v>
      </c>
      <c r="H498" s="85">
        <v>2</v>
      </c>
    </row>
    <row r="499" spans="1:8" x14ac:dyDescent="0.35">
      <c r="A499" s="84" t="s">
        <v>1188</v>
      </c>
      <c r="B499" s="84" t="s">
        <v>1210</v>
      </c>
      <c r="C499" s="85" t="s">
        <v>699</v>
      </c>
      <c r="D499" s="86" t="s">
        <v>697</v>
      </c>
      <c r="E499" s="87">
        <v>33636</v>
      </c>
      <c r="F499" s="88" t="s">
        <v>689</v>
      </c>
      <c r="G499" s="89">
        <v>26360</v>
      </c>
      <c r="H499" s="85">
        <v>1</v>
      </c>
    </row>
    <row r="500" spans="1:8" x14ac:dyDescent="0.35">
      <c r="A500" s="84" t="s">
        <v>1188</v>
      </c>
      <c r="B500" s="84" t="s">
        <v>1211</v>
      </c>
      <c r="C500" s="85" t="s">
        <v>59</v>
      </c>
      <c r="D500" s="86" t="s">
        <v>688</v>
      </c>
      <c r="E500" s="87">
        <v>36053</v>
      </c>
      <c r="F500" s="88" t="s">
        <v>713</v>
      </c>
      <c r="G500" s="89">
        <v>46105</v>
      </c>
      <c r="H500" s="85">
        <v>5</v>
      </c>
    </row>
    <row r="501" spans="1:8" x14ac:dyDescent="0.35">
      <c r="A501" s="84" t="s">
        <v>1188</v>
      </c>
      <c r="B501" s="84" t="s">
        <v>1212</v>
      </c>
      <c r="C501" s="85" t="s">
        <v>683</v>
      </c>
      <c r="D501" s="86" t="s">
        <v>697</v>
      </c>
      <c r="E501" s="87">
        <v>35121</v>
      </c>
      <c r="F501" s="88" t="s">
        <v>691</v>
      </c>
      <c r="G501" s="89">
        <v>22860</v>
      </c>
      <c r="H501" s="85">
        <v>5</v>
      </c>
    </row>
    <row r="502" spans="1:8" x14ac:dyDescent="0.35">
      <c r="A502" s="84" t="s">
        <v>1188</v>
      </c>
      <c r="B502" s="84" t="s">
        <v>1213</v>
      </c>
      <c r="C502" s="85" t="s">
        <v>750</v>
      </c>
      <c r="D502" s="86" t="s">
        <v>684</v>
      </c>
      <c r="E502" s="87">
        <v>35940</v>
      </c>
      <c r="F502" s="88"/>
      <c r="G502" s="89">
        <v>88000</v>
      </c>
      <c r="H502" s="85">
        <v>5</v>
      </c>
    </row>
    <row r="503" spans="1:8" x14ac:dyDescent="0.35">
      <c r="A503" s="84" t="s">
        <v>1188</v>
      </c>
      <c r="B503" s="84" t="s">
        <v>1214</v>
      </c>
      <c r="C503" s="85" t="s">
        <v>750</v>
      </c>
      <c r="D503" s="86" t="s">
        <v>684</v>
      </c>
      <c r="E503" s="87">
        <v>36087</v>
      </c>
      <c r="F503" s="88"/>
      <c r="G503" s="89">
        <v>76930</v>
      </c>
      <c r="H503" s="85">
        <v>1</v>
      </c>
    </row>
    <row r="504" spans="1:8" x14ac:dyDescent="0.35">
      <c r="A504" s="84" t="s">
        <v>1188</v>
      </c>
      <c r="B504" s="84" t="s">
        <v>1215</v>
      </c>
      <c r="C504" s="85" t="s">
        <v>72</v>
      </c>
      <c r="D504" s="86" t="s">
        <v>697</v>
      </c>
      <c r="E504" s="87">
        <v>34693</v>
      </c>
      <c r="F504" s="88" t="s">
        <v>693</v>
      </c>
      <c r="G504" s="89">
        <v>88820</v>
      </c>
      <c r="H504" s="85">
        <v>2</v>
      </c>
    </row>
    <row r="505" spans="1:8" x14ac:dyDescent="0.35">
      <c r="A505" s="84" t="s">
        <v>1188</v>
      </c>
      <c r="B505" s="84" t="s">
        <v>1216</v>
      </c>
      <c r="C505" s="85" t="s">
        <v>683</v>
      </c>
      <c r="D505" s="86" t="s">
        <v>697</v>
      </c>
      <c r="E505" s="87">
        <v>35529</v>
      </c>
      <c r="F505" s="88" t="s">
        <v>707</v>
      </c>
      <c r="G505" s="89">
        <v>44920</v>
      </c>
      <c r="H505" s="85">
        <v>1</v>
      </c>
    </row>
    <row r="506" spans="1:8" x14ac:dyDescent="0.35">
      <c r="A506" s="84" t="s">
        <v>1188</v>
      </c>
      <c r="B506" s="84" t="s">
        <v>1217</v>
      </c>
      <c r="C506" s="85" t="s">
        <v>750</v>
      </c>
      <c r="D506" s="86" t="s">
        <v>697</v>
      </c>
      <c r="E506" s="87">
        <v>40533</v>
      </c>
      <c r="F506" s="88" t="s">
        <v>713</v>
      </c>
      <c r="G506" s="89">
        <v>62180</v>
      </c>
      <c r="H506" s="85">
        <v>2</v>
      </c>
    </row>
    <row r="507" spans="1:8" x14ac:dyDescent="0.35">
      <c r="A507" s="84" t="s">
        <v>1188</v>
      </c>
      <c r="B507" s="84" t="s">
        <v>1218</v>
      </c>
      <c r="C507" s="85" t="s">
        <v>699</v>
      </c>
      <c r="D507" s="86" t="s">
        <v>705</v>
      </c>
      <c r="E507" s="87">
        <v>34180</v>
      </c>
      <c r="F507" s="88"/>
      <c r="G507" s="89">
        <v>26484</v>
      </c>
      <c r="H507" s="85">
        <v>5</v>
      </c>
    </row>
    <row r="508" spans="1:8" x14ac:dyDescent="0.35">
      <c r="A508" s="84" t="s">
        <v>1188</v>
      </c>
      <c r="B508" s="84" t="s">
        <v>1219</v>
      </c>
      <c r="C508" s="85" t="s">
        <v>85</v>
      </c>
      <c r="D508" s="86" t="s">
        <v>688</v>
      </c>
      <c r="E508" s="87">
        <v>35466</v>
      </c>
      <c r="F508" s="88" t="s">
        <v>693</v>
      </c>
      <c r="G508" s="89">
        <v>37660</v>
      </c>
      <c r="H508" s="85">
        <v>4</v>
      </c>
    </row>
    <row r="509" spans="1:8" x14ac:dyDescent="0.35">
      <c r="A509" s="84" t="s">
        <v>1188</v>
      </c>
      <c r="B509" s="84" t="s">
        <v>1220</v>
      </c>
      <c r="C509" s="85" t="s">
        <v>85</v>
      </c>
      <c r="D509" s="86" t="s">
        <v>697</v>
      </c>
      <c r="E509" s="87">
        <v>33928</v>
      </c>
      <c r="F509" s="88" t="s">
        <v>693</v>
      </c>
      <c r="G509" s="89">
        <v>68010</v>
      </c>
      <c r="H509" s="85">
        <v>1</v>
      </c>
    </row>
    <row r="510" spans="1:8" x14ac:dyDescent="0.35">
      <c r="A510" s="84" t="s">
        <v>1188</v>
      </c>
      <c r="B510" s="84" t="s">
        <v>1221</v>
      </c>
      <c r="C510" s="85" t="s">
        <v>699</v>
      </c>
      <c r="D510" s="86" t="s">
        <v>684</v>
      </c>
      <c r="E510" s="87">
        <v>34502</v>
      </c>
      <c r="F510" s="88"/>
      <c r="G510" s="89">
        <v>66710</v>
      </c>
      <c r="H510" s="85">
        <v>2</v>
      </c>
    </row>
    <row r="511" spans="1:8" x14ac:dyDescent="0.35">
      <c r="A511" s="84" t="s">
        <v>1188</v>
      </c>
      <c r="B511" s="84" t="s">
        <v>1222</v>
      </c>
      <c r="C511" s="85" t="s">
        <v>85</v>
      </c>
      <c r="D511" s="86" t="s">
        <v>697</v>
      </c>
      <c r="E511" s="87">
        <v>36290</v>
      </c>
      <c r="F511" s="88" t="s">
        <v>691</v>
      </c>
      <c r="G511" s="89">
        <v>39000</v>
      </c>
      <c r="H511" s="85">
        <v>3</v>
      </c>
    </row>
    <row r="512" spans="1:8" x14ac:dyDescent="0.35">
      <c r="A512" s="84" t="s">
        <v>1188</v>
      </c>
      <c r="B512" s="84" t="s">
        <v>1223</v>
      </c>
      <c r="C512" s="85" t="s">
        <v>85</v>
      </c>
      <c r="D512" s="86" t="s">
        <v>697</v>
      </c>
      <c r="E512" s="87">
        <v>35199</v>
      </c>
      <c r="F512" s="88" t="s">
        <v>689</v>
      </c>
      <c r="G512" s="89">
        <v>73450</v>
      </c>
      <c r="H512" s="85">
        <v>3</v>
      </c>
    </row>
    <row r="513" spans="1:8" x14ac:dyDescent="0.35">
      <c r="A513" s="84" t="s">
        <v>1188</v>
      </c>
      <c r="B513" s="84" t="s">
        <v>1224</v>
      </c>
      <c r="C513" s="85" t="s">
        <v>699</v>
      </c>
      <c r="D513" s="86" t="s">
        <v>697</v>
      </c>
      <c r="E513" s="87">
        <v>33831</v>
      </c>
      <c r="F513" s="88" t="s">
        <v>689</v>
      </c>
      <c r="G513" s="89">
        <v>79760</v>
      </c>
      <c r="H513" s="85">
        <v>5</v>
      </c>
    </row>
    <row r="514" spans="1:8" x14ac:dyDescent="0.35">
      <c r="A514" s="84" t="s">
        <v>1188</v>
      </c>
      <c r="B514" s="84" t="s">
        <v>1225</v>
      </c>
      <c r="C514" s="85" t="s">
        <v>59</v>
      </c>
      <c r="D514" s="86" t="s">
        <v>697</v>
      </c>
      <c r="E514" s="90">
        <v>40680</v>
      </c>
      <c r="F514" s="88" t="s">
        <v>713</v>
      </c>
      <c r="G514" s="89">
        <v>40260</v>
      </c>
      <c r="H514" s="85">
        <v>5</v>
      </c>
    </row>
    <row r="515" spans="1:8" x14ac:dyDescent="0.35">
      <c r="A515" s="84" t="s">
        <v>1188</v>
      </c>
      <c r="B515" s="84" t="s">
        <v>1226</v>
      </c>
      <c r="C515" s="85" t="s">
        <v>59</v>
      </c>
      <c r="D515" s="86" t="s">
        <v>697</v>
      </c>
      <c r="E515" s="87">
        <v>39923</v>
      </c>
      <c r="F515" s="88" t="s">
        <v>689</v>
      </c>
      <c r="G515" s="89">
        <v>76440</v>
      </c>
      <c r="H515" s="85">
        <v>3</v>
      </c>
    </row>
    <row r="516" spans="1:8" x14ac:dyDescent="0.35">
      <c r="A516" s="84" t="s">
        <v>1188</v>
      </c>
      <c r="B516" s="84" t="s">
        <v>1227</v>
      </c>
      <c r="C516" s="85" t="s">
        <v>72</v>
      </c>
      <c r="D516" s="86" t="s">
        <v>697</v>
      </c>
      <c r="E516" s="87">
        <v>34285</v>
      </c>
      <c r="F516" s="88" t="s">
        <v>707</v>
      </c>
      <c r="G516" s="89">
        <v>48490</v>
      </c>
      <c r="H516" s="85">
        <v>2</v>
      </c>
    </row>
    <row r="517" spans="1:8" x14ac:dyDescent="0.35">
      <c r="A517" s="84" t="s">
        <v>1188</v>
      </c>
      <c r="B517" s="84" t="s">
        <v>1228</v>
      </c>
      <c r="C517" s="85" t="s">
        <v>59</v>
      </c>
      <c r="D517" s="86" t="s">
        <v>688</v>
      </c>
      <c r="E517" s="87">
        <v>36557</v>
      </c>
      <c r="F517" s="88" t="s">
        <v>689</v>
      </c>
      <c r="G517" s="89">
        <v>31250</v>
      </c>
      <c r="H517" s="85">
        <v>2</v>
      </c>
    </row>
    <row r="518" spans="1:8" x14ac:dyDescent="0.35">
      <c r="A518" s="84" t="s">
        <v>1188</v>
      </c>
      <c r="B518" s="84" t="s">
        <v>1229</v>
      </c>
      <c r="C518" s="85" t="s">
        <v>699</v>
      </c>
      <c r="D518" s="86" t="s">
        <v>697</v>
      </c>
      <c r="E518" s="87">
        <v>40361</v>
      </c>
      <c r="F518" s="88" t="s">
        <v>707</v>
      </c>
      <c r="G518" s="89">
        <v>75780</v>
      </c>
      <c r="H518" s="85">
        <v>2</v>
      </c>
    </row>
    <row r="519" spans="1:8" x14ac:dyDescent="0.35">
      <c r="A519" s="84" t="s">
        <v>1188</v>
      </c>
      <c r="B519" s="84" t="s">
        <v>1230</v>
      </c>
      <c r="C519" s="85" t="s">
        <v>699</v>
      </c>
      <c r="D519" s="86" t="s">
        <v>697</v>
      </c>
      <c r="E519" s="87">
        <v>35084</v>
      </c>
      <c r="F519" s="88" t="s">
        <v>713</v>
      </c>
      <c r="G519" s="89">
        <v>49260</v>
      </c>
      <c r="H519" s="85">
        <v>3</v>
      </c>
    </row>
    <row r="520" spans="1:8" x14ac:dyDescent="0.35">
      <c r="A520" s="84" t="s">
        <v>1188</v>
      </c>
      <c r="B520" s="84" t="s">
        <v>1231</v>
      </c>
      <c r="C520" s="85" t="s">
        <v>699</v>
      </c>
      <c r="D520" s="86" t="s">
        <v>697</v>
      </c>
      <c r="E520" s="87">
        <v>33765</v>
      </c>
      <c r="F520" s="88" t="s">
        <v>693</v>
      </c>
      <c r="G520" s="89">
        <v>73930</v>
      </c>
      <c r="H520" s="85">
        <v>1</v>
      </c>
    </row>
    <row r="521" spans="1:8" x14ac:dyDescent="0.35">
      <c r="A521" s="84" t="s">
        <v>1188</v>
      </c>
      <c r="B521" s="84" t="s">
        <v>1232</v>
      </c>
      <c r="C521" s="85" t="s">
        <v>699</v>
      </c>
      <c r="D521" s="86" t="s">
        <v>705</v>
      </c>
      <c r="E521" s="87">
        <v>36340</v>
      </c>
      <c r="F521" s="88"/>
      <c r="G521" s="89">
        <v>37016</v>
      </c>
      <c r="H521" s="85">
        <v>4</v>
      </c>
    </row>
    <row r="522" spans="1:8" x14ac:dyDescent="0.35">
      <c r="A522" s="84" t="s">
        <v>1188</v>
      </c>
      <c r="B522" s="84" t="s">
        <v>1233</v>
      </c>
      <c r="C522" s="85" t="s">
        <v>72</v>
      </c>
      <c r="D522" s="86" t="s">
        <v>697</v>
      </c>
      <c r="E522" s="87">
        <v>33079</v>
      </c>
      <c r="F522" s="88" t="s">
        <v>713</v>
      </c>
      <c r="G522" s="89">
        <v>32360</v>
      </c>
      <c r="H522" s="85">
        <v>4</v>
      </c>
    </row>
    <row r="523" spans="1:8" x14ac:dyDescent="0.35">
      <c r="A523" s="84" t="s">
        <v>1188</v>
      </c>
      <c r="B523" s="84" t="s">
        <v>1234</v>
      </c>
      <c r="C523" s="85" t="s">
        <v>699</v>
      </c>
      <c r="D523" s="86" t="s">
        <v>697</v>
      </c>
      <c r="E523" s="87">
        <v>33223</v>
      </c>
      <c r="F523" s="88" t="s">
        <v>693</v>
      </c>
      <c r="G523" s="89">
        <v>31260</v>
      </c>
      <c r="H523" s="85">
        <v>5</v>
      </c>
    </row>
    <row r="524" spans="1:8" x14ac:dyDescent="0.35">
      <c r="A524" s="84" t="s">
        <v>1188</v>
      </c>
      <c r="B524" s="84" t="s">
        <v>1235</v>
      </c>
      <c r="C524" s="85" t="s">
        <v>699</v>
      </c>
      <c r="D524" s="86" t="s">
        <v>684</v>
      </c>
      <c r="E524" s="87">
        <v>33819</v>
      </c>
      <c r="F524" s="88"/>
      <c r="G524" s="89">
        <v>49530</v>
      </c>
      <c r="H524" s="85">
        <v>2</v>
      </c>
    </row>
    <row r="525" spans="1:8" x14ac:dyDescent="0.35">
      <c r="A525" s="84" t="s">
        <v>1188</v>
      </c>
      <c r="B525" s="84" t="s">
        <v>1236</v>
      </c>
      <c r="C525" s="85" t="s">
        <v>683</v>
      </c>
      <c r="D525" s="86" t="s">
        <v>684</v>
      </c>
      <c r="E525" s="87">
        <v>37141</v>
      </c>
      <c r="F525" s="88"/>
      <c r="G525" s="89">
        <v>25530</v>
      </c>
      <c r="H525" s="85">
        <v>3</v>
      </c>
    </row>
    <row r="526" spans="1:8" x14ac:dyDescent="0.35">
      <c r="A526" s="84" t="s">
        <v>1188</v>
      </c>
      <c r="B526" s="84" t="s">
        <v>1237</v>
      </c>
      <c r="C526" s="85" t="s">
        <v>72</v>
      </c>
      <c r="D526" s="86" t="s">
        <v>697</v>
      </c>
      <c r="E526" s="87">
        <v>36940</v>
      </c>
      <c r="F526" s="88" t="s">
        <v>689</v>
      </c>
      <c r="G526" s="89">
        <v>48990</v>
      </c>
      <c r="H526" s="85">
        <v>5</v>
      </c>
    </row>
    <row r="527" spans="1:8" x14ac:dyDescent="0.35">
      <c r="A527" s="84" t="s">
        <v>1188</v>
      </c>
      <c r="B527" s="84" t="s">
        <v>1238</v>
      </c>
      <c r="C527" s="85" t="s">
        <v>85</v>
      </c>
      <c r="D527" s="86" t="s">
        <v>697</v>
      </c>
      <c r="E527" s="87">
        <v>35220</v>
      </c>
      <c r="F527" s="88" t="s">
        <v>707</v>
      </c>
      <c r="G527" s="89">
        <v>70480</v>
      </c>
      <c r="H527" s="85">
        <v>4</v>
      </c>
    </row>
    <row r="528" spans="1:8" x14ac:dyDescent="0.35">
      <c r="A528" s="84" t="s">
        <v>1188</v>
      </c>
      <c r="B528" s="84" t="s">
        <v>1239</v>
      </c>
      <c r="C528" s="85" t="s">
        <v>59</v>
      </c>
      <c r="D528" s="86" t="s">
        <v>697</v>
      </c>
      <c r="E528" s="90">
        <v>40292</v>
      </c>
      <c r="F528" s="88" t="s">
        <v>689</v>
      </c>
      <c r="G528" s="89">
        <v>23280</v>
      </c>
      <c r="H528" s="85">
        <v>1</v>
      </c>
    </row>
    <row r="529" spans="1:8" x14ac:dyDescent="0.35">
      <c r="A529" s="84" t="s">
        <v>1188</v>
      </c>
      <c r="B529" s="84" t="s">
        <v>1240</v>
      </c>
      <c r="C529" s="85" t="s">
        <v>683</v>
      </c>
      <c r="D529" s="86" t="s">
        <v>684</v>
      </c>
      <c r="E529" s="87">
        <v>40719</v>
      </c>
      <c r="F529" s="88"/>
      <c r="G529" s="89">
        <v>66132</v>
      </c>
      <c r="H529" s="85">
        <v>4</v>
      </c>
    </row>
    <row r="530" spans="1:8" x14ac:dyDescent="0.35">
      <c r="A530" s="84" t="s">
        <v>1188</v>
      </c>
      <c r="B530" s="84" t="s">
        <v>1241</v>
      </c>
      <c r="C530" s="85" t="s">
        <v>699</v>
      </c>
      <c r="D530" s="86" t="s">
        <v>697</v>
      </c>
      <c r="E530" s="87">
        <v>34901</v>
      </c>
      <c r="F530" s="88" t="s">
        <v>689</v>
      </c>
      <c r="G530" s="89">
        <v>25830</v>
      </c>
      <c r="H530" s="85">
        <v>5</v>
      </c>
    </row>
    <row r="531" spans="1:8" x14ac:dyDescent="0.35">
      <c r="A531" s="84" t="s">
        <v>1188</v>
      </c>
      <c r="B531" s="84" t="s">
        <v>1242</v>
      </c>
      <c r="C531" s="85" t="s">
        <v>72</v>
      </c>
      <c r="D531" s="86" t="s">
        <v>697</v>
      </c>
      <c r="E531" s="87">
        <v>40581</v>
      </c>
      <c r="F531" s="88" t="s">
        <v>707</v>
      </c>
      <c r="G531" s="89">
        <v>80260</v>
      </c>
      <c r="H531" s="85">
        <v>3</v>
      </c>
    </row>
    <row r="532" spans="1:8" x14ac:dyDescent="0.35">
      <c r="A532" s="84" t="s">
        <v>1188</v>
      </c>
      <c r="B532" s="84" t="s">
        <v>1243</v>
      </c>
      <c r="C532" s="85" t="s">
        <v>699</v>
      </c>
      <c r="D532" s="86" t="s">
        <v>697</v>
      </c>
      <c r="E532" s="90">
        <v>40536</v>
      </c>
      <c r="F532" s="88" t="s">
        <v>691</v>
      </c>
      <c r="G532" s="89">
        <v>70730</v>
      </c>
      <c r="H532" s="85">
        <v>1</v>
      </c>
    </row>
    <row r="533" spans="1:8" x14ac:dyDescent="0.35">
      <c r="A533" s="84" t="s">
        <v>1188</v>
      </c>
      <c r="B533" s="84" t="s">
        <v>1244</v>
      </c>
      <c r="C533" s="85" t="s">
        <v>59</v>
      </c>
      <c r="D533" s="86" t="s">
        <v>688</v>
      </c>
      <c r="E533" s="87">
        <v>33502</v>
      </c>
      <c r="F533" s="88" t="s">
        <v>693</v>
      </c>
      <c r="G533" s="89">
        <v>35045</v>
      </c>
      <c r="H533" s="85">
        <v>4</v>
      </c>
    </row>
    <row r="534" spans="1:8" x14ac:dyDescent="0.35">
      <c r="A534" s="84" t="s">
        <v>1188</v>
      </c>
      <c r="B534" s="84" t="s">
        <v>1245</v>
      </c>
      <c r="C534" s="85" t="s">
        <v>699</v>
      </c>
      <c r="D534" s="86" t="s">
        <v>688</v>
      </c>
      <c r="E534" s="87">
        <v>39728</v>
      </c>
      <c r="F534" s="88" t="s">
        <v>689</v>
      </c>
      <c r="G534" s="89">
        <v>45565</v>
      </c>
      <c r="H534" s="85">
        <v>1</v>
      </c>
    </row>
    <row r="535" spans="1:8" x14ac:dyDescent="0.35">
      <c r="A535" s="84" t="s">
        <v>1188</v>
      </c>
      <c r="B535" s="84" t="s">
        <v>1246</v>
      </c>
      <c r="C535" s="85" t="s">
        <v>59</v>
      </c>
      <c r="D535" s="86" t="s">
        <v>697</v>
      </c>
      <c r="E535" s="87">
        <v>34068</v>
      </c>
      <c r="F535" s="88" t="s">
        <v>691</v>
      </c>
      <c r="G535" s="89">
        <v>23330</v>
      </c>
      <c r="H535" s="85">
        <v>4</v>
      </c>
    </row>
    <row r="536" spans="1:8" x14ac:dyDescent="0.35">
      <c r="A536" s="84" t="s">
        <v>1188</v>
      </c>
      <c r="B536" s="84" t="s">
        <v>1247</v>
      </c>
      <c r="C536" s="85" t="s">
        <v>699</v>
      </c>
      <c r="D536" s="86" t="s">
        <v>688</v>
      </c>
      <c r="E536" s="87">
        <v>36918</v>
      </c>
      <c r="F536" s="88" t="s">
        <v>689</v>
      </c>
      <c r="G536" s="89">
        <v>17205</v>
      </c>
      <c r="H536" s="85">
        <v>5</v>
      </c>
    </row>
    <row r="537" spans="1:8" x14ac:dyDescent="0.35">
      <c r="A537" s="84" t="s">
        <v>1188</v>
      </c>
      <c r="B537" s="84" t="s">
        <v>1248</v>
      </c>
      <c r="C537" s="85" t="s">
        <v>683</v>
      </c>
      <c r="D537" s="86" t="s">
        <v>697</v>
      </c>
      <c r="E537" s="87">
        <v>33713</v>
      </c>
      <c r="F537" s="88" t="s">
        <v>689</v>
      </c>
      <c r="G537" s="89">
        <v>46220</v>
      </c>
      <c r="H537" s="85">
        <v>3</v>
      </c>
    </row>
    <row r="538" spans="1:8" x14ac:dyDescent="0.35">
      <c r="A538" s="84" t="s">
        <v>1188</v>
      </c>
      <c r="B538" s="84" t="s">
        <v>1249</v>
      </c>
      <c r="C538" s="85" t="s">
        <v>59</v>
      </c>
      <c r="D538" s="86" t="s">
        <v>705</v>
      </c>
      <c r="E538" s="87">
        <v>37827</v>
      </c>
      <c r="F538" s="88"/>
      <c r="G538" s="89">
        <v>11044</v>
      </c>
      <c r="H538" s="85">
        <v>2</v>
      </c>
    </row>
    <row r="539" spans="1:8" x14ac:dyDescent="0.35">
      <c r="A539" s="84" t="s">
        <v>1188</v>
      </c>
      <c r="B539" s="84" t="s">
        <v>1250</v>
      </c>
      <c r="C539" s="85" t="s">
        <v>85</v>
      </c>
      <c r="D539" s="86" t="s">
        <v>697</v>
      </c>
      <c r="E539" s="87">
        <v>33454</v>
      </c>
      <c r="F539" s="88" t="s">
        <v>689</v>
      </c>
      <c r="G539" s="89">
        <v>67920</v>
      </c>
      <c r="H539" s="85">
        <v>4</v>
      </c>
    </row>
    <row r="540" spans="1:8" x14ac:dyDescent="0.35">
      <c r="A540" s="84" t="s">
        <v>1188</v>
      </c>
      <c r="B540" s="84" t="s">
        <v>1251</v>
      </c>
      <c r="C540" s="85" t="s">
        <v>72</v>
      </c>
      <c r="D540" s="86" t="s">
        <v>697</v>
      </c>
      <c r="E540" s="87">
        <v>38916</v>
      </c>
      <c r="F540" s="88" t="s">
        <v>693</v>
      </c>
      <c r="G540" s="89">
        <v>27560</v>
      </c>
      <c r="H540" s="85">
        <v>2</v>
      </c>
    </row>
    <row r="541" spans="1:8" x14ac:dyDescent="0.35">
      <c r="A541" s="84" t="s">
        <v>1188</v>
      </c>
      <c r="B541" s="84" t="s">
        <v>1252</v>
      </c>
      <c r="C541" s="85" t="s">
        <v>85</v>
      </c>
      <c r="D541" s="86" t="s">
        <v>697</v>
      </c>
      <c r="E541" s="87">
        <v>37018</v>
      </c>
      <c r="F541" s="88" t="s">
        <v>691</v>
      </c>
      <c r="G541" s="89">
        <v>28650</v>
      </c>
      <c r="H541" s="85">
        <v>4</v>
      </c>
    </row>
    <row r="542" spans="1:8" x14ac:dyDescent="0.35">
      <c r="A542" s="84" t="s">
        <v>1188</v>
      </c>
      <c r="B542" s="84" t="s">
        <v>1253</v>
      </c>
      <c r="C542" s="85" t="s">
        <v>72</v>
      </c>
      <c r="D542" s="86" t="s">
        <v>697</v>
      </c>
      <c r="E542" s="87">
        <v>35151</v>
      </c>
      <c r="F542" s="88" t="s">
        <v>713</v>
      </c>
      <c r="G542" s="89">
        <v>29760</v>
      </c>
      <c r="H542" s="85">
        <v>2</v>
      </c>
    </row>
    <row r="543" spans="1:8" x14ac:dyDescent="0.35">
      <c r="A543" s="84" t="s">
        <v>1188</v>
      </c>
      <c r="B543" s="84" t="s">
        <v>1254</v>
      </c>
      <c r="C543" s="85" t="s">
        <v>699</v>
      </c>
      <c r="D543" s="86" t="s">
        <v>684</v>
      </c>
      <c r="E543" s="87">
        <v>35518</v>
      </c>
      <c r="F543" s="88"/>
      <c r="G543" s="89">
        <v>53870</v>
      </c>
      <c r="H543" s="85">
        <v>2</v>
      </c>
    </row>
    <row r="544" spans="1:8" x14ac:dyDescent="0.35">
      <c r="A544" s="84" t="s">
        <v>1188</v>
      </c>
      <c r="B544" s="84" t="s">
        <v>1255</v>
      </c>
      <c r="C544" s="85" t="s">
        <v>59</v>
      </c>
      <c r="D544" s="86" t="s">
        <v>697</v>
      </c>
      <c r="E544" s="87">
        <v>36764</v>
      </c>
      <c r="F544" s="88" t="s">
        <v>713</v>
      </c>
      <c r="G544" s="89">
        <v>74840</v>
      </c>
      <c r="H544" s="85">
        <v>4</v>
      </c>
    </row>
    <row r="545" spans="1:8" x14ac:dyDescent="0.35">
      <c r="A545" s="84" t="s">
        <v>1188</v>
      </c>
      <c r="B545" s="84" t="s">
        <v>1256</v>
      </c>
      <c r="C545" s="85" t="s">
        <v>72</v>
      </c>
      <c r="D545" s="86" t="s">
        <v>684</v>
      </c>
      <c r="E545" s="87">
        <v>36623</v>
      </c>
      <c r="F545" s="88"/>
      <c r="G545" s="89">
        <v>30300</v>
      </c>
      <c r="H545" s="85">
        <v>1</v>
      </c>
    </row>
    <row r="546" spans="1:8" x14ac:dyDescent="0.35">
      <c r="A546" s="84" t="s">
        <v>1188</v>
      </c>
      <c r="B546" s="84" t="s">
        <v>1257</v>
      </c>
      <c r="C546" s="85" t="s">
        <v>72</v>
      </c>
      <c r="D546" s="86" t="s">
        <v>697</v>
      </c>
      <c r="E546" s="87">
        <v>33606</v>
      </c>
      <c r="F546" s="88" t="s">
        <v>693</v>
      </c>
      <c r="G546" s="89">
        <v>87120</v>
      </c>
      <c r="H546" s="85">
        <v>3</v>
      </c>
    </row>
    <row r="547" spans="1:8" x14ac:dyDescent="0.35">
      <c r="A547" s="84" t="s">
        <v>1188</v>
      </c>
      <c r="B547" s="84" t="s">
        <v>1258</v>
      </c>
      <c r="C547" s="85" t="s">
        <v>59</v>
      </c>
      <c r="D547" s="86" t="s">
        <v>697</v>
      </c>
      <c r="E547" s="87">
        <v>33128</v>
      </c>
      <c r="F547" s="88" t="s">
        <v>707</v>
      </c>
      <c r="G547" s="89">
        <v>46110</v>
      </c>
      <c r="H547" s="85">
        <v>4</v>
      </c>
    </row>
    <row r="548" spans="1:8" x14ac:dyDescent="0.35">
      <c r="A548" s="84" t="s">
        <v>1188</v>
      </c>
      <c r="B548" s="84" t="s">
        <v>1259</v>
      </c>
      <c r="C548" s="85" t="s">
        <v>59</v>
      </c>
      <c r="D548" s="86" t="s">
        <v>697</v>
      </c>
      <c r="E548" s="87">
        <v>36526</v>
      </c>
      <c r="F548" s="88" t="s">
        <v>689</v>
      </c>
      <c r="G548" s="89">
        <v>29260</v>
      </c>
      <c r="H548" s="85">
        <v>4</v>
      </c>
    </row>
    <row r="549" spans="1:8" x14ac:dyDescent="0.35">
      <c r="A549" s="84" t="s">
        <v>1188</v>
      </c>
      <c r="B549" s="84" t="s">
        <v>1260</v>
      </c>
      <c r="C549" s="85" t="s">
        <v>59</v>
      </c>
      <c r="D549" s="86" t="s">
        <v>697</v>
      </c>
      <c r="E549" s="87">
        <v>37866</v>
      </c>
      <c r="F549" s="88" t="s">
        <v>693</v>
      </c>
      <c r="G549" s="89">
        <v>54230</v>
      </c>
      <c r="H549" s="85">
        <v>5</v>
      </c>
    </row>
    <row r="550" spans="1:8" x14ac:dyDescent="0.35">
      <c r="A550" s="84" t="s">
        <v>1188</v>
      </c>
      <c r="B550" s="84" t="s">
        <v>1261</v>
      </c>
      <c r="C550" s="85" t="s">
        <v>85</v>
      </c>
      <c r="D550" s="86" t="s">
        <v>697</v>
      </c>
      <c r="E550" s="87">
        <v>34151</v>
      </c>
      <c r="F550" s="88" t="s">
        <v>691</v>
      </c>
      <c r="G550" s="89">
        <v>81980</v>
      </c>
      <c r="H550" s="85">
        <v>2</v>
      </c>
    </row>
    <row r="551" spans="1:8" x14ac:dyDescent="0.35">
      <c r="A551" s="84" t="s">
        <v>1188</v>
      </c>
      <c r="B551" s="84" t="s">
        <v>1262</v>
      </c>
      <c r="C551" s="85" t="s">
        <v>59</v>
      </c>
      <c r="D551" s="86" t="s">
        <v>697</v>
      </c>
      <c r="E551" s="87">
        <v>33457</v>
      </c>
      <c r="F551" s="88" t="s">
        <v>707</v>
      </c>
      <c r="G551" s="89">
        <v>61470</v>
      </c>
      <c r="H551" s="85">
        <v>5</v>
      </c>
    </row>
    <row r="552" spans="1:8" x14ac:dyDescent="0.35">
      <c r="A552" s="84" t="s">
        <v>1188</v>
      </c>
      <c r="B552" s="84" t="s">
        <v>1263</v>
      </c>
      <c r="C552" s="85" t="s">
        <v>85</v>
      </c>
      <c r="D552" s="86" t="s">
        <v>684</v>
      </c>
      <c r="E552" s="87">
        <v>35567</v>
      </c>
      <c r="F552" s="88"/>
      <c r="G552" s="89">
        <v>44820</v>
      </c>
      <c r="H552" s="85">
        <v>4</v>
      </c>
    </row>
    <row r="553" spans="1:8" x14ac:dyDescent="0.35">
      <c r="A553" s="84" t="s">
        <v>1188</v>
      </c>
      <c r="B553" s="84" t="s">
        <v>1264</v>
      </c>
      <c r="C553" s="85" t="s">
        <v>699</v>
      </c>
      <c r="D553" s="86" t="s">
        <v>697</v>
      </c>
      <c r="E553" s="87">
        <v>36431</v>
      </c>
      <c r="F553" s="88" t="s">
        <v>689</v>
      </c>
      <c r="G553" s="89">
        <v>35820</v>
      </c>
      <c r="H553" s="85">
        <v>2</v>
      </c>
    </row>
    <row r="554" spans="1:8" x14ac:dyDescent="0.35">
      <c r="A554" s="84" t="s">
        <v>1188</v>
      </c>
      <c r="B554" s="84" t="s">
        <v>1265</v>
      </c>
      <c r="C554" s="85" t="s">
        <v>72</v>
      </c>
      <c r="D554" s="86" t="s">
        <v>705</v>
      </c>
      <c r="E554" s="87">
        <v>39087</v>
      </c>
      <c r="F554" s="88"/>
      <c r="G554" s="89">
        <v>14416</v>
      </c>
      <c r="H554" s="85">
        <v>4</v>
      </c>
    </row>
    <row r="555" spans="1:8" x14ac:dyDescent="0.35">
      <c r="A555" s="84" t="s">
        <v>1188</v>
      </c>
      <c r="B555" s="84" t="s">
        <v>1266</v>
      </c>
      <c r="C555" s="85" t="s">
        <v>750</v>
      </c>
      <c r="D555" s="86" t="s">
        <v>697</v>
      </c>
      <c r="E555" s="87">
        <v>36619</v>
      </c>
      <c r="F555" s="88" t="s">
        <v>693</v>
      </c>
      <c r="G555" s="89">
        <v>71970</v>
      </c>
      <c r="H555" s="85">
        <v>4</v>
      </c>
    </row>
    <row r="556" spans="1:8" x14ac:dyDescent="0.35">
      <c r="A556" s="84" t="s">
        <v>1188</v>
      </c>
      <c r="B556" s="84" t="s">
        <v>1267</v>
      </c>
      <c r="C556" s="85" t="s">
        <v>59</v>
      </c>
      <c r="D556" s="86" t="s">
        <v>697</v>
      </c>
      <c r="E556" s="87">
        <v>35282</v>
      </c>
      <c r="F556" s="88" t="s">
        <v>689</v>
      </c>
      <c r="G556" s="89">
        <v>57560</v>
      </c>
      <c r="H556" s="85">
        <v>4</v>
      </c>
    </row>
    <row r="557" spans="1:8" x14ac:dyDescent="0.35">
      <c r="A557" s="84" t="s">
        <v>1188</v>
      </c>
      <c r="B557" s="84" t="s">
        <v>1268</v>
      </c>
      <c r="C557" s="85" t="s">
        <v>699</v>
      </c>
      <c r="D557" s="86" t="s">
        <v>697</v>
      </c>
      <c r="E557" s="87">
        <v>36312</v>
      </c>
      <c r="F557" s="88" t="s">
        <v>689</v>
      </c>
      <c r="G557" s="89">
        <v>69200</v>
      </c>
      <c r="H557" s="85">
        <v>4</v>
      </c>
    </row>
    <row r="558" spans="1:8" x14ac:dyDescent="0.35">
      <c r="A558" s="84" t="s">
        <v>1188</v>
      </c>
      <c r="B558" s="84" t="s">
        <v>1269</v>
      </c>
      <c r="C558" s="85" t="s">
        <v>59</v>
      </c>
      <c r="D558" s="86" t="s">
        <v>684</v>
      </c>
      <c r="E558" s="87">
        <v>33979</v>
      </c>
      <c r="F558" s="88"/>
      <c r="G558" s="89">
        <v>73990</v>
      </c>
      <c r="H558" s="85">
        <v>3</v>
      </c>
    </row>
    <row r="559" spans="1:8" x14ac:dyDescent="0.35">
      <c r="A559" s="84" t="s">
        <v>1188</v>
      </c>
      <c r="B559" s="84" t="s">
        <v>1270</v>
      </c>
      <c r="C559" s="85" t="s">
        <v>59</v>
      </c>
      <c r="D559" s="86" t="s">
        <v>705</v>
      </c>
      <c r="E559" s="90">
        <v>40313</v>
      </c>
      <c r="F559" s="88"/>
      <c r="G559" s="89">
        <v>27484</v>
      </c>
      <c r="H559" s="85">
        <v>4</v>
      </c>
    </row>
    <row r="560" spans="1:8" x14ac:dyDescent="0.35">
      <c r="A560" s="84" t="s">
        <v>1188</v>
      </c>
      <c r="B560" s="84" t="s">
        <v>1271</v>
      </c>
      <c r="C560" s="85" t="s">
        <v>59</v>
      </c>
      <c r="D560" s="86" t="s">
        <v>684</v>
      </c>
      <c r="E560" s="87">
        <v>36470</v>
      </c>
      <c r="F560" s="88"/>
      <c r="G560" s="89">
        <v>23560</v>
      </c>
      <c r="H560" s="85">
        <v>3</v>
      </c>
    </row>
    <row r="561" spans="1:8" x14ac:dyDescent="0.35">
      <c r="A561" s="84" t="s">
        <v>1188</v>
      </c>
      <c r="B561" s="84" t="s">
        <v>1272</v>
      </c>
      <c r="C561" s="85" t="s">
        <v>85</v>
      </c>
      <c r="D561" s="86" t="s">
        <v>688</v>
      </c>
      <c r="E561" s="87">
        <v>33994</v>
      </c>
      <c r="F561" s="88" t="s">
        <v>713</v>
      </c>
      <c r="G561" s="89">
        <v>18655</v>
      </c>
      <c r="H561" s="85">
        <v>4</v>
      </c>
    </row>
    <row r="562" spans="1:8" x14ac:dyDescent="0.35">
      <c r="A562" s="84" t="s">
        <v>1188</v>
      </c>
      <c r="B562" s="84" t="s">
        <v>1273</v>
      </c>
      <c r="C562" s="85" t="s">
        <v>85</v>
      </c>
      <c r="D562" s="86" t="s">
        <v>684</v>
      </c>
      <c r="E562" s="87">
        <v>33286</v>
      </c>
      <c r="F562" s="88"/>
      <c r="G562" s="89">
        <v>49070</v>
      </c>
      <c r="H562" s="85">
        <v>3</v>
      </c>
    </row>
    <row r="563" spans="1:8" x14ac:dyDescent="0.35">
      <c r="A563" s="84" t="s">
        <v>1188</v>
      </c>
      <c r="B563" s="84" t="s">
        <v>1274</v>
      </c>
      <c r="C563" s="85" t="s">
        <v>72</v>
      </c>
      <c r="D563" s="86" t="s">
        <v>697</v>
      </c>
      <c r="E563" s="87">
        <v>35703</v>
      </c>
      <c r="F563" s="88" t="s">
        <v>693</v>
      </c>
      <c r="G563" s="89">
        <v>66430</v>
      </c>
      <c r="H563" s="85">
        <v>2</v>
      </c>
    </row>
    <row r="564" spans="1:8" x14ac:dyDescent="0.35">
      <c r="A564" s="84" t="s">
        <v>1188</v>
      </c>
      <c r="B564" s="84" t="s">
        <v>1275</v>
      </c>
      <c r="C564" s="85" t="s">
        <v>699</v>
      </c>
      <c r="D564" s="86" t="s">
        <v>684</v>
      </c>
      <c r="E564" s="87">
        <v>36718</v>
      </c>
      <c r="F564" s="88"/>
      <c r="G564" s="89">
        <v>89520</v>
      </c>
      <c r="H564" s="85">
        <v>5</v>
      </c>
    </row>
    <row r="565" spans="1:8" x14ac:dyDescent="0.35">
      <c r="A565" s="84" t="s">
        <v>1188</v>
      </c>
      <c r="B565" s="84" t="s">
        <v>1276</v>
      </c>
      <c r="C565" s="85" t="s">
        <v>85</v>
      </c>
      <c r="D565" s="86" t="s">
        <v>697</v>
      </c>
      <c r="E565" s="87">
        <v>35776</v>
      </c>
      <c r="F565" s="88" t="s">
        <v>689</v>
      </c>
      <c r="G565" s="89">
        <v>86320</v>
      </c>
      <c r="H565" s="85">
        <v>4</v>
      </c>
    </row>
    <row r="566" spans="1:8" x14ac:dyDescent="0.35">
      <c r="A566" s="84" t="s">
        <v>1277</v>
      </c>
      <c r="B566" s="84" t="s">
        <v>1278</v>
      </c>
      <c r="C566" s="85" t="s">
        <v>59</v>
      </c>
      <c r="D566" s="86" t="s">
        <v>697</v>
      </c>
      <c r="E566" s="87">
        <v>34067</v>
      </c>
      <c r="F566" s="88" t="s">
        <v>707</v>
      </c>
      <c r="G566" s="89">
        <v>86540</v>
      </c>
      <c r="H566" s="85">
        <v>4</v>
      </c>
    </row>
    <row r="567" spans="1:8" x14ac:dyDescent="0.35">
      <c r="A567" s="84" t="s">
        <v>1277</v>
      </c>
      <c r="B567" s="84" t="s">
        <v>1279</v>
      </c>
      <c r="C567" s="85" t="s">
        <v>72</v>
      </c>
      <c r="D567" s="86" t="s">
        <v>684</v>
      </c>
      <c r="E567" s="87">
        <v>35972</v>
      </c>
      <c r="F567" s="88"/>
      <c r="G567" s="89">
        <v>71710</v>
      </c>
      <c r="H567" s="85">
        <v>5</v>
      </c>
    </row>
    <row r="568" spans="1:8" x14ac:dyDescent="0.35">
      <c r="A568" s="84" t="s">
        <v>1277</v>
      </c>
      <c r="B568" s="84" t="s">
        <v>1280</v>
      </c>
      <c r="C568" s="85" t="s">
        <v>750</v>
      </c>
      <c r="D568" s="86" t="s">
        <v>697</v>
      </c>
      <c r="E568" s="87">
        <v>35714</v>
      </c>
      <c r="F568" s="88" t="s">
        <v>693</v>
      </c>
      <c r="G568" s="89">
        <v>70020</v>
      </c>
      <c r="H568" s="85">
        <v>3</v>
      </c>
    </row>
    <row r="569" spans="1:8" x14ac:dyDescent="0.35">
      <c r="A569" s="84" t="s">
        <v>1277</v>
      </c>
      <c r="B569" s="84" t="s">
        <v>1281</v>
      </c>
      <c r="C569" s="85" t="s">
        <v>699</v>
      </c>
      <c r="D569" s="86" t="s">
        <v>697</v>
      </c>
      <c r="E569" s="87">
        <v>34160</v>
      </c>
      <c r="F569" s="88" t="s">
        <v>689</v>
      </c>
      <c r="G569" s="89">
        <v>54200</v>
      </c>
      <c r="H569" s="85">
        <v>4</v>
      </c>
    </row>
    <row r="570" spans="1:8" x14ac:dyDescent="0.35">
      <c r="A570" s="84" t="s">
        <v>1277</v>
      </c>
      <c r="B570" s="84" t="s">
        <v>1282</v>
      </c>
      <c r="C570" s="85" t="s">
        <v>59</v>
      </c>
      <c r="D570" s="86" t="s">
        <v>684</v>
      </c>
      <c r="E570" s="87">
        <v>33789</v>
      </c>
      <c r="F570" s="88"/>
      <c r="G570" s="89">
        <v>59128</v>
      </c>
      <c r="H570" s="85">
        <v>4</v>
      </c>
    </row>
    <row r="571" spans="1:8" x14ac:dyDescent="0.35">
      <c r="A571" s="84" t="s">
        <v>1277</v>
      </c>
      <c r="B571" s="84" t="s">
        <v>1283</v>
      </c>
      <c r="C571" s="85" t="s">
        <v>699</v>
      </c>
      <c r="D571" s="86" t="s">
        <v>684</v>
      </c>
      <c r="E571" s="87">
        <v>38321</v>
      </c>
      <c r="F571" s="88"/>
      <c r="G571" s="89">
        <v>37980</v>
      </c>
      <c r="H571" s="85">
        <v>4</v>
      </c>
    </row>
    <row r="572" spans="1:8" x14ac:dyDescent="0.35">
      <c r="A572" s="84" t="s">
        <v>1277</v>
      </c>
      <c r="B572" s="84" t="s">
        <v>1284</v>
      </c>
      <c r="C572" s="85" t="s">
        <v>59</v>
      </c>
      <c r="D572" s="86" t="s">
        <v>697</v>
      </c>
      <c r="E572" s="87">
        <v>33526</v>
      </c>
      <c r="F572" s="88" t="s">
        <v>707</v>
      </c>
      <c r="G572" s="89">
        <v>79400</v>
      </c>
      <c r="H572" s="85">
        <v>4</v>
      </c>
    </row>
    <row r="573" spans="1:8" x14ac:dyDescent="0.35">
      <c r="A573" s="84" t="s">
        <v>1277</v>
      </c>
      <c r="B573" s="84" t="s">
        <v>1285</v>
      </c>
      <c r="C573" s="85" t="s">
        <v>59</v>
      </c>
      <c r="D573" s="86" t="s">
        <v>697</v>
      </c>
      <c r="E573" s="87">
        <v>35511</v>
      </c>
      <c r="F573" s="88" t="s">
        <v>691</v>
      </c>
      <c r="G573" s="89">
        <v>73144</v>
      </c>
      <c r="H573" s="85">
        <v>5</v>
      </c>
    </row>
    <row r="574" spans="1:8" x14ac:dyDescent="0.35">
      <c r="A574" s="84" t="s">
        <v>1277</v>
      </c>
      <c r="B574" s="84" t="s">
        <v>1286</v>
      </c>
      <c r="C574" s="85" t="s">
        <v>85</v>
      </c>
      <c r="D574" s="86" t="s">
        <v>705</v>
      </c>
      <c r="E574" s="87">
        <v>33482</v>
      </c>
      <c r="F574" s="88" t="s">
        <v>689</v>
      </c>
      <c r="G574" s="89">
        <v>29070</v>
      </c>
      <c r="H574" s="85">
        <v>3</v>
      </c>
    </row>
    <row r="575" spans="1:8" x14ac:dyDescent="0.35">
      <c r="A575" s="84" t="s">
        <v>1277</v>
      </c>
      <c r="B575" s="84" t="s">
        <v>1287</v>
      </c>
      <c r="C575" s="85" t="s">
        <v>85</v>
      </c>
      <c r="D575" s="86" t="s">
        <v>697</v>
      </c>
      <c r="E575" s="87">
        <v>36084</v>
      </c>
      <c r="F575" s="88" t="s">
        <v>689</v>
      </c>
      <c r="G575" s="89">
        <v>33210</v>
      </c>
      <c r="H575" s="85">
        <v>4</v>
      </c>
    </row>
    <row r="576" spans="1:8" x14ac:dyDescent="0.35">
      <c r="A576" s="84" t="s">
        <v>1277</v>
      </c>
      <c r="B576" s="84" t="s">
        <v>1288</v>
      </c>
      <c r="C576" s="85" t="s">
        <v>750</v>
      </c>
      <c r="D576" s="86" t="s">
        <v>684</v>
      </c>
      <c r="E576" s="87">
        <v>36192</v>
      </c>
      <c r="F576" s="88"/>
      <c r="G576" s="89">
        <v>47620</v>
      </c>
      <c r="H576" s="85">
        <v>5</v>
      </c>
    </row>
    <row r="577" spans="1:8" x14ac:dyDescent="0.35">
      <c r="A577" s="84" t="s">
        <v>1277</v>
      </c>
      <c r="B577" s="84" t="s">
        <v>1289</v>
      </c>
      <c r="C577" s="85" t="s">
        <v>699</v>
      </c>
      <c r="D577" s="86" t="s">
        <v>688</v>
      </c>
      <c r="E577" s="87">
        <v>40293</v>
      </c>
      <c r="F577" s="88" t="s">
        <v>689</v>
      </c>
      <c r="G577" s="89">
        <v>11810</v>
      </c>
      <c r="H577" s="85">
        <v>1</v>
      </c>
    </row>
    <row r="578" spans="1:8" x14ac:dyDescent="0.35">
      <c r="A578" s="84" t="s">
        <v>1277</v>
      </c>
      <c r="B578" s="84" t="s">
        <v>1290</v>
      </c>
      <c r="C578" s="85" t="s">
        <v>699</v>
      </c>
      <c r="D578" s="86" t="s">
        <v>697</v>
      </c>
      <c r="E578" s="87">
        <v>38832</v>
      </c>
      <c r="F578" s="88" t="s">
        <v>713</v>
      </c>
      <c r="G578" s="89">
        <v>29420</v>
      </c>
      <c r="H578" s="85">
        <v>5</v>
      </c>
    </row>
    <row r="579" spans="1:8" x14ac:dyDescent="0.35">
      <c r="A579" s="84" t="s">
        <v>1277</v>
      </c>
      <c r="B579" s="84" t="s">
        <v>1291</v>
      </c>
      <c r="C579" s="85" t="s">
        <v>699</v>
      </c>
      <c r="D579" s="86" t="s">
        <v>688</v>
      </c>
      <c r="E579" s="87">
        <v>40351</v>
      </c>
      <c r="F579" s="88" t="s">
        <v>691</v>
      </c>
      <c r="G579" s="89">
        <v>20040</v>
      </c>
      <c r="H579" s="85">
        <v>3</v>
      </c>
    </row>
    <row r="580" spans="1:8" x14ac:dyDescent="0.35">
      <c r="A580" s="84" t="s">
        <v>1277</v>
      </c>
      <c r="B580" s="84" t="s">
        <v>1292</v>
      </c>
      <c r="C580" s="85" t="s">
        <v>699</v>
      </c>
      <c r="D580" s="86" t="s">
        <v>697</v>
      </c>
      <c r="E580" s="87">
        <v>34086</v>
      </c>
      <c r="F580" s="88" t="s">
        <v>689</v>
      </c>
      <c r="G580" s="89">
        <v>31840</v>
      </c>
      <c r="H580" s="85">
        <v>1</v>
      </c>
    </row>
    <row r="581" spans="1:8" x14ac:dyDescent="0.35">
      <c r="A581" s="84" t="s">
        <v>1277</v>
      </c>
      <c r="B581" s="84" t="s">
        <v>1293</v>
      </c>
      <c r="C581" s="85" t="s">
        <v>59</v>
      </c>
      <c r="D581" s="86" t="s">
        <v>697</v>
      </c>
      <c r="E581" s="87">
        <v>34222</v>
      </c>
      <c r="F581" s="88" t="s">
        <v>689</v>
      </c>
      <c r="G581" s="89">
        <v>62688</v>
      </c>
      <c r="H581" s="85">
        <v>2</v>
      </c>
    </row>
    <row r="582" spans="1:8" x14ac:dyDescent="0.35">
      <c r="A582" s="84" t="s">
        <v>1277</v>
      </c>
      <c r="B582" s="84" t="s">
        <v>1294</v>
      </c>
      <c r="C582" s="85" t="s">
        <v>699</v>
      </c>
      <c r="D582" s="86" t="s">
        <v>688</v>
      </c>
      <c r="E582" s="87">
        <v>33112</v>
      </c>
      <c r="F582" s="88" t="s">
        <v>707</v>
      </c>
      <c r="G582" s="89">
        <v>24815</v>
      </c>
      <c r="H582" s="85">
        <v>1</v>
      </c>
    </row>
    <row r="583" spans="1:8" x14ac:dyDescent="0.35">
      <c r="A583" s="84" t="s">
        <v>1277</v>
      </c>
      <c r="B583" s="84" t="s">
        <v>1295</v>
      </c>
      <c r="C583" s="85" t="s">
        <v>750</v>
      </c>
      <c r="D583" s="86" t="s">
        <v>697</v>
      </c>
      <c r="E583" s="87">
        <v>36643</v>
      </c>
      <c r="F583" s="88" t="s">
        <v>691</v>
      </c>
      <c r="G583" s="89">
        <v>71380</v>
      </c>
      <c r="H583" s="85">
        <v>2</v>
      </c>
    </row>
    <row r="584" spans="1:8" x14ac:dyDescent="0.35">
      <c r="A584" s="84" t="s">
        <v>1277</v>
      </c>
      <c r="B584" s="84" t="s">
        <v>1296</v>
      </c>
      <c r="C584" s="85" t="s">
        <v>59</v>
      </c>
      <c r="D584" s="86" t="s">
        <v>697</v>
      </c>
      <c r="E584" s="87">
        <v>40575</v>
      </c>
      <c r="F584" s="88" t="s">
        <v>713</v>
      </c>
      <c r="G584" s="89">
        <v>74710</v>
      </c>
      <c r="H584" s="85">
        <v>2</v>
      </c>
    </row>
    <row r="585" spans="1:8" x14ac:dyDescent="0.35">
      <c r="A585" s="84" t="s">
        <v>1277</v>
      </c>
      <c r="B585" s="84" t="s">
        <v>1297</v>
      </c>
      <c r="C585" s="85" t="s">
        <v>59</v>
      </c>
      <c r="D585" s="86" t="s">
        <v>697</v>
      </c>
      <c r="E585" s="87">
        <v>35969</v>
      </c>
      <c r="F585" s="88" t="s">
        <v>689</v>
      </c>
      <c r="G585" s="89">
        <v>74530</v>
      </c>
      <c r="H585" s="85">
        <v>5</v>
      </c>
    </row>
    <row r="586" spans="1:8" x14ac:dyDescent="0.35">
      <c r="A586" s="84" t="s">
        <v>1277</v>
      </c>
      <c r="B586" s="84" t="s">
        <v>1298</v>
      </c>
      <c r="C586" s="85" t="s">
        <v>72</v>
      </c>
      <c r="D586" s="86" t="s">
        <v>705</v>
      </c>
      <c r="E586" s="90">
        <v>40452</v>
      </c>
      <c r="F586" s="88"/>
      <c r="G586" s="89">
        <v>9180</v>
      </c>
      <c r="H586" s="85">
        <v>3</v>
      </c>
    </row>
    <row r="587" spans="1:8" x14ac:dyDescent="0.35">
      <c r="A587" s="84" t="s">
        <v>1277</v>
      </c>
      <c r="B587" s="84" t="s">
        <v>1299</v>
      </c>
      <c r="C587" s="85" t="s">
        <v>683</v>
      </c>
      <c r="D587" s="86" t="s">
        <v>684</v>
      </c>
      <c r="E587" s="87">
        <v>37082</v>
      </c>
      <c r="F587" s="88"/>
      <c r="G587" s="89">
        <v>46780</v>
      </c>
      <c r="H587" s="85">
        <v>2</v>
      </c>
    </row>
    <row r="588" spans="1:8" x14ac:dyDescent="0.35">
      <c r="A588" s="84" t="s">
        <v>1277</v>
      </c>
      <c r="B588" s="84" t="s">
        <v>1300</v>
      </c>
      <c r="C588" s="85" t="s">
        <v>85</v>
      </c>
      <c r="D588" s="86" t="s">
        <v>697</v>
      </c>
      <c r="E588" s="87">
        <v>37936</v>
      </c>
      <c r="F588" s="88" t="s">
        <v>691</v>
      </c>
      <c r="G588" s="89">
        <v>30920</v>
      </c>
      <c r="H588" s="85">
        <v>5</v>
      </c>
    </row>
    <row r="589" spans="1:8" x14ac:dyDescent="0.35">
      <c r="A589" s="84" t="s">
        <v>1277</v>
      </c>
      <c r="B589" s="84" t="s">
        <v>1301</v>
      </c>
      <c r="C589" s="85" t="s">
        <v>750</v>
      </c>
      <c r="D589" s="86" t="s">
        <v>684</v>
      </c>
      <c r="E589" s="87">
        <v>36199</v>
      </c>
      <c r="F589" s="88"/>
      <c r="G589" s="89">
        <v>31270</v>
      </c>
      <c r="H589" s="85">
        <v>5</v>
      </c>
    </row>
    <row r="590" spans="1:8" x14ac:dyDescent="0.35">
      <c r="A590" s="84" t="s">
        <v>1277</v>
      </c>
      <c r="B590" s="84" t="s">
        <v>1302</v>
      </c>
      <c r="C590" s="85" t="s">
        <v>85</v>
      </c>
      <c r="D590" s="86" t="s">
        <v>684</v>
      </c>
      <c r="E590" s="87">
        <v>34726</v>
      </c>
      <c r="F590" s="88"/>
      <c r="G590" s="89">
        <v>33120</v>
      </c>
      <c r="H590" s="85">
        <v>2</v>
      </c>
    </row>
    <row r="591" spans="1:8" x14ac:dyDescent="0.35">
      <c r="A591" s="84" t="s">
        <v>1277</v>
      </c>
      <c r="B591" s="84" t="s">
        <v>1303</v>
      </c>
      <c r="C591" s="85" t="s">
        <v>683</v>
      </c>
      <c r="D591" s="86" t="s">
        <v>697</v>
      </c>
      <c r="E591" s="87">
        <v>33957</v>
      </c>
      <c r="F591" s="88" t="s">
        <v>693</v>
      </c>
      <c r="G591" s="89">
        <v>59490</v>
      </c>
      <c r="H591" s="85">
        <v>3</v>
      </c>
    </row>
    <row r="592" spans="1:8" x14ac:dyDescent="0.35">
      <c r="A592" s="84" t="s">
        <v>1277</v>
      </c>
      <c r="B592" s="84" t="s">
        <v>1304</v>
      </c>
      <c r="C592" s="85" t="s">
        <v>699</v>
      </c>
      <c r="D592" s="86" t="s">
        <v>705</v>
      </c>
      <c r="E592" s="87">
        <v>39747</v>
      </c>
      <c r="F592" s="88"/>
      <c r="G592" s="89">
        <v>10572</v>
      </c>
      <c r="H592" s="85">
        <v>4</v>
      </c>
    </row>
    <row r="593" spans="1:8" x14ac:dyDescent="0.35">
      <c r="A593" s="84" t="s">
        <v>1277</v>
      </c>
      <c r="B593" s="84" t="s">
        <v>1305</v>
      </c>
      <c r="C593" s="85" t="s">
        <v>699</v>
      </c>
      <c r="D593" s="86" t="s">
        <v>697</v>
      </c>
      <c r="E593" s="87">
        <v>36088</v>
      </c>
      <c r="F593" s="88" t="s">
        <v>707</v>
      </c>
      <c r="G593" s="89">
        <v>54580</v>
      </c>
      <c r="H593" s="85">
        <v>4</v>
      </c>
    </row>
    <row r="594" spans="1:8" x14ac:dyDescent="0.35">
      <c r="A594" s="84" t="s">
        <v>1277</v>
      </c>
      <c r="B594" s="84" t="s">
        <v>1306</v>
      </c>
      <c r="C594" s="85" t="s">
        <v>699</v>
      </c>
      <c r="D594" s="86" t="s">
        <v>697</v>
      </c>
      <c r="E594" s="87">
        <v>34061</v>
      </c>
      <c r="F594" s="88" t="s">
        <v>689</v>
      </c>
      <c r="G594" s="89">
        <v>23320</v>
      </c>
      <c r="H594" s="85">
        <v>4</v>
      </c>
    </row>
    <row r="595" spans="1:8" x14ac:dyDescent="0.35">
      <c r="A595" s="84" t="s">
        <v>1277</v>
      </c>
      <c r="B595" s="84" t="s">
        <v>1307</v>
      </c>
      <c r="C595" s="85" t="s">
        <v>750</v>
      </c>
      <c r="D595" s="86" t="s">
        <v>684</v>
      </c>
      <c r="E595" s="87">
        <v>40468</v>
      </c>
      <c r="F595" s="88"/>
      <c r="G595" s="89">
        <v>39440</v>
      </c>
      <c r="H595" s="85">
        <v>4</v>
      </c>
    </row>
    <row r="596" spans="1:8" x14ac:dyDescent="0.35">
      <c r="A596" s="84" t="s">
        <v>1277</v>
      </c>
      <c r="B596" s="84" t="s">
        <v>1308</v>
      </c>
      <c r="C596" s="85" t="s">
        <v>750</v>
      </c>
      <c r="D596" s="86" t="s">
        <v>697</v>
      </c>
      <c r="E596" s="87">
        <v>37793</v>
      </c>
      <c r="F596" s="88" t="s">
        <v>689</v>
      </c>
      <c r="G596" s="89">
        <v>29210</v>
      </c>
      <c r="H596" s="85">
        <v>5</v>
      </c>
    </row>
    <row r="597" spans="1:8" x14ac:dyDescent="0.35">
      <c r="A597" s="84" t="s">
        <v>1277</v>
      </c>
      <c r="B597" s="84" t="s">
        <v>1309</v>
      </c>
      <c r="C597" s="85" t="s">
        <v>699</v>
      </c>
      <c r="D597" s="86" t="s">
        <v>688</v>
      </c>
      <c r="E597" s="87">
        <v>33391</v>
      </c>
      <c r="F597" s="88" t="s">
        <v>691</v>
      </c>
      <c r="G597" s="89">
        <v>13455</v>
      </c>
      <c r="H597" s="85">
        <v>2</v>
      </c>
    </row>
    <row r="598" spans="1:8" x14ac:dyDescent="0.35">
      <c r="A598" s="84" t="s">
        <v>1277</v>
      </c>
      <c r="B598" s="84" t="s">
        <v>1310</v>
      </c>
      <c r="C598" s="85" t="s">
        <v>85</v>
      </c>
      <c r="D598" s="86" t="s">
        <v>697</v>
      </c>
      <c r="E598" s="87">
        <v>34670</v>
      </c>
      <c r="F598" s="88" t="s">
        <v>689</v>
      </c>
      <c r="G598" s="89">
        <v>69510</v>
      </c>
      <c r="H598" s="85">
        <v>5</v>
      </c>
    </row>
    <row r="599" spans="1:8" x14ac:dyDescent="0.35">
      <c r="A599" s="84" t="s">
        <v>1277</v>
      </c>
      <c r="B599" s="84" t="s">
        <v>1311</v>
      </c>
      <c r="C599" s="85" t="s">
        <v>72</v>
      </c>
      <c r="D599" s="86" t="s">
        <v>688</v>
      </c>
      <c r="E599" s="87">
        <v>36196</v>
      </c>
      <c r="F599" s="88" t="s">
        <v>689</v>
      </c>
      <c r="G599" s="89">
        <v>34980</v>
      </c>
      <c r="H599" s="85">
        <v>2</v>
      </c>
    </row>
    <row r="600" spans="1:8" x14ac:dyDescent="0.35">
      <c r="A600" s="84" t="s">
        <v>1277</v>
      </c>
      <c r="B600" s="84" t="s">
        <v>1312</v>
      </c>
      <c r="C600" s="85" t="s">
        <v>683</v>
      </c>
      <c r="D600" s="86" t="s">
        <v>705</v>
      </c>
      <c r="E600" s="87">
        <v>33846</v>
      </c>
      <c r="F600" s="88"/>
      <c r="G600" s="89">
        <v>35680</v>
      </c>
      <c r="H600" s="85">
        <v>2</v>
      </c>
    </row>
    <row r="601" spans="1:8" x14ac:dyDescent="0.35">
      <c r="A601" s="84" t="s">
        <v>1277</v>
      </c>
      <c r="B601" s="84" t="s">
        <v>1313</v>
      </c>
      <c r="C601" s="85" t="s">
        <v>85</v>
      </c>
      <c r="D601" s="86" t="s">
        <v>697</v>
      </c>
      <c r="E601" s="87">
        <v>37436</v>
      </c>
      <c r="F601" s="88" t="s">
        <v>707</v>
      </c>
      <c r="G601" s="89">
        <v>64130</v>
      </c>
      <c r="H601" s="85">
        <v>1</v>
      </c>
    </row>
    <row r="602" spans="1:8" x14ac:dyDescent="0.35">
      <c r="A602" s="84" t="s">
        <v>1277</v>
      </c>
      <c r="B602" s="84" t="s">
        <v>1314</v>
      </c>
      <c r="C602" s="85" t="s">
        <v>699</v>
      </c>
      <c r="D602" s="86" t="s">
        <v>697</v>
      </c>
      <c r="E602" s="87">
        <v>33222</v>
      </c>
      <c r="F602" s="88" t="s">
        <v>689</v>
      </c>
      <c r="G602" s="89">
        <v>53900</v>
      </c>
      <c r="H602" s="85">
        <v>5</v>
      </c>
    </row>
    <row r="603" spans="1:8" x14ac:dyDescent="0.35">
      <c r="A603" s="84" t="s">
        <v>1277</v>
      </c>
      <c r="B603" s="84" t="s">
        <v>1315</v>
      </c>
      <c r="C603" s="85" t="s">
        <v>699</v>
      </c>
      <c r="D603" s="86" t="s">
        <v>697</v>
      </c>
      <c r="E603" s="87">
        <v>35501</v>
      </c>
      <c r="F603" s="88" t="s">
        <v>691</v>
      </c>
      <c r="G603" s="89">
        <v>37750</v>
      </c>
      <c r="H603" s="85">
        <v>5</v>
      </c>
    </row>
    <row r="604" spans="1:8" x14ac:dyDescent="0.35">
      <c r="A604" s="84" t="s">
        <v>1277</v>
      </c>
      <c r="B604" s="84" t="s">
        <v>1316</v>
      </c>
      <c r="C604" s="85" t="s">
        <v>683</v>
      </c>
      <c r="D604" s="86" t="s">
        <v>697</v>
      </c>
      <c r="E604" s="87">
        <v>34301</v>
      </c>
      <c r="F604" s="88" t="s">
        <v>689</v>
      </c>
      <c r="G604" s="89">
        <v>73440</v>
      </c>
      <c r="H604" s="85">
        <v>1</v>
      </c>
    </row>
    <row r="605" spans="1:8" x14ac:dyDescent="0.35">
      <c r="A605" s="84" t="s">
        <v>1277</v>
      </c>
      <c r="B605" s="84" t="s">
        <v>1317</v>
      </c>
      <c r="C605" s="85" t="s">
        <v>85</v>
      </c>
      <c r="D605" s="86" t="s">
        <v>697</v>
      </c>
      <c r="E605" s="87">
        <v>36413</v>
      </c>
      <c r="F605" s="88" t="s">
        <v>689</v>
      </c>
      <c r="G605" s="89">
        <v>40060</v>
      </c>
      <c r="H605" s="85">
        <v>3</v>
      </c>
    </row>
    <row r="606" spans="1:8" x14ac:dyDescent="0.35">
      <c r="A606" s="84" t="s">
        <v>1277</v>
      </c>
      <c r="B606" s="84" t="s">
        <v>1318</v>
      </c>
      <c r="C606" s="85" t="s">
        <v>683</v>
      </c>
      <c r="D606" s="86" t="s">
        <v>705</v>
      </c>
      <c r="E606" s="87">
        <v>39893</v>
      </c>
      <c r="F606" s="88"/>
      <c r="G606" s="89">
        <v>15744</v>
      </c>
      <c r="H606" s="85">
        <v>3</v>
      </c>
    </row>
    <row r="607" spans="1:8" x14ac:dyDescent="0.35">
      <c r="A607" s="84" t="s">
        <v>1277</v>
      </c>
      <c r="B607" s="84" t="s">
        <v>1319</v>
      </c>
      <c r="C607" s="85" t="s">
        <v>72</v>
      </c>
      <c r="D607" s="86" t="s">
        <v>688</v>
      </c>
      <c r="E607" s="87">
        <v>36121</v>
      </c>
      <c r="F607" s="88" t="s">
        <v>691</v>
      </c>
      <c r="G607" s="89">
        <v>28880</v>
      </c>
      <c r="H607" s="85">
        <v>3</v>
      </c>
    </row>
    <row r="608" spans="1:8" x14ac:dyDescent="0.35">
      <c r="A608" s="84" t="s">
        <v>1277</v>
      </c>
      <c r="B608" s="84" t="s">
        <v>1320</v>
      </c>
      <c r="C608" s="85" t="s">
        <v>699</v>
      </c>
      <c r="D608" s="86" t="s">
        <v>697</v>
      </c>
      <c r="E608" s="87">
        <v>33280</v>
      </c>
      <c r="F608" s="88" t="s">
        <v>689</v>
      </c>
      <c r="G608" s="89">
        <v>87950</v>
      </c>
      <c r="H608" s="85">
        <v>4</v>
      </c>
    </row>
    <row r="609" spans="1:8" x14ac:dyDescent="0.35">
      <c r="A609" s="84" t="s">
        <v>1277</v>
      </c>
      <c r="B609" s="84" t="s">
        <v>1321</v>
      </c>
      <c r="C609" s="85" t="s">
        <v>59</v>
      </c>
      <c r="D609" s="86" t="s">
        <v>697</v>
      </c>
      <c r="E609" s="87">
        <v>39446</v>
      </c>
      <c r="F609" s="88" t="s">
        <v>689</v>
      </c>
      <c r="G609" s="89">
        <v>44650</v>
      </c>
      <c r="H609" s="85">
        <v>1</v>
      </c>
    </row>
    <row r="610" spans="1:8" x14ac:dyDescent="0.35">
      <c r="A610" s="84" t="s">
        <v>1277</v>
      </c>
      <c r="B610" s="84" t="s">
        <v>1322</v>
      </c>
      <c r="C610" s="85" t="s">
        <v>85</v>
      </c>
      <c r="D610" s="86" t="s">
        <v>688</v>
      </c>
      <c r="E610" s="87">
        <v>33472</v>
      </c>
      <c r="F610" s="88" t="s">
        <v>693</v>
      </c>
      <c r="G610" s="89">
        <v>13800</v>
      </c>
      <c r="H610" s="85">
        <v>3</v>
      </c>
    </row>
    <row r="611" spans="1:8" x14ac:dyDescent="0.35">
      <c r="A611" s="84" t="s">
        <v>1277</v>
      </c>
      <c r="B611" s="84" t="s">
        <v>1323</v>
      </c>
      <c r="C611" s="85" t="s">
        <v>85</v>
      </c>
      <c r="D611" s="86" t="s">
        <v>688</v>
      </c>
      <c r="E611" s="90">
        <v>40393</v>
      </c>
      <c r="F611" s="88" t="s">
        <v>689</v>
      </c>
      <c r="G611" s="89">
        <v>16925</v>
      </c>
      <c r="H611" s="85">
        <v>1</v>
      </c>
    </row>
    <row r="612" spans="1:8" x14ac:dyDescent="0.35">
      <c r="A612" s="84" t="s">
        <v>1277</v>
      </c>
      <c r="B612" s="84" t="s">
        <v>1324</v>
      </c>
      <c r="C612" s="85" t="s">
        <v>699</v>
      </c>
      <c r="D612" s="86" t="s">
        <v>684</v>
      </c>
      <c r="E612" s="87">
        <v>33562</v>
      </c>
      <c r="F612" s="88"/>
      <c r="G612" s="89">
        <v>57500</v>
      </c>
      <c r="H612" s="85">
        <v>1</v>
      </c>
    </row>
    <row r="613" spans="1:8" x14ac:dyDescent="0.35">
      <c r="A613" s="84" t="s">
        <v>1277</v>
      </c>
      <c r="B613" s="84" t="s">
        <v>1325</v>
      </c>
      <c r="C613" s="85" t="s">
        <v>59</v>
      </c>
      <c r="D613" s="86" t="s">
        <v>688</v>
      </c>
      <c r="E613" s="87">
        <v>39299</v>
      </c>
      <c r="F613" s="88" t="s">
        <v>713</v>
      </c>
      <c r="G613" s="89">
        <v>47760</v>
      </c>
      <c r="H613" s="85">
        <v>3</v>
      </c>
    </row>
    <row r="614" spans="1:8" x14ac:dyDescent="0.35">
      <c r="A614" s="84" t="s">
        <v>1277</v>
      </c>
      <c r="B614" s="84" t="s">
        <v>1326</v>
      </c>
      <c r="C614" s="85" t="s">
        <v>85</v>
      </c>
      <c r="D614" s="86" t="s">
        <v>697</v>
      </c>
      <c r="E614" s="90">
        <v>40400</v>
      </c>
      <c r="F614" s="88" t="s">
        <v>691</v>
      </c>
      <c r="G614" s="89">
        <v>79150</v>
      </c>
      <c r="H614" s="85">
        <v>2</v>
      </c>
    </row>
    <row r="615" spans="1:8" x14ac:dyDescent="0.35">
      <c r="A615" s="84" t="s">
        <v>1277</v>
      </c>
      <c r="B615" s="84" t="s">
        <v>1327</v>
      </c>
      <c r="C615" s="85" t="s">
        <v>699</v>
      </c>
      <c r="D615" s="86" t="s">
        <v>684</v>
      </c>
      <c r="E615" s="87">
        <v>34761</v>
      </c>
      <c r="F615" s="88"/>
      <c r="G615" s="89">
        <v>45040</v>
      </c>
      <c r="H615" s="85">
        <v>5</v>
      </c>
    </row>
    <row r="616" spans="1:8" x14ac:dyDescent="0.35">
      <c r="A616" s="84" t="s">
        <v>1277</v>
      </c>
      <c r="B616" s="84" t="s">
        <v>1328</v>
      </c>
      <c r="C616" s="85" t="s">
        <v>699</v>
      </c>
      <c r="D616" s="86" t="s">
        <v>697</v>
      </c>
      <c r="E616" s="87">
        <v>34800</v>
      </c>
      <c r="F616" s="88" t="s">
        <v>693</v>
      </c>
      <c r="G616" s="89">
        <v>82700</v>
      </c>
      <c r="H616" s="85">
        <v>3</v>
      </c>
    </row>
    <row r="617" spans="1:8" x14ac:dyDescent="0.35">
      <c r="A617" s="84" t="s">
        <v>1277</v>
      </c>
      <c r="B617" s="84" t="s">
        <v>1329</v>
      </c>
      <c r="C617" s="85" t="s">
        <v>750</v>
      </c>
      <c r="D617" s="86" t="s">
        <v>697</v>
      </c>
      <c r="E617" s="87">
        <v>33320</v>
      </c>
      <c r="F617" s="88" t="s">
        <v>713</v>
      </c>
      <c r="G617" s="89">
        <v>35320</v>
      </c>
      <c r="H617" s="85">
        <v>3</v>
      </c>
    </row>
    <row r="618" spans="1:8" x14ac:dyDescent="0.35">
      <c r="A618" s="84" t="s">
        <v>1277</v>
      </c>
      <c r="B618" s="84" t="s">
        <v>1330</v>
      </c>
      <c r="C618" s="85" t="s">
        <v>59</v>
      </c>
      <c r="D618" s="86" t="s">
        <v>697</v>
      </c>
      <c r="E618" s="87">
        <v>36175</v>
      </c>
      <c r="F618" s="88" t="s">
        <v>691</v>
      </c>
      <c r="G618" s="89">
        <v>23520</v>
      </c>
      <c r="H618" s="85">
        <v>2</v>
      </c>
    </row>
    <row r="619" spans="1:8" x14ac:dyDescent="0.35">
      <c r="A619" s="84" t="s">
        <v>1277</v>
      </c>
      <c r="B619" s="84" t="s">
        <v>1331</v>
      </c>
      <c r="C619" s="85" t="s">
        <v>59</v>
      </c>
      <c r="D619" s="86" t="s">
        <v>684</v>
      </c>
      <c r="E619" s="87">
        <v>33578</v>
      </c>
      <c r="F619" s="88"/>
      <c r="G619" s="89">
        <v>50840</v>
      </c>
      <c r="H619" s="85">
        <v>4</v>
      </c>
    </row>
    <row r="620" spans="1:8" x14ac:dyDescent="0.35">
      <c r="A620" s="84" t="s">
        <v>1277</v>
      </c>
      <c r="B620" s="84" t="s">
        <v>1332</v>
      </c>
      <c r="C620" s="85" t="s">
        <v>699</v>
      </c>
      <c r="D620" s="86" t="s">
        <v>684</v>
      </c>
      <c r="E620" s="87">
        <v>34912</v>
      </c>
      <c r="F620" s="88"/>
      <c r="G620" s="89">
        <v>40560</v>
      </c>
      <c r="H620" s="85">
        <v>5</v>
      </c>
    </row>
    <row r="621" spans="1:8" x14ac:dyDescent="0.35">
      <c r="A621" s="84" t="s">
        <v>1277</v>
      </c>
      <c r="B621" s="84" t="s">
        <v>1333</v>
      </c>
      <c r="C621" s="85" t="s">
        <v>699</v>
      </c>
      <c r="D621" s="86" t="s">
        <v>697</v>
      </c>
      <c r="E621" s="87">
        <v>33642</v>
      </c>
      <c r="F621" s="88" t="s">
        <v>689</v>
      </c>
      <c r="G621" s="89">
        <v>79770</v>
      </c>
      <c r="H621" s="85">
        <v>4</v>
      </c>
    </row>
    <row r="622" spans="1:8" x14ac:dyDescent="0.35">
      <c r="A622" s="84" t="s">
        <v>1277</v>
      </c>
      <c r="B622" s="84" t="s">
        <v>1334</v>
      </c>
      <c r="C622" s="85" t="s">
        <v>750</v>
      </c>
      <c r="D622" s="86" t="s">
        <v>697</v>
      </c>
      <c r="E622" s="87">
        <v>36569</v>
      </c>
      <c r="F622" s="88" t="s">
        <v>691</v>
      </c>
      <c r="G622" s="89">
        <v>75060</v>
      </c>
      <c r="H622" s="85">
        <v>5</v>
      </c>
    </row>
    <row r="623" spans="1:8" x14ac:dyDescent="0.35">
      <c r="A623" s="84" t="s">
        <v>1277</v>
      </c>
      <c r="B623" s="84" t="s">
        <v>1335</v>
      </c>
      <c r="C623" s="85" t="s">
        <v>85</v>
      </c>
      <c r="D623" s="86" t="s">
        <v>684</v>
      </c>
      <c r="E623" s="87">
        <v>36350</v>
      </c>
      <c r="F623" s="88"/>
      <c r="G623" s="89">
        <v>27380</v>
      </c>
      <c r="H623" s="85">
        <v>3</v>
      </c>
    </row>
    <row r="624" spans="1:8" x14ac:dyDescent="0.35">
      <c r="A624" s="84" t="s">
        <v>1277</v>
      </c>
      <c r="B624" s="84" t="s">
        <v>1336</v>
      </c>
      <c r="C624" s="85" t="s">
        <v>683</v>
      </c>
      <c r="D624" s="86" t="s">
        <v>697</v>
      </c>
      <c r="E624" s="87">
        <v>35857</v>
      </c>
      <c r="F624" s="88" t="s">
        <v>691</v>
      </c>
      <c r="G624" s="89">
        <v>82110</v>
      </c>
      <c r="H624" s="85">
        <v>3</v>
      </c>
    </row>
    <row r="625" spans="1:8" x14ac:dyDescent="0.35">
      <c r="A625" s="84" t="s">
        <v>1277</v>
      </c>
      <c r="B625" s="84" t="s">
        <v>1337</v>
      </c>
      <c r="C625" s="85" t="s">
        <v>85</v>
      </c>
      <c r="D625" s="86" t="s">
        <v>684</v>
      </c>
      <c r="E625" s="87">
        <v>39922</v>
      </c>
      <c r="F625" s="88"/>
      <c r="G625" s="89">
        <v>25790</v>
      </c>
      <c r="H625" s="85">
        <v>3</v>
      </c>
    </row>
    <row r="626" spans="1:8" x14ac:dyDescent="0.35">
      <c r="A626" s="84" t="s">
        <v>1277</v>
      </c>
      <c r="B626" s="84" t="s">
        <v>1338</v>
      </c>
      <c r="C626" s="85" t="s">
        <v>59</v>
      </c>
      <c r="D626" s="86" t="s">
        <v>697</v>
      </c>
      <c r="E626" s="87">
        <v>39047</v>
      </c>
      <c r="F626" s="88" t="s">
        <v>691</v>
      </c>
      <c r="G626" s="89">
        <v>65880</v>
      </c>
      <c r="H626" s="85">
        <v>5</v>
      </c>
    </row>
    <row r="627" spans="1:8" x14ac:dyDescent="0.35">
      <c r="A627" s="84" t="s">
        <v>1277</v>
      </c>
      <c r="B627" s="84" t="s">
        <v>1339</v>
      </c>
      <c r="C627" s="85" t="s">
        <v>72</v>
      </c>
      <c r="D627" s="86" t="s">
        <v>697</v>
      </c>
      <c r="E627" s="87">
        <v>35667</v>
      </c>
      <c r="F627" s="88" t="s">
        <v>689</v>
      </c>
      <c r="G627" s="89">
        <v>40920</v>
      </c>
      <c r="H627" s="85">
        <v>4</v>
      </c>
    </row>
    <row r="628" spans="1:8" x14ac:dyDescent="0.35">
      <c r="A628" s="84" t="s">
        <v>1277</v>
      </c>
      <c r="B628" s="84" t="s">
        <v>1340</v>
      </c>
      <c r="C628" s="85" t="s">
        <v>59</v>
      </c>
      <c r="D628" s="86" t="s">
        <v>697</v>
      </c>
      <c r="E628" s="87">
        <v>38347</v>
      </c>
      <c r="F628" s="88" t="s">
        <v>691</v>
      </c>
      <c r="G628" s="89">
        <v>81340</v>
      </c>
      <c r="H628" s="85">
        <v>2</v>
      </c>
    </row>
    <row r="629" spans="1:8" x14ac:dyDescent="0.35">
      <c r="A629" s="84" t="s">
        <v>1277</v>
      </c>
      <c r="B629" s="84" t="s">
        <v>1341</v>
      </c>
      <c r="C629" s="85" t="s">
        <v>85</v>
      </c>
      <c r="D629" s="86" t="s">
        <v>705</v>
      </c>
      <c r="E629" s="87">
        <v>36059</v>
      </c>
      <c r="F629" s="88"/>
      <c r="G629" s="89">
        <v>18500</v>
      </c>
      <c r="H629" s="85">
        <v>5</v>
      </c>
    </row>
    <row r="630" spans="1:8" x14ac:dyDescent="0.35">
      <c r="A630" s="84" t="s">
        <v>1277</v>
      </c>
      <c r="B630" s="84" t="s">
        <v>1342</v>
      </c>
      <c r="C630" s="85" t="s">
        <v>59</v>
      </c>
      <c r="D630" s="86" t="s">
        <v>697</v>
      </c>
      <c r="E630" s="87">
        <v>35379</v>
      </c>
      <c r="F630" s="88" t="s">
        <v>713</v>
      </c>
      <c r="G630" s="89">
        <v>67230</v>
      </c>
      <c r="H630" s="85">
        <v>4</v>
      </c>
    </row>
    <row r="631" spans="1:8" x14ac:dyDescent="0.35">
      <c r="A631" s="84" t="s">
        <v>1277</v>
      </c>
      <c r="B631" s="84" t="s">
        <v>1343</v>
      </c>
      <c r="C631" s="85" t="s">
        <v>750</v>
      </c>
      <c r="D631" s="86" t="s">
        <v>697</v>
      </c>
      <c r="E631" s="87">
        <v>39728</v>
      </c>
      <c r="F631" s="88" t="s">
        <v>689</v>
      </c>
      <c r="G631" s="89">
        <v>82370</v>
      </c>
      <c r="H631" s="85">
        <v>5</v>
      </c>
    </row>
    <row r="632" spans="1:8" x14ac:dyDescent="0.35">
      <c r="A632" s="84" t="s">
        <v>1277</v>
      </c>
      <c r="B632" s="84" t="s">
        <v>1344</v>
      </c>
      <c r="C632" s="85" t="s">
        <v>85</v>
      </c>
      <c r="D632" s="86" t="s">
        <v>697</v>
      </c>
      <c r="E632" s="87">
        <v>39815</v>
      </c>
      <c r="F632" s="88" t="s">
        <v>691</v>
      </c>
      <c r="G632" s="89">
        <v>72060</v>
      </c>
      <c r="H632" s="85">
        <v>2</v>
      </c>
    </row>
    <row r="633" spans="1:8" x14ac:dyDescent="0.35">
      <c r="A633" s="84" t="s">
        <v>1277</v>
      </c>
      <c r="B633" s="84" t="s">
        <v>1345</v>
      </c>
      <c r="C633" s="85" t="s">
        <v>699</v>
      </c>
      <c r="D633" s="86" t="s">
        <v>684</v>
      </c>
      <c r="E633" s="87">
        <v>33774</v>
      </c>
      <c r="F633" s="88"/>
      <c r="G633" s="89">
        <v>32190</v>
      </c>
      <c r="H633" s="85">
        <v>3</v>
      </c>
    </row>
    <row r="634" spans="1:8" x14ac:dyDescent="0.35">
      <c r="A634" s="84" t="s">
        <v>1277</v>
      </c>
      <c r="B634" s="84" t="s">
        <v>1346</v>
      </c>
      <c r="C634" s="85" t="s">
        <v>683</v>
      </c>
      <c r="D634" s="86" t="s">
        <v>697</v>
      </c>
      <c r="E634" s="87">
        <v>38377</v>
      </c>
      <c r="F634" s="88" t="s">
        <v>689</v>
      </c>
      <c r="G634" s="89">
        <v>41060</v>
      </c>
      <c r="H634" s="85">
        <v>3</v>
      </c>
    </row>
    <row r="635" spans="1:8" x14ac:dyDescent="0.35">
      <c r="A635" s="84" t="s">
        <v>1277</v>
      </c>
      <c r="B635" s="84" t="s">
        <v>1347</v>
      </c>
      <c r="C635" s="85" t="s">
        <v>59</v>
      </c>
      <c r="D635" s="86" t="s">
        <v>697</v>
      </c>
      <c r="E635" s="87">
        <v>35918</v>
      </c>
      <c r="F635" s="88" t="s">
        <v>693</v>
      </c>
      <c r="G635" s="89">
        <v>73740</v>
      </c>
      <c r="H635" s="85">
        <v>4</v>
      </c>
    </row>
    <row r="636" spans="1:8" x14ac:dyDescent="0.35">
      <c r="A636" s="84" t="s">
        <v>1277</v>
      </c>
      <c r="B636" s="84" t="s">
        <v>1348</v>
      </c>
      <c r="C636" s="85" t="s">
        <v>699</v>
      </c>
      <c r="D636" s="86" t="s">
        <v>684</v>
      </c>
      <c r="E636" s="87">
        <v>36787</v>
      </c>
      <c r="F636" s="88"/>
      <c r="G636" s="89">
        <v>89640</v>
      </c>
      <c r="H636" s="85">
        <v>4</v>
      </c>
    </row>
    <row r="637" spans="1:8" x14ac:dyDescent="0.35">
      <c r="A637" s="84" t="s">
        <v>1277</v>
      </c>
      <c r="B637" s="84" t="s">
        <v>1349</v>
      </c>
      <c r="C637" s="85" t="s">
        <v>59</v>
      </c>
      <c r="D637" s="86" t="s">
        <v>697</v>
      </c>
      <c r="E637" s="87">
        <v>36143</v>
      </c>
      <c r="F637" s="88" t="s">
        <v>691</v>
      </c>
      <c r="G637" s="89">
        <v>72090</v>
      </c>
      <c r="H637" s="85">
        <v>5</v>
      </c>
    </row>
    <row r="638" spans="1:8" x14ac:dyDescent="0.35">
      <c r="A638" s="84" t="s">
        <v>1277</v>
      </c>
      <c r="B638" s="84" t="s">
        <v>1350</v>
      </c>
      <c r="C638" s="85" t="s">
        <v>750</v>
      </c>
      <c r="D638" s="86" t="s">
        <v>697</v>
      </c>
      <c r="E638" s="87">
        <v>34213</v>
      </c>
      <c r="F638" s="88" t="s">
        <v>689</v>
      </c>
      <c r="G638" s="89">
        <v>72900</v>
      </c>
      <c r="H638" s="85">
        <v>3</v>
      </c>
    </row>
    <row r="639" spans="1:8" x14ac:dyDescent="0.35">
      <c r="A639" s="84" t="s">
        <v>1351</v>
      </c>
      <c r="B639" s="84" t="s">
        <v>1352</v>
      </c>
      <c r="C639" s="85" t="s">
        <v>59</v>
      </c>
      <c r="D639" s="86" t="s">
        <v>697</v>
      </c>
      <c r="E639" s="87">
        <v>34425</v>
      </c>
      <c r="F639" s="88" t="s">
        <v>691</v>
      </c>
      <c r="G639" s="89">
        <v>73850</v>
      </c>
      <c r="H639" s="85">
        <v>2</v>
      </c>
    </row>
    <row r="640" spans="1:8" x14ac:dyDescent="0.35">
      <c r="A640" s="84" t="s">
        <v>1351</v>
      </c>
      <c r="B640" s="84" t="s">
        <v>1353</v>
      </c>
      <c r="C640" s="85" t="s">
        <v>59</v>
      </c>
      <c r="D640" s="86" t="s">
        <v>688</v>
      </c>
      <c r="E640" s="87">
        <v>37141</v>
      </c>
      <c r="F640" s="88" t="s">
        <v>713</v>
      </c>
      <c r="G640" s="89">
        <v>15910</v>
      </c>
      <c r="H640" s="85">
        <v>3</v>
      </c>
    </row>
    <row r="641" spans="1:8" x14ac:dyDescent="0.35">
      <c r="A641" s="84" t="s">
        <v>1351</v>
      </c>
      <c r="B641" s="84" t="s">
        <v>1354</v>
      </c>
      <c r="C641" s="85" t="s">
        <v>699</v>
      </c>
      <c r="D641" s="86" t="s">
        <v>684</v>
      </c>
      <c r="E641" s="87">
        <v>36704</v>
      </c>
      <c r="F641" s="88"/>
      <c r="G641" s="89">
        <v>57760</v>
      </c>
      <c r="H641" s="85">
        <v>3</v>
      </c>
    </row>
    <row r="642" spans="1:8" x14ac:dyDescent="0.35">
      <c r="A642" s="84" t="s">
        <v>1351</v>
      </c>
      <c r="B642" s="84" t="s">
        <v>1355</v>
      </c>
      <c r="C642" s="85" t="s">
        <v>750</v>
      </c>
      <c r="D642" s="86" t="s">
        <v>697</v>
      </c>
      <c r="E642" s="87">
        <v>33385</v>
      </c>
      <c r="F642" s="88" t="s">
        <v>689</v>
      </c>
      <c r="G642" s="89">
        <v>89140</v>
      </c>
      <c r="H642" s="85">
        <v>1</v>
      </c>
    </row>
    <row r="643" spans="1:8" x14ac:dyDescent="0.35">
      <c r="A643" s="84" t="s">
        <v>1351</v>
      </c>
      <c r="B643" s="84" t="s">
        <v>1356</v>
      </c>
      <c r="C643" s="85" t="s">
        <v>85</v>
      </c>
      <c r="D643" s="86" t="s">
        <v>684</v>
      </c>
      <c r="E643" s="87">
        <v>38289</v>
      </c>
      <c r="F643" s="88"/>
      <c r="G643" s="89">
        <v>71830</v>
      </c>
      <c r="H643" s="85">
        <v>3</v>
      </c>
    </row>
    <row r="644" spans="1:8" x14ac:dyDescent="0.35">
      <c r="A644" s="84" t="s">
        <v>1351</v>
      </c>
      <c r="B644" s="84" t="s">
        <v>1357</v>
      </c>
      <c r="C644" s="85" t="s">
        <v>59</v>
      </c>
      <c r="D644" s="86" t="s">
        <v>684</v>
      </c>
      <c r="E644" s="87">
        <v>35338</v>
      </c>
      <c r="F644" s="88"/>
      <c r="G644" s="89">
        <v>87830</v>
      </c>
      <c r="H644" s="85">
        <v>2</v>
      </c>
    </row>
    <row r="645" spans="1:8" x14ac:dyDescent="0.35">
      <c r="A645" s="84" t="s">
        <v>1351</v>
      </c>
      <c r="B645" s="84" t="s">
        <v>1358</v>
      </c>
      <c r="C645" s="85" t="s">
        <v>59</v>
      </c>
      <c r="D645" s="86" t="s">
        <v>697</v>
      </c>
      <c r="E645" s="87">
        <v>35958</v>
      </c>
      <c r="F645" s="88" t="s">
        <v>691</v>
      </c>
      <c r="G645" s="89">
        <v>61420</v>
      </c>
      <c r="H645" s="85">
        <v>4</v>
      </c>
    </row>
    <row r="646" spans="1:8" x14ac:dyDescent="0.35">
      <c r="A646" s="84" t="s">
        <v>1351</v>
      </c>
      <c r="B646" s="84" t="s">
        <v>1359</v>
      </c>
      <c r="C646" s="85" t="s">
        <v>750</v>
      </c>
      <c r="D646" s="86" t="s">
        <v>684</v>
      </c>
      <c r="E646" s="87">
        <v>36673</v>
      </c>
      <c r="F646" s="88" t="s">
        <v>691</v>
      </c>
      <c r="G646" s="89">
        <v>69410</v>
      </c>
      <c r="H646" s="85">
        <v>4</v>
      </c>
    </row>
    <row r="647" spans="1:8" x14ac:dyDescent="0.35">
      <c r="A647" s="84" t="s">
        <v>1351</v>
      </c>
      <c r="B647" s="84" t="s">
        <v>1360</v>
      </c>
      <c r="C647" s="85" t="s">
        <v>683</v>
      </c>
      <c r="D647" s="86" t="s">
        <v>697</v>
      </c>
      <c r="E647" s="87">
        <v>35156</v>
      </c>
      <c r="F647" s="88" t="s">
        <v>691</v>
      </c>
      <c r="G647" s="89">
        <v>86260</v>
      </c>
      <c r="H647" s="85">
        <v>3</v>
      </c>
    </row>
    <row r="648" spans="1:8" x14ac:dyDescent="0.35">
      <c r="A648" s="84" t="s">
        <v>1351</v>
      </c>
      <c r="B648" s="84" t="s">
        <v>1361</v>
      </c>
      <c r="C648" s="85" t="s">
        <v>59</v>
      </c>
      <c r="D648" s="86" t="s">
        <v>697</v>
      </c>
      <c r="E648" s="87">
        <v>36991</v>
      </c>
      <c r="F648" s="88" t="s">
        <v>689</v>
      </c>
      <c r="G648" s="89">
        <v>63670</v>
      </c>
      <c r="H648" s="85">
        <v>5</v>
      </c>
    </row>
    <row r="649" spans="1:8" x14ac:dyDescent="0.35">
      <c r="A649" s="84" t="s">
        <v>1351</v>
      </c>
      <c r="B649" s="84" t="s">
        <v>1362</v>
      </c>
      <c r="C649" s="85" t="s">
        <v>699</v>
      </c>
      <c r="D649" s="86" t="s">
        <v>697</v>
      </c>
      <c r="E649" s="87">
        <v>36893</v>
      </c>
      <c r="F649" s="88" t="s">
        <v>691</v>
      </c>
      <c r="G649" s="89">
        <v>33640</v>
      </c>
      <c r="H649" s="85">
        <v>3</v>
      </c>
    </row>
    <row r="650" spans="1:8" x14ac:dyDescent="0.35">
      <c r="A650" s="84" t="s">
        <v>1351</v>
      </c>
      <c r="B650" s="84" t="s">
        <v>1363</v>
      </c>
      <c r="C650" s="85" t="s">
        <v>59</v>
      </c>
      <c r="D650" s="86" t="s">
        <v>684</v>
      </c>
      <c r="E650" s="87">
        <v>38073</v>
      </c>
      <c r="F650" s="88"/>
      <c r="G650" s="89">
        <v>39300</v>
      </c>
      <c r="H650" s="85">
        <v>2</v>
      </c>
    </row>
    <row r="651" spans="1:8" x14ac:dyDescent="0.35">
      <c r="A651" s="84" t="s">
        <v>1351</v>
      </c>
      <c r="B651" s="84" t="s">
        <v>1364</v>
      </c>
      <c r="C651" s="85" t="s">
        <v>59</v>
      </c>
      <c r="D651" s="86" t="s">
        <v>697</v>
      </c>
      <c r="E651" s="87">
        <v>33186</v>
      </c>
      <c r="F651" s="88" t="s">
        <v>689</v>
      </c>
      <c r="G651" s="89">
        <v>40940</v>
      </c>
      <c r="H651" s="85">
        <v>3</v>
      </c>
    </row>
    <row r="652" spans="1:8" x14ac:dyDescent="0.35">
      <c r="A652" s="84" t="s">
        <v>1351</v>
      </c>
      <c r="B652" s="84" t="s">
        <v>1365</v>
      </c>
      <c r="C652" s="85" t="s">
        <v>59</v>
      </c>
      <c r="D652" s="86" t="s">
        <v>688</v>
      </c>
      <c r="E652" s="87">
        <v>35150</v>
      </c>
      <c r="F652" s="88" t="s">
        <v>689</v>
      </c>
      <c r="G652" s="89">
        <v>49405</v>
      </c>
      <c r="H652" s="85">
        <v>4</v>
      </c>
    </row>
    <row r="653" spans="1:8" x14ac:dyDescent="0.35">
      <c r="A653" s="84" t="s">
        <v>1351</v>
      </c>
      <c r="B653" s="84" t="s">
        <v>1366</v>
      </c>
      <c r="C653" s="85" t="s">
        <v>59</v>
      </c>
      <c r="D653" s="86" t="s">
        <v>697</v>
      </c>
      <c r="E653" s="87">
        <v>33823</v>
      </c>
      <c r="F653" s="88" t="s">
        <v>691</v>
      </c>
      <c r="G653" s="89">
        <v>82760</v>
      </c>
      <c r="H653" s="85">
        <v>4</v>
      </c>
    </row>
    <row r="654" spans="1:8" x14ac:dyDescent="0.35">
      <c r="A654" s="84" t="s">
        <v>1351</v>
      </c>
      <c r="B654" s="84" t="s">
        <v>1367</v>
      </c>
      <c r="C654" s="85" t="s">
        <v>85</v>
      </c>
      <c r="D654" s="86" t="s">
        <v>697</v>
      </c>
      <c r="E654" s="87">
        <v>40568</v>
      </c>
      <c r="F654" s="88" t="s">
        <v>689</v>
      </c>
      <c r="G654" s="89">
        <v>46390</v>
      </c>
      <c r="H654" s="85">
        <v>5</v>
      </c>
    </row>
    <row r="655" spans="1:8" x14ac:dyDescent="0.35">
      <c r="A655" s="84" t="s">
        <v>1351</v>
      </c>
      <c r="B655" s="84" t="s">
        <v>1368</v>
      </c>
      <c r="C655" s="85" t="s">
        <v>59</v>
      </c>
      <c r="D655" s="86" t="s">
        <v>684</v>
      </c>
      <c r="E655" s="87">
        <v>40372</v>
      </c>
      <c r="F655" s="88"/>
      <c r="G655" s="89">
        <v>75100</v>
      </c>
      <c r="H655" s="85">
        <v>4</v>
      </c>
    </row>
    <row r="656" spans="1:8" x14ac:dyDescent="0.35">
      <c r="A656" s="84" t="s">
        <v>1351</v>
      </c>
      <c r="B656" s="84" t="s">
        <v>1369</v>
      </c>
      <c r="C656" s="85" t="s">
        <v>699</v>
      </c>
      <c r="D656" s="86" t="s">
        <v>684</v>
      </c>
      <c r="E656" s="87">
        <v>39283</v>
      </c>
      <c r="F656" s="88"/>
      <c r="G656" s="89">
        <v>74470</v>
      </c>
      <c r="H656" s="85">
        <v>3</v>
      </c>
    </row>
    <row r="657" spans="1:8" x14ac:dyDescent="0.35">
      <c r="A657" s="84" t="s">
        <v>1351</v>
      </c>
      <c r="B657" s="84" t="s">
        <v>1370</v>
      </c>
      <c r="C657" s="85" t="s">
        <v>699</v>
      </c>
      <c r="D657" s="86" t="s">
        <v>697</v>
      </c>
      <c r="E657" s="87">
        <v>39283</v>
      </c>
      <c r="F657" s="88" t="s">
        <v>689</v>
      </c>
      <c r="G657" s="89">
        <v>24980</v>
      </c>
      <c r="H657" s="85">
        <v>3</v>
      </c>
    </row>
    <row r="658" spans="1:8" x14ac:dyDescent="0.35">
      <c r="A658" s="84" t="s">
        <v>1351</v>
      </c>
      <c r="B658" s="84" t="s">
        <v>1371</v>
      </c>
      <c r="C658" s="85" t="s">
        <v>59</v>
      </c>
      <c r="D658" s="86" t="s">
        <v>697</v>
      </c>
      <c r="E658" s="87">
        <v>40106</v>
      </c>
      <c r="F658" s="88" t="s">
        <v>693</v>
      </c>
      <c r="G658" s="89">
        <v>51180</v>
      </c>
      <c r="H658" s="85">
        <v>3</v>
      </c>
    </row>
    <row r="659" spans="1:8" x14ac:dyDescent="0.35">
      <c r="A659" s="84" t="s">
        <v>1351</v>
      </c>
      <c r="B659" s="84" t="s">
        <v>1372</v>
      </c>
      <c r="C659" s="85" t="s">
        <v>699</v>
      </c>
      <c r="D659" s="86" t="s">
        <v>697</v>
      </c>
      <c r="E659" s="87">
        <v>33247</v>
      </c>
      <c r="F659" s="88" t="s">
        <v>689</v>
      </c>
      <c r="G659" s="89">
        <v>62740</v>
      </c>
      <c r="H659" s="85">
        <v>4</v>
      </c>
    </row>
    <row r="660" spans="1:8" x14ac:dyDescent="0.35">
      <c r="A660" s="84" t="s">
        <v>1351</v>
      </c>
      <c r="B660" s="84" t="s">
        <v>1373</v>
      </c>
      <c r="C660" s="85" t="s">
        <v>72</v>
      </c>
      <c r="D660" s="86" t="s">
        <v>688</v>
      </c>
      <c r="E660" s="87">
        <v>35842</v>
      </c>
      <c r="F660" s="88" t="s">
        <v>707</v>
      </c>
      <c r="G660" s="89">
        <v>39530</v>
      </c>
      <c r="H660" s="85">
        <v>5</v>
      </c>
    </row>
    <row r="661" spans="1:8" x14ac:dyDescent="0.35">
      <c r="A661" s="84" t="s">
        <v>1351</v>
      </c>
      <c r="B661" s="84" t="s">
        <v>1374</v>
      </c>
      <c r="C661" s="85" t="s">
        <v>699</v>
      </c>
      <c r="D661" s="86" t="s">
        <v>684</v>
      </c>
      <c r="E661" s="87">
        <v>34135</v>
      </c>
      <c r="F661" s="88"/>
      <c r="G661" s="89">
        <v>78590</v>
      </c>
      <c r="H661" s="85">
        <v>1</v>
      </c>
    </row>
    <row r="662" spans="1:8" x14ac:dyDescent="0.35">
      <c r="A662" s="84" t="s">
        <v>1351</v>
      </c>
      <c r="B662" s="84" t="s">
        <v>1375</v>
      </c>
      <c r="C662" s="85" t="s">
        <v>72</v>
      </c>
      <c r="D662" s="86" t="s">
        <v>697</v>
      </c>
      <c r="E662" s="87">
        <v>40175</v>
      </c>
      <c r="F662" s="88" t="s">
        <v>707</v>
      </c>
      <c r="G662" s="89">
        <v>34690</v>
      </c>
      <c r="H662" s="85">
        <v>2</v>
      </c>
    </row>
    <row r="663" spans="1:8" x14ac:dyDescent="0.35">
      <c r="A663" s="84" t="s">
        <v>1351</v>
      </c>
      <c r="B663" s="84" t="s">
        <v>1376</v>
      </c>
      <c r="C663" s="85" t="s">
        <v>699</v>
      </c>
      <c r="D663" s="86" t="s">
        <v>697</v>
      </c>
      <c r="E663" s="87">
        <v>35408</v>
      </c>
      <c r="F663" s="88" t="s">
        <v>691</v>
      </c>
      <c r="G663" s="89">
        <v>34330</v>
      </c>
      <c r="H663" s="85">
        <v>3</v>
      </c>
    </row>
    <row r="664" spans="1:8" x14ac:dyDescent="0.35">
      <c r="A664" s="84" t="s">
        <v>1351</v>
      </c>
      <c r="B664" s="84" t="s">
        <v>1377</v>
      </c>
      <c r="C664" s="85" t="s">
        <v>59</v>
      </c>
      <c r="D664" s="86" t="s">
        <v>697</v>
      </c>
      <c r="E664" s="87">
        <v>35364</v>
      </c>
      <c r="F664" s="88" t="s">
        <v>689</v>
      </c>
      <c r="G664" s="89">
        <v>27130</v>
      </c>
      <c r="H664" s="85">
        <v>5</v>
      </c>
    </row>
    <row r="665" spans="1:8" x14ac:dyDescent="0.35">
      <c r="A665" s="84" t="s">
        <v>1351</v>
      </c>
      <c r="B665" s="84" t="s">
        <v>1378</v>
      </c>
      <c r="C665" s="85" t="s">
        <v>85</v>
      </c>
      <c r="D665" s="86" t="s">
        <v>684</v>
      </c>
      <c r="E665" s="87">
        <v>36765</v>
      </c>
      <c r="F665" s="88"/>
      <c r="G665" s="89">
        <v>74500</v>
      </c>
      <c r="H665" s="85">
        <v>4</v>
      </c>
    </row>
    <row r="666" spans="1:8" x14ac:dyDescent="0.35">
      <c r="A666" s="84" t="s">
        <v>1351</v>
      </c>
      <c r="B666" s="84" t="s">
        <v>1379</v>
      </c>
      <c r="C666" s="85" t="s">
        <v>85</v>
      </c>
      <c r="D666" s="86" t="s">
        <v>684</v>
      </c>
      <c r="E666" s="87">
        <v>38044</v>
      </c>
      <c r="F666" s="88"/>
      <c r="G666" s="89">
        <v>57410</v>
      </c>
      <c r="H666" s="85">
        <v>2</v>
      </c>
    </row>
    <row r="667" spans="1:8" x14ac:dyDescent="0.35">
      <c r="A667" s="84" t="s">
        <v>1351</v>
      </c>
      <c r="B667" s="84" t="s">
        <v>1380</v>
      </c>
      <c r="C667" s="85" t="s">
        <v>750</v>
      </c>
      <c r="D667" s="86" t="s">
        <v>697</v>
      </c>
      <c r="E667" s="87">
        <v>33681</v>
      </c>
      <c r="F667" s="88" t="s">
        <v>693</v>
      </c>
      <c r="G667" s="89">
        <v>46550</v>
      </c>
      <c r="H667" s="85">
        <v>4</v>
      </c>
    </row>
    <row r="668" spans="1:8" x14ac:dyDescent="0.35">
      <c r="A668" s="84" t="s">
        <v>1351</v>
      </c>
      <c r="B668" s="84" t="s">
        <v>1381</v>
      </c>
      <c r="C668" s="85" t="s">
        <v>85</v>
      </c>
      <c r="D668" s="86" t="s">
        <v>697</v>
      </c>
      <c r="E668" s="87">
        <v>33832</v>
      </c>
      <c r="F668" s="88" t="s">
        <v>689</v>
      </c>
      <c r="G668" s="89">
        <v>39160</v>
      </c>
      <c r="H668" s="85">
        <v>3</v>
      </c>
    </row>
    <row r="669" spans="1:8" x14ac:dyDescent="0.35">
      <c r="A669" s="84" t="s">
        <v>1351</v>
      </c>
      <c r="B669" s="84" t="s">
        <v>1382</v>
      </c>
      <c r="C669" s="85" t="s">
        <v>59</v>
      </c>
      <c r="D669" s="86" t="s">
        <v>705</v>
      </c>
      <c r="E669" s="87">
        <v>38646</v>
      </c>
      <c r="F669" s="88"/>
      <c r="G669" s="89">
        <v>37344</v>
      </c>
      <c r="H669" s="85">
        <v>2</v>
      </c>
    </row>
    <row r="670" spans="1:8" x14ac:dyDescent="0.35">
      <c r="A670" s="84" t="s">
        <v>1351</v>
      </c>
      <c r="B670" s="84" t="s">
        <v>1383</v>
      </c>
      <c r="C670" s="85" t="s">
        <v>85</v>
      </c>
      <c r="D670" s="86" t="s">
        <v>697</v>
      </c>
      <c r="E670" s="87">
        <v>36269</v>
      </c>
      <c r="F670" s="88" t="s">
        <v>691</v>
      </c>
      <c r="G670" s="89">
        <v>61330</v>
      </c>
      <c r="H670" s="85">
        <v>1</v>
      </c>
    </row>
    <row r="671" spans="1:8" x14ac:dyDescent="0.35">
      <c r="A671" s="84" t="s">
        <v>1351</v>
      </c>
      <c r="B671" s="84" t="s">
        <v>1384</v>
      </c>
      <c r="C671" s="85" t="s">
        <v>683</v>
      </c>
      <c r="D671" s="86" t="s">
        <v>684</v>
      </c>
      <c r="E671" s="90">
        <v>40253</v>
      </c>
      <c r="F671" s="88"/>
      <c r="G671" s="89">
        <v>59350</v>
      </c>
      <c r="H671" s="85">
        <v>5</v>
      </c>
    </row>
    <row r="672" spans="1:8" x14ac:dyDescent="0.35">
      <c r="A672" s="84" t="s">
        <v>1351</v>
      </c>
      <c r="B672" s="84" t="s">
        <v>1385</v>
      </c>
      <c r="C672" s="85" t="s">
        <v>59</v>
      </c>
      <c r="D672" s="86" t="s">
        <v>684</v>
      </c>
      <c r="E672" s="87">
        <v>40263</v>
      </c>
      <c r="F672" s="88" t="s">
        <v>707</v>
      </c>
      <c r="G672" s="89">
        <v>71190</v>
      </c>
      <c r="H672" s="85">
        <v>4</v>
      </c>
    </row>
    <row r="673" spans="1:8" x14ac:dyDescent="0.35">
      <c r="A673" s="84" t="s">
        <v>1351</v>
      </c>
      <c r="B673" s="84" t="s">
        <v>1386</v>
      </c>
      <c r="C673" s="85" t="s">
        <v>750</v>
      </c>
      <c r="D673" s="86" t="s">
        <v>697</v>
      </c>
      <c r="E673" s="87">
        <v>39899</v>
      </c>
      <c r="F673" s="88" t="s">
        <v>689</v>
      </c>
      <c r="G673" s="89">
        <v>24790</v>
      </c>
      <c r="H673" s="85">
        <v>3</v>
      </c>
    </row>
    <row r="674" spans="1:8" x14ac:dyDescent="0.35">
      <c r="A674" s="84" t="s">
        <v>1351</v>
      </c>
      <c r="B674" s="84" t="s">
        <v>1387</v>
      </c>
      <c r="C674" s="85" t="s">
        <v>59</v>
      </c>
      <c r="D674" s="86" t="s">
        <v>684</v>
      </c>
      <c r="E674" s="87">
        <v>37803</v>
      </c>
      <c r="F674" s="88"/>
      <c r="G674" s="89">
        <v>78100</v>
      </c>
      <c r="H674" s="85">
        <v>3</v>
      </c>
    </row>
    <row r="675" spans="1:8" x14ac:dyDescent="0.35">
      <c r="A675" s="84" t="s">
        <v>1351</v>
      </c>
      <c r="B675" s="84" t="s">
        <v>1388</v>
      </c>
      <c r="C675" s="85" t="s">
        <v>699</v>
      </c>
      <c r="D675" s="86" t="s">
        <v>697</v>
      </c>
      <c r="E675" s="87">
        <v>34989</v>
      </c>
      <c r="F675" s="88" t="s">
        <v>689</v>
      </c>
      <c r="G675" s="89">
        <v>50570</v>
      </c>
      <c r="H675" s="85">
        <v>4</v>
      </c>
    </row>
    <row r="676" spans="1:8" x14ac:dyDescent="0.35">
      <c r="A676" s="84" t="s">
        <v>1351</v>
      </c>
      <c r="B676" s="84" t="s">
        <v>1389</v>
      </c>
      <c r="C676" s="85" t="s">
        <v>59</v>
      </c>
      <c r="D676" s="86" t="s">
        <v>697</v>
      </c>
      <c r="E676" s="87">
        <v>36082</v>
      </c>
      <c r="F676" s="88" t="s">
        <v>691</v>
      </c>
      <c r="G676" s="89">
        <v>82400</v>
      </c>
      <c r="H676" s="85">
        <v>2</v>
      </c>
    </row>
    <row r="677" spans="1:8" x14ac:dyDescent="0.35">
      <c r="A677" s="84" t="s">
        <v>1351</v>
      </c>
      <c r="B677" s="84" t="s">
        <v>1390</v>
      </c>
      <c r="C677" s="85" t="s">
        <v>59</v>
      </c>
      <c r="D677" s="86" t="s">
        <v>688</v>
      </c>
      <c r="E677" s="87">
        <v>39802</v>
      </c>
      <c r="F677" s="88" t="s">
        <v>713</v>
      </c>
      <c r="G677" s="89">
        <v>22535</v>
      </c>
      <c r="H677" s="85">
        <v>3</v>
      </c>
    </row>
    <row r="678" spans="1:8" x14ac:dyDescent="0.35">
      <c r="A678" s="84" t="s">
        <v>1351</v>
      </c>
      <c r="B678" s="84" t="s">
        <v>1391</v>
      </c>
      <c r="C678" s="85" t="s">
        <v>750</v>
      </c>
      <c r="D678" s="86" t="s">
        <v>684</v>
      </c>
      <c r="E678" s="90">
        <v>40236</v>
      </c>
      <c r="F678" s="88"/>
      <c r="G678" s="89">
        <v>45830</v>
      </c>
      <c r="H678" s="85">
        <v>4</v>
      </c>
    </row>
    <row r="679" spans="1:8" x14ac:dyDescent="0.35">
      <c r="A679" s="84" t="s">
        <v>1351</v>
      </c>
      <c r="B679" s="84" t="s">
        <v>1392</v>
      </c>
      <c r="C679" s="85" t="s">
        <v>59</v>
      </c>
      <c r="D679" s="86" t="s">
        <v>697</v>
      </c>
      <c r="E679" s="87">
        <v>34740</v>
      </c>
      <c r="F679" s="88" t="s">
        <v>707</v>
      </c>
      <c r="G679" s="89">
        <v>77840</v>
      </c>
      <c r="H679" s="85">
        <v>2</v>
      </c>
    </row>
    <row r="680" spans="1:8" x14ac:dyDescent="0.35">
      <c r="A680" s="84" t="s">
        <v>1351</v>
      </c>
      <c r="B680" s="84" t="s">
        <v>1393</v>
      </c>
      <c r="C680" s="85" t="s">
        <v>85</v>
      </c>
      <c r="D680" s="86" t="s">
        <v>697</v>
      </c>
      <c r="E680" s="90">
        <v>40603</v>
      </c>
      <c r="F680" s="88" t="s">
        <v>707</v>
      </c>
      <c r="G680" s="89">
        <v>44260</v>
      </c>
      <c r="H680" s="85">
        <v>1</v>
      </c>
    </row>
    <row r="681" spans="1:8" x14ac:dyDescent="0.35">
      <c r="A681" s="84" t="s">
        <v>1351</v>
      </c>
      <c r="B681" s="84" t="s">
        <v>1394</v>
      </c>
      <c r="C681" s="85" t="s">
        <v>85</v>
      </c>
      <c r="D681" s="86" t="s">
        <v>688</v>
      </c>
      <c r="E681" s="87">
        <v>33349</v>
      </c>
      <c r="F681" s="88" t="s">
        <v>713</v>
      </c>
      <c r="G681" s="89">
        <v>16015</v>
      </c>
      <c r="H681" s="85">
        <v>3</v>
      </c>
    </row>
    <row r="682" spans="1:8" x14ac:dyDescent="0.35">
      <c r="A682" s="84" t="s">
        <v>1351</v>
      </c>
      <c r="B682" s="84" t="s">
        <v>1395</v>
      </c>
      <c r="C682" s="85" t="s">
        <v>699</v>
      </c>
      <c r="D682" s="86" t="s">
        <v>705</v>
      </c>
      <c r="E682" s="87">
        <v>36329</v>
      </c>
      <c r="F682" s="88"/>
      <c r="G682" s="89">
        <v>39764</v>
      </c>
      <c r="H682" s="85">
        <v>1</v>
      </c>
    </row>
    <row r="683" spans="1:8" x14ac:dyDescent="0.35">
      <c r="A683" s="84" t="s">
        <v>1351</v>
      </c>
      <c r="B683" s="84" t="s">
        <v>1396</v>
      </c>
      <c r="C683" s="85" t="s">
        <v>72</v>
      </c>
      <c r="D683" s="86" t="s">
        <v>697</v>
      </c>
      <c r="E683" s="87">
        <v>40018</v>
      </c>
      <c r="F683" s="88" t="s">
        <v>691</v>
      </c>
      <c r="G683" s="89">
        <v>34990</v>
      </c>
      <c r="H683" s="85">
        <v>3</v>
      </c>
    </row>
    <row r="684" spans="1:8" x14ac:dyDescent="0.35">
      <c r="A684" s="84" t="s">
        <v>1351</v>
      </c>
      <c r="B684" s="84" t="s">
        <v>1397</v>
      </c>
      <c r="C684" s="85" t="s">
        <v>699</v>
      </c>
      <c r="D684" s="86" t="s">
        <v>697</v>
      </c>
      <c r="E684" s="87">
        <v>36466</v>
      </c>
      <c r="F684" s="88" t="s">
        <v>691</v>
      </c>
      <c r="G684" s="89">
        <v>68410</v>
      </c>
      <c r="H684" s="85">
        <v>5</v>
      </c>
    </row>
    <row r="685" spans="1:8" x14ac:dyDescent="0.35">
      <c r="A685" s="84" t="s">
        <v>1351</v>
      </c>
      <c r="B685" s="84" t="s">
        <v>1398</v>
      </c>
      <c r="C685" s="85" t="s">
        <v>59</v>
      </c>
      <c r="D685" s="86" t="s">
        <v>688</v>
      </c>
      <c r="E685" s="87">
        <v>35186</v>
      </c>
      <c r="F685" s="88" t="s">
        <v>713</v>
      </c>
      <c r="G685" s="89">
        <v>32835</v>
      </c>
      <c r="H685" s="85">
        <v>2</v>
      </c>
    </row>
    <row r="686" spans="1:8" x14ac:dyDescent="0.35">
      <c r="A686" s="84" t="s">
        <v>1351</v>
      </c>
      <c r="B686" s="84" t="s">
        <v>1399</v>
      </c>
      <c r="C686" s="85" t="s">
        <v>699</v>
      </c>
      <c r="D686" s="86" t="s">
        <v>684</v>
      </c>
      <c r="E686" s="87">
        <v>39040</v>
      </c>
      <c r="F686" s="88"/>
      <c r="G686" s="89">
        <v>62150</v>
      </c>
      <c r="H686" s="85">
        <v>4</v>
      </c>
    </row>
    <row r="687" spans="1:8" x14ac:dyDescent="0.35">
      <c r="A687" s="84" t="s">
        <v>1351</v>
      </c>
      <c r="B687" s="84" t="s">
        <v>1400</v>
      </c>
      <c r="C687" s="85" t="s">
        <v>85</v>
      </c>
      <c r="D687" s="86" t="s">
        <v>697</v>
      </c>
      <c r="E687" s="87">
        <v>39362</v>
      </c>
      <c r="F687" s="88" t="s">
        <v>693</v>
      </c>
      <c r="G687" s="89">
        <v>42020</v>
      </c>
      <c r="H687" s="85">
        <v>5</v>
      </c>
    </row>
    <row r="688" spans="1:8" x14ac:dyDescent="0.35">
      <c r="A688" s="84" t="s">
        <v>1351</v>
      </c>
      <c r="B688" s="84" t="s">
        <v>1401</v>
      </c>
      <c r="C688" s="85" t="s">
        <v>699</v>
      </c>
      <c r="D688" s="86" t="s">
        <v>697</v>
      </c>
      <c r="E688" s="87">
        <v>33613</v>
      </c>
      <c r="F688" s="88" t="s">
        <v>1402</v>
      </c>
      <c r="G688" s="89">
        <v>56900</v>
      </c>
      <c r="H688" s="85">
        <v>5</v>
      </c>
    </row>
    <row r="689" spans="1:8" x14ac:dyDescent="0.35">
      <c r="A689" s="84" t="s">
        <v>1351</v>
      </c>
      <c r="B689" s="84" t="s">
        <v>1403</v>
      </c>
      <c r="C689" s="85" t="s">
        <v>699</v>
      </c>
      <c r="D689" s="86" t="s">
        <v>697</v>
      </c>
      <c r="E689" s="87">
        <v>39864</v>
      </c>
      <c r="F689" s="88" t="s">
        <v>689</v>
      </c>
      <c r="G689" s="89">
        <v>64320</v>
      </c>
      <c r="H689" s="85">
        <v>5</v>
      </c>
    </row>
    <row r="690" spans="1:8" x14ac:dyDescent="0.35">
      <c r="A690" s="84" t="s">
        <v>1351</v>
      </c>
      <c r="B690" s="84" t="s">
        <v>1404</v>
      </c>
      <c r="C690" s="85" t="s">
        <v>683</v>
      </c>
      <c r="D690" s="86" t="s">
        <v>697</v>
      </c>
      <c r="E690" s="87">
        <v>34832</v>
      </c>
      <c r="F690" s="88" t="s">
        <v>689</v>
      </c>
      <c r="G690" s="89">
        <v>31910</v>
      </c>
      <c r="H690" s="85">
        <v>5</v>
      </c>
    </row>
    <row r="691" spans="1:8" x14ac:dyDescent="0.35">
      <c r="A691" s="84" t="s">
        <v>1351</v>
      </c>
      <c r="B691" s="84" t="s">
        <v>1405</v>
      </c>
      <c r="C691" s="85" t="s">
        <v>59</v>
      </c>
      <c r="D691" s="86" t="s">
        <v>684</v>
      </c>
      <c r="E691" s="87">
        <v>39959</v>
      </c>
      <c r="F691" s="88"/>
      <c r="G691" s="89">
        <v>79460</v>
      </c>
      <c r="H691" s="85">
        <v>5</v>
      </c>
    </row>
    <row r="692" spans="1:8" x14ac:dyDescent="0.35">
      <c r="A692" s="84" t="s">
        <v>1351</v>
      </c>
      <c r="B692" s="84" t="s">
        <v>1406</v>
      </c>
      <c r="C692" s="85" t="s">
        <v>85</v>
      </c>
      <c r="D692" s="86" t="s">
        <v>684</v>
      </c>
      <c r="E692" s="87">
        <v>35451</v>
      </c>
      <c r="F692" s="88"/>
      <c r="G692" s="89">
        <v>25120</v>
      </c>
      <c r="H692" s="85">
        <v>2</v>
      </c>
    </row>
    <row r="693" spans="1:8" x14ac:dyDescent="0.35">
      <c r="A693" s="84" t="s">
        <v>1351</v>
      </c>
      <c r="B693" s="84" t="s">
        <v>1407</v>
      </c>
      <c r="C693" s="85" t="s">
        <v>699</v>
      </c>
      <c r="D693" s="86" t="s">
        <v>684</v>
      </c>
      <c r="E693" s="87">
        <v>36637</v>
      </c>
      <c r="F693" s="88"/>
      <c r="G693" s="89">
        <v>57600</v>
      </c>
      <c r="H693" s="85">
        <v>3</v>
      </c>
    </row>
    <row r="694" spans="1:8" x14ac:dyDescent="0.35">
      <c r="A694" s="84" t="s">
        <v>1351</v>
      </c>
      <c r="B694" s="84" t="s">
        <v>1408</v>
      </c>
      <c r="C694" s="85" t="s">
        <v>699</v>
      </c>
      <c r="D694" s="86" t="s">
        <v>697</v>
      </c>
      <c r="E694" s="87">
        <v>33269</v>
      </c>
      <c r="F694" s="88" t="s">
        <v>691</v>
      </c>
      <c r="G694" s="89">
        <v>24840</v>
      </c>
      <c r="H694" s="85">
        <v>1</v>
      </c>
    </row>
    <row r="695" spans="1:8" x14ac:dyDescent="0.35">
      <c r="A695" s="84" t="s">
        <v>1351</v>
      </c>
      <c r="B695" s="84" t="s">
        <v>1409</v>
      </c>
      <c r="C695" s="85" t="s">
        <v>59</v>
      </c>
      <c r="D695" s="86" t="s">
        <v>697</v>
      </c>
      <c r="E695" s="87">
        <v>34034</v>
      </c>
      <c r="F695" s="88" t="s">
        <v>707</v>
      </c>
      <c r="G695" s="89">
        <v>45180</v>
      </c>
      <c r="H695" s="85">
        <v>5</v>
      </c>
    </row>
    <row r="696" spans="1:8" x14ac:dyDescent="0.35">
      <c r="A696" s="84" t="s">
        <v>1351</v>
      </c>
      <c r="B696" s="84" t="s">
        <v>1410</v>
      </c>
      <c r="C696" s="85" t="s">
        <v>699</v>
      </c>
      <c r="D696" s="86" t="s">
        <v>697</v>
      </c>
      <c r="E696" s="87">
        <v>39348</v>
      </c>
      <c r="F696" s="88" t="s">
        <v>689</v>
      </c>
      <c r="G696" s="89">
        <v>46220</v>
      </c>
      <c r="H696" s="85">
        <v>2</v>
      </c>
    </row>
    <row r="697" spans="1:8" x14ac:dyDescent="0.35">
      <c r="A697" s="84" t="s">
        <v>1351</v>
      </c>
      <c r="B697" s="84" t="s">
        <v>1411</v>
      </c>
      <c r="C697" s="85" t="s">
        <v>699</v>
      </c>
      <c r="D697" s="86" t="s">
        <v>697</v>
      </c>
      <c r="E697" s="87">
        <v>36009</v>
      </c>
      <c r="F697" s="88" t="s">
        <v>689</v>
      </c>
      <c r="G697" s="89">
        <v>75120</v>
      </c>
      <c r="H697" s="85">
        <v>5</v>
      </c>
    </row>
    <row r="698" spans="1:8" x14ac:dyDescent="0.35">
      <c r="A698" s="84" t="s">
        <v>1351</v>
      </c>
      <c r="B698" s="84" t="s">
        <v>1412</v>
      </c>
      <c r="C698" s="85" t="s">
        <v>85</v>
      </c>
      <c r="D698" s="86" t="s">
        <v>688</v>
      </c>
      <c r="E698" s="87">
        <v>37782</v>
      </c>
      <c r="F698" s="88" t="s">
        <v>713</v>
      </c>
      <c r="G698" s="89">
        <v>17735</v>
      </c>
      <c r="H698" s="85">
        <v>3</v>
      </c>
    </row>
    <row r="699" spans="1:8" x14ac:dyDescent="0.35">
      <c r="A699" s="84" t="s">
        <v>1351</v>
      </c>
      <c r="B699" s="84" t="s">
        <v>1413</v>
      </c>
      <c r="C699" s="85" t="s">
        <v>85</v>
      </c>
      <c r="D699" s="86" t="s">
        <v>705</v>
      </c>
      <c r="E699" s="87">
        <v>33158</v>
      </c>
      <c r="F699" s="88"/>
      <c r="G699" s="89">
        <v>33232</v>
      </c>
      <c r="H699" s="85">
        <v>4</v>
      </c>
    </row>
    <row r="700" spans="1:8" x14ac:dyDescent="0.35">
      <c r="A700" s="84" t="s">
        <v>1351</v>
      </c>
      <c r="B700" s="84" t="s">
        <v>1414</v>
      </c>
      <c r="C700" s="85" t="s">
        <v>699</v>
      </c>
      <c r="D700" s="86" t="s">
        <v>684</v>
      </c>
      <c r="E700" s="87">
        <v>36729</v>
      </c>
      <c r="F700" s="88"/>
      <c r="G700" s="89">
        <v>45420</v>
      </c>
      <c r="H700" s="85">
        <v>1</v>
      </c>
    </row>
    <row r="701" spans="1:8" x14ac:dyDescent="0.35">
      <c r="A701" s="84" t="s">
        <v>1351</v>
      </c>
      <c r="B701" s="84" t="s">
        <v>1415</v>
      </c>
      <c r="C701" s="85" t="s">
        <v>699</v>
      </c>
      <c r="D701" s="86" t="s">
        <v>697</v>
      </c>
      <c r="E701" s="87">
        <v>37229</v>
      </c>
      <c r="F701" s="88" t="s">
        <v>691</v>
      </c>
      <c r="G701" s="89">
        <v>25310</v>
      </c>
      <c r="H701" s="85">
        <v>4</v>
      </c>
    </row>
    <row r="702" spans="1:8" x14ac:dyDescent="0.35">
      <c r="A702" s="84" t="s">
        <v>1351</v>
      </c>
      <c r="B702" s="84" t="s">
        <v>1416</v>
      </c>
      <c r="C702" s="85" t="s">
        <v>699</v>
      </c>
      <c r="D702" s="86" t="s">
        <v>697</v>
      </c>
      <c r="E702" s="87">
        <v>35497</v>
      </c>
      <c r="F702" s="88" t="s">
        <v>689</v>
      </c>
      <c r="G702" s="89">
        <v>78710</v>
      </c>
      <c r="H702" s="85">
        <v>4</v>
      </c>
    </row>
    <row r="703" spans="1:8" x14ac:dyDescent="0.35">
      <c r="A703" s="84" t="s">
        <v>1351</v>
      </c>
      <c r="B703" s="84" t="s">
        <v>1417</v>
      </c>
      <c r="C703" s="85" t="s">
        <v>699</v>
      </c>
      <c r="D703" s="86" t="s">
        <v>697</v>
      </c>
      <c r="E703" s="87">
        <v>33993</v>
      </c>
      <c r="F703" s="88" t="s">
        <v>691</v>
      </c>
      <c r="G703" s="89">
        <v>45500</v>
      </c>
      <c r="H703" s="85">
        <v>3</v>
      </c>
    </row>
    <row r="704" spans="1:8" x14ac:dyDescent="0.35">
      <c r="A704" s="84" t="s">
        <v>1351</v>
      </c>
      <c r="B704" s="84" t="s">
        <v>1418</v>
      </c>
      <c r="C704" s="85" t="s">
        <v>750</v>
      </c>
      <c r="D704" s="86" t="s">
        <v>688</v>
      </c>
      <c r="E704" s="87">
        <v>35807</v>
      </c>
      <c r="F704" s="88" t="s">
        <v>689</v>
      </c>
      <c r="G704" s="89">
        <v>48835</v>
      </c>
      <c r="H704" s="85">
        <v>5</v>
      </c>
    </row>
    <row r="705" spans="1:8" x14ac:dyDescent="0.35">
      <c r="A705" s="84" t="s">
        <v>1351</v>
      </c>
      <c r="B705" s="84" t="s">
        <v>1419</v>
      </c>
      <c r="C705" s="85" t="s">
        <v>72</v>
      </c>
      <c r="D705" s="86" t="s">
        <v>688</v>
      </c>
      <c r="E705" s="87">
        <v>40152</v>
      </c>
      <c r="F705" s="88" t="s">
        <v>691</v>
      </c>
      <c r="G705" s="89">
        <v>28680</v>
      </c>
      <c r="H705" s="85">
        <v>1</v>
      </c>
    </row>
    <row r="706" spans="1:8" x14ac:dyDescent="0.35">
      <c r="A706" s="84" t="s">
        <v>1351</v>
      </c>
      <c r="B706" s="84" t="s">
        <v>1420</v>
      </c>
      <c r="C706" s="85" t="s">
        <v>750</v>
      </c>
      <c r="D706" s="86" t="s">
        <v>697</v>
      </c>
      <c r="E706" s="87">
        <v>36078</v>
      </c>
      <c r="F706" s="88" t="s">
        <v>713</v>
      </c>
      <c r="G706" s="89">
        <v>79610</v>
      </c>
      <c r="H706" s="85">
        <v>2</v>
      </c>
    </row>
    <row r="707" spans="1:8" x14ac:dyDescent="0.35">
      <c r="A707" s="84" t="s">
        <v>1351</v>
      </c>
      <c r="B707" s="84" t="s">
        <v>1421</v>
      </c>
      <c r="C707" s="85" t="s">
        <v>59</v>
      </c>
      <c r="D707" s="86" t="s">
        <v>688</v>
      </c>
      <c r="E707" s="87">
        <v>37138</v>
      </c>
      <c r="F707" s="88" t="s">
        <v>693</v>
      </c>
      <c r="G707" s="89">
        <v>31110</v>
      </c>
      <c r="H707" s="85">
        <v>1</v>
      </c>
    </row>
    <row r="708" spans="1:8" x14ac:dyDescent="0.35">
      <c r="A708" s="84" t="s">
        <v>1351</v>
      </c>
      <c r="B708" s="84" t="s">
        <v>1422</v>
      </c>
      <c r="C708" s="85" t="s">
        <v>699</v>
      </c>
      <c r="D708" s="86" t="s">
        <v>697</v>
      </c>
      <c r="E708" s="87">
        <v>40634</v>
      </c>
      <c r="F708" s="88" t="s">
        <v>689</v>
      </c>
      <c r="G708" s="89">
        <v>47440</v>
      </c>
      <c r="H708" s="85">
        <v>3</v>
      </c>
    </row>
    <row r="709" spans="1:8" x14ac:dyDescent="0.35">
      <c r="A709" s="84" t="s">
        <v>1351</v>
      </c>
      <c r="B709" s="84" t="s">
        <v>1423</v>
      </c>
      <c r="C709" s="85" t="s">
        <v>59</v>
      </c>
      <c r="D709" s="86" t="s">
        <v>697</v>
      </c>
      <c r="E709" s="87">
        <v>35715</v>
      </c>
      <c r="F709" s="88" t="s">
        <v>691</v>
      </c>
      <c r="G709" s="89">
        <v>32120</v>
      </c>
      <c r="H709" s="85">
        <v>1</v>
      </c>
    </row>
    <row r="710" spans="1:8" x14ac:dyDescent="0.35">
      <c r="A710" s="84" t="s">
        <v>1351</v>
      </c>
      <c r="B710" s="84" t="s">
        <v>1424</v>
      </c>
      <c r="C710" s="85" t="s">
        <v>699</v>
      </c>
      <c r="D710" s="86" t="s">
        <v>705</v>
      </c>
      <c r="E710" s="87">
        <v>35402</v>
      </c>
      <c r="F710" s="88"/>
      <c r="G710" s="89">
        <v>33508</v>
      </c>
      <c r="H710" s="85">
        <v>4</v>
      </c>
    </row>
    <row r="711" spans="1:8" x14ac:dyDescent="0.35">
      <c r="A711" s="84" t="s">
        <v>1351</v>
      </c>
      <c r="B711" s="84" t="s">
        <v>1425</v>
      </c>
      <c r="C711" s="85" t="s">
        <v>699</v>
      </c>
      <c r="D711" s="86" t="s">
        <v>697</v>
      </c>
      <c r="E711" s="87">
        <v>35695</v>
      </c>
      <c r="F711" s="88" t="s">
        <v>689</v>
      </c>
      <c r="G711" s="89">
        <v>60100</v>
      </c>
      <c r="H711" s="85">
        <v>1</v>
      </c>
    </row>
    <row r="712" spans="1:8" x14ac:dyDescent="0.35">
      <c r="A712" s="84" t="s">
        <v>1351</v>
      </c>
      <c r="B712" s="84" t="s">
        <v>1426</v>
      </c>
      <c r="C712" s="85" t="s">
        <v>750</v>
      </c>
      <c r="D712" s="86" t="s">
        <v>684</v>
      </c>
      <c r="E712" s="87">
        <v>34425</v>
      </c>
      <c r="F712" s="88"/>
      <c r="G712" s="89">
        <v>63310</v>
      </c>
      <c r="H712" s="85">
        <v>3</v>
      </c>
    </row>
    <row r="713" spans="1:8" x14ac:dyDescent="0.35">
      <c r="A713" s="84" t="s">
        <v>1351</v>
      </c>
      <c r="B713" s="84" t="s">
        <v>1427</v>
      </c>
      <c r="C713" s="85" t="s">
        <v>683</v>
      </c>
      <c r="D713" s="86" t="s">
        <v>697</v>
      </c>
      <c r="E713" s="87">
        <v>35024</v>
      </c>
      <c r="F713" s="88" t="s">
        <v>691</v>
      </c>
      <c r="G713" s="89">
        <v>73072</v>
      </c>
      <c r="H713" s="85">
        <v>5</v>
      </c>
    </row>
    <row r="714" spans="1:8" x14ac:dyDescent="0.35">
      <c r="A714" s="84" t="s">
        <v>1351</v>
      </c>
      <c r="B714" s="84" t="s">
        <v>1428</v>
      </c>
      <c r="C714" s="85" t="s">
        <v>683</v>
      </c>
      <c r="D714" s="86" t="s">
        <v>684</v>
      </c>
      <c r="E714" s="87">
        <v>39529</v>
      </c>
      <c r="F714" s="88"/>
      <c r="G714" s="89">
        <v>35620</v>
      </c>
      <c r="H714" s="85">
        <v>4</v>
      </c>
    </row>
    <row r="715" spans="1:8" x14ac:dyDescent="0.35">
      <c r="A715" s="84" t="s">
        <v>1351</v>
      </c>
      <c r="B715" s="84" t="s">
        <v>1429</v>
      </c>
      <c r="C715" s="85" t="s">
        <v>699</v>
      </c>
      <c r="D715" s="86" t="s">
        <v>697</v>
      </c>
      <c r="E715" s="87">
        <v>37348</v>
      </c>
      <c r="F715" s="88" t="s">
        <v>693</v>
      </c>
      <c r="G715" s="89">
        <v>85880</v>
      </c>
      <c r="H715" s="85">
        <v>3</v>
      </c>
    </row>
    <row r="716" spans="1:8" x14ac:dyDescent="0.35">
      <c r="A716" s="84" t="s">
        <v>1351</v>
      </c>
      <c r="B716" s="84" t="s">
        <v>1430</v>
      </c>
      <c r="C716" s="85" t="s">
        <v>59</v>
      </c>
      <c r="D716" s="86" t="s">
        <v>684</v>
      </c>
      <c r="E716" s="87">
        <v>35992</v>
      </c>
      <c r="F716" s="88"/>
      <c r="G716" s="89">
        <v>68260</v>
      </c>
      <c r="H716" s="85">
        <v>5</v>
      </c>
    </row>
    <row r="717" spans="1:8" x14ac:dyDescent="0.35">
      <c r="A717" s="84" t="s">
        <v>1351</v>
      </c>
      <c r="B717" s="84" t="s">
        <v>1431</v>
      </c>
      <c r="C717" s="85" t="s">
        <v>750</v>
      </c>
      <c r="D717" s="86" t="s">
        <v>684</v>
      </c>
      <c r="E717" s="87">
        <v>34159</v>
      </c>
      <c r="F717" s="88"/>
      <c r="G717" s="89">
        <v>35240</v>
      </c>
      <c r="H717" s="85">
        <v>3</v>
      </c>
    </row>
    <row r="718" spans="1:8" x14ac:dyDescent="0.35">
      <c r="A718" s="84" t="s">
        <v>1351</v>
      </c>
      <c r="B718" s="84" t="s">
        <v>1432</v>
      </c>
      <c r="C718" s="85" t="s">
        <v>699</v>
      </c>
      <c r="D718" s="86" t="s">
        <v>705</v>
      </c>
      <c r="E718" s="87">
        <v>35946</v>
      </c>
      <c r="F718" s="88"/>
      <c r="G718" s="89">
        <v>14332</v>
      </c>
      <c r="H718" s="85">
        <v>5</v>
      </c>
    </row>
    <row r="719" spans="1:8" x14ac:dyDescent="0.35">
      <c r="A719" s="84" t="s">
        <v>1351</v>
      </c>
      <c r="B719" s="84" t="s">
        <v>1433</v>
      </c>
      <c r="C719" s="85" t="s">
        <v>72</v>
      </c>
      <c r="D719" s="86" t="s">
        <v>697</v>
      </c>
      <c r="E719" s="87">
        <v>39602</v>
      </c>
      <c r="F719" s="88" t="s">
        <v>689</v>
      </c>
      <c r="G719" s="89">
        <v>79380</v>
      </c>
      <c r="H719" s="85">
        <v>5</v>
      </c>
    </row>
    <row r="720" spans="1:8" x14ac:dyDescent="0.35">
      <c r="A720" s="84" t="s">
        <v>1351</v>
      </c>
      <c r="B720" s="84" t="s">
        <v>1434</v>
      </c>
      <c r="C720" s="85" t="s">
        <v>85</v>
      </c>
      <c r="D720" s="86" t="s">
        <v>697</v>
      </c>
      <c r="E720" s="87">
        <v>34028</v>
      </c>
      <c r="F720" s="88" t="s">
        <v>691</v>
      </c>
      <c r="G720" s="89">
        <v>66824</v>
      </c>
      <c r="H720" s="85">
        <v>2</v>
      </c>
    </row>
    <row r="721" spans="1:8" x14ac:dyDescent="0.35">
      <c r="A721" s="84" t="s">
        <v>1351</v>
      </c>
      <c r="B721" s="84" t="s">
        <v>1435</v>
      </c>
      <c r="C721" s="85" t="s">
        <v>699</v>
      </c>
      <c r="D721" s="86" t="s">
        <v>697</v>
      </c>
      <c r="E721" s="87">
        <v>35526</v>
      </c>
      <c r="F721" s="88" t="s">
        <v>691</v>
      </c>
      <c r="G721" s="89">
        <v>32390</v>
      </c>
      <c r="H721" s="85">
        <v>2</v>
      </c>
    </row>
    <row r="722" spans="1:8" x14ac:dyDescent="0.35">
      <c r="A722" s="84" t="s">
        <v>1351</v>
      </c>
      <c r="B722" s="84" t="s">
        <v>1436</v>
      </c>
      <c r="C722" s="85" t="s">
        <v>699</v>
      </c>
      <c r="D722" s="86" t="s">
        <v>697</v>
      </c>
      <c r="E722" s="87">
        <v>38237</v>
      </c>
      <c r="F722" s="88" t="s">
        <v>691</v>
      </c>
      <c r="G722" s="89">
        <v>31910</v>
      </c>
      <c r="H722" s="85">
        <v>5</v>
      </c>
    </row>
    <row r="723" spans="1:8" x14ac:dyDescent="0.35">
      <c r="A723" s="84" t="s">
        <v>1351</v>
      </c>
      <c r="B723" s="84" t="s">
        <v>1437</v>
      </c>
      <c r="C723" s="85" t="s">
        <v>750</v>
      </c>
      <c r="D723" s="86" t="s">
        <v>684</v>
      </c>
      <c r="E723" s="87">
        <v>39830</v>
      </c>
      <c r="F723" s="88"/>
      <c r="G723" s="89">
        <v>78520</v>
      </c>
      <c r="H723" s="85">
        <v>4</v>
      </c>
    </row>
    <row r="724" spans="1:8" x14ac:dyDescent="0.35">
      <c r="A724" s="84" t="s">
        <v>1351</v>
      </c>
      <c r="B724" s="84" t="s">
        <v>1438</v>
      </c>
      <c r="C724" s="85" t="s">
        <v>85</v>
      </c>
      <c r="D724" s="86" t="s">
        <v>684</v>
      </c>
      <c r="E724" s="87">
        <v>33820</v>
      </c>
      <c r="F724" s="88"/>
      <c r="G724" s="89">
        <v>70300</v>
      </c>
      <c r="H724" s="85">
        <v>3</v>
      </c>
    </row>
    <row r="725" spans="1:8" x14ac:dyDescent="0.35">
      <c r="A725" s="84" t="s">
        <v>1351</v>
      </c>
      <c r="B725" s="84" t="s">
        <v>1439</v>
      </c>
      <c r="C725" s="85" t="s">
        <v>85</v>
      </c>
      <c r="D725" s="86" t="s">
        <v>697</v>
      </c>
      <c r="E725" s="87">
        <v>39069</v>
      </c>
      <c r="F725" s="88" t="s">
        <v>707</v>
      </c>
      <c r="G725" s="89">
        <v>37670</v>
      </c>
      <c r="H725" s="85">
        <v>3</v>
      </c>
    </row>
    <row r="726" spans="1:8" x14ac:dyDescent="0.35">
      <c r="A726" s="84" t="s">
        <v>1351</v>
      </c>
      <c r="B726" s="84" t="s">
        <v>1440</v>
      </c>
      <c r="C726" s="85" t="s">
        <v>59</v>
      </c>
      <c r="D726" s="86" t="s">
        <v>684</v>
      </c>
      <c r="E726" s="87">
        <v>38793</v>
      </c>
      <c r="F726" s="88"/>
      <c r="G726" s="89">
        <v>85930</v>
      </c>
      <c r="H726" s="85">
        <v>2</v>
      </c>
    </row>
    <row r="727" spans="1:8" x14ac:dyDescent="0.35">
      <c r="A727" s="84" t="s">
        <v>1351</v>
      </c>
      <c r="B727" s="84" t="s">
        <v>1441</v>
      </c>
      <c r="C727" s="85" t="s">
        <v>85</v>
      </c>
      <c r="D727" s="86" t="s">
        <v>697</v>
      </c>
      <c r="E727" s="87">
        <v>33513</v>
      </c>
      <c r="F727" s="88" t="s">
        <v>707</v>
      </c>
      <c r="G727" s="89">
        <v>44560</v>
      </c>
      <c r="H727" s="85">
        <v>2</v>
      </c>
    </row>
    <row r="728" spans="1:8" x14ac:dyDescent="0.35">
      <c r="A728" s="84" t="s">
        <v>1351</v>
      </c>
      <c r="B728" s="84" t="s">
        <v>1442</v>
      </c>
      <c r="C728" s="85" t="s">
        <v>750</v>
      </c>
      <c r="D728" s="86" t="s">
        <v>705</v>
      </c>
      <c r="E728" s="87">
        <v>35861</v>
      </c>
      <c r="F728" s="88"/>
      <c r="G728" s="89">
        <v>12836</v>
      </c>
      <c r="H728" s="85">
        <v>5</v>
      </c>
    </row>
    <row r="729" spans="1:8" x14ac:dyDescent="0.35">
      <c r="A729" s="84" t="s">
        <v>1351</v>
      </c>
      <c r="B729" s="84" t="s">
        <v>1443</v>
      </c>
      <c r="C729" s="85" t="s">
        <v>59</v>
      </c>
      <c r="D729" s="86" t="s">
        <v>684</v>
      </c>
      <c r="E729" s="90">
        <v>40404</v>
      </c>
      <c r="F729" s="88"/>
      <c r="G729" s="89">
        <v>39550</v>
      </c>
      <c r="H729" s="85">
        <v>5</v>
      </c>
    </row>
    <row r="730" spans="1:8" x14ac:dyDescent="0.35">
      <c r="A730" s="84" t="s">
        <v>1351</v>
      </c>
      <c r="B730" s="84" t="s">
        <v>1444</v>
      </c>
      <c r="C730" s="85" t="s">
        <v>72</v>
      </c>
      <c r="D730" s="86" t="s">
        <v>697</v>
      </c>
      <c r="E730" s="87">
        <v>33881</v>
      </c>
      <c r="F730" s="88" t="s">
        <v>713</v>
      </c>
      <c r="G730" s="89">
        <v>46910</v>
      </c>
      <c r="H730" s="85">
        <v>3</v>
      </c>
    </row>
    <row r="731" spans="1:8" x14ac:dyDescent="0.35">
      <c r="A731" s="84" t="s">
        <v>1351</v>
      </c>
      <c r="B731" s="84" t="s">
        <v>1445</v>
      </c>
      <c r="C731" s="85" t="s">
        <v>59</v>
      </c>
      <c r="D731" s="86" t="s">
        <v>697</v>
      </c>
      <c r="E731" s="87">
        <v>33573</v>
      </c>
      <c r="F731" s="88" t="s">
        <v>713</v>
      </c>
      <c r="G731" s="89">
        <v>71680</v>
      </c>
      <c r="H731" s="85">
        <v>4</v>
      </c>
    </row>
    <row r="732" spans="1:8" x14ac:dyDescent="0.35">
      <c r="A732" s="84" t="s">
        <v>1351</v>
      </c>
      <c r="B732" s="84" t="s">
        <v>1446</v>
      </c>
      <c r="C732" s="85" t="s">
        <v>750</v>
      </c>
      <c r="D732" s="86" t="s">
        <v>697</v>
      </c>
      <c r="E732" s="87">
        <v>39678</v>
      </c>
      <c r="F732" s="88" t="s">
        <v>691</v>
      </c>
      <c r="G732" s="89">
        <v>80090</v>
      </c>
      <c r="H732" s="85">
        <v>2</v>
      </c>
    </row>
    <row r="733" spans="1:8" x14ac:dyDescent="0.35">
      <c r="A733" s="84" t="s">
        <v>1447</v>
      </c>
      <c r="B733" s="84" t="s">
        <v>1448</v>
      </c>
      <c r="C733" s="85" t="s">
        <v>72</v>
      </c>
      <c r="D733" s="86" t="s">
        <v>688</v>
      </c>
      <c r="E733" s="87">
        <v>39535</v>
      </c>
      <c r="F733" s="88" t="s">
        <v>713</v>
      </c>
      <c r="G733" s="89">
        <v>49080</v>
      </c>
      <c r="H733" s="85">
        <v>5</v>
      </c>
    </row>
    <row r="734" spans="1:8" x14ac:dyDescent="0.35">
      <c r="A734" s="84" t="s">
        <v>1447</v>
      </c>
      <c r="B734" s="84" t="s">
        <v>1449</v>
      </c>
      <c r="C734" s="85" t="s">
        <v>750</v>
      </c>
      <c r="D734" s="86" t="s">
        <v>697</v>
      </c>
      <c r="E734" s="87">
        <v>35990</v>
      </c>
      <c r="F734" s="88" t="s">
        <v>713</v>
      </c>
      <c r="G734" s="89">
        <v>36890</v>
      </c>
      <c r="H734" s="85">
        <v>1</v>
      </c>
    </row>
    <row r="735" spans="1:8" x14ac:dyDescent="0.35">
      <c r="A735" s="84" t="s">
        <v>1447</v>
      </c>
      <c r="B735" s="84" t="s">
        <v>1450</v>
      </c>
      <c r="C735" s="85" t="s">
        <v>699</v>
      </c>
      <c r="D735" s="86" t="s">
        <v>684</v>
      </c>
      <c r="E735" s="87">
        <v>36011</v>
      </c>
      <c r="F735" s="88"/>
      <c r="G735" s="89">
        <v>45050</v>
      </c>
      <c r="H735" s="85">
        <v>1</v>
      </c>
    </row>
    <row r="736" spans="1:8" x14ac:dyDescent="0.35">
      <c r="A736" s="84" t="s">
        <v>1447</v>
      </c>
      <c r="B736" s="84" t="s">
        <v>1451</v>
      </c>
      <c r="C736" s="85" t="s">
        <v>699</v>
      </c>
      <c r="D736" s="86" t="s">
        <v>688</v>
      </c>
      <c r="E736" s="90">
        <v>40516</v>
      </c>
      <c r="F736" s="88" t="s">
        <v>691</v>
      </c>
      <c r="G736" s="89">
        <v>28625</v>
      </c>
      <c r="H736" s="85">
        <v>1</v>
      </c>
    </row>
    <row r="737" spans="1:8" x14ac:dyDescent="0.35">
      <c r="A737" s="84" t="s">
        <v>1447</v>
      </c>
      <c r="B737" s="84" t="s">
        <v>1452</v>
      </c>
      <c r="C737" s="85" t="s">
        <v>750</v>
      </c>
      <c r="D737" s="86" t="s">
        <v>705</v>
      </c>
      <c r="E737" s="87">
        <v>40574</v>
      </c>
      <c r="F737" s="88"/>
      <c r="G737" s="89">
        <v>28424</v>
      </c>
      <c r="H737" s="85">
        <v>4</v>
      </c>
    </row>
    <row r="738" spans="1:8" x14ac:dyDescent="0.35">
      <c r="A738" s="84" t="s">
        <v>1453</v>
      </c>
      <c r="B738" s="84" t="s">
        <v>1454</v>
      </c>
      <c r="C738" s="85" t="s">
        <v>699</v>
      </c>
      <c r="D738" s="86" t="s">
        <v>684</v>
      </c>
      <c r="E738" s="87">
        <v>37641</v>
      </c>
      <c r="F738" s="88"/>
      <c r="G738" s="89">
        <v>31970</v>
      </c>
      <c r="H738" s="85">
        <v>5</v>
      </c>
    </row>
    <row r="739" spans="1:8" x14ac:dyDescent="0.35">
      <c r="A739" s="84" t="s">
        <v>1453</v>
      </c>
      <c r="B739" s="84" t="s">
        <v>1455</v>
      </c>
      <c r="C739" s="85" t="s">
        <v>59</v>
      </c>
      <c r="D739" s="86" t="s">
        <v>684</v>
      </c>
      <c r="E739" s="87">
        <v>38912</v>
      </c>
      <c r="F739" s="88"/>
      <c r="G739" s="89">
        <v>80330</v>
      </c>
      <c r="H739" s="85">
        <v>4</v>
      </c>
    </row>
    <row r="740" spans="1:8" x14ac:dyDescent="0.35">
      <c r="A740" s="84" t="s">
        <v>1453</v>
      </c>
      <c r="B740" s="84" t="s">
        <v>1456</v>
      </c>
      <c r="C740" s="85" t="s">
        <v>72</v>
      </c>
      <c r="D740" s="86" t="s">
        <v>688</v>
      </c>
      <c r="E740" s="87">
        <v>37620</v>
      </c>
      <c r="F740" s="88" t="s">
        <v>689</v>
      </c>
      <c r="G740" s="89">
        <v>24460</v>
      </c>
      <c r="H740" s="85">
        <v>1</v>
      </c>
    </row>
    <row r="741" spans="1:8" x14ac:dyDescent="0.35">
      <c r="A741" s="84" t="s">
        <v>1453</v>
      </c>
      <c r="B741" s="84" t="s">
        <v>1457</v>
      </c>
      <c r="C741" s="85" t="s">
        <v>750</v>
      </c>
      <c r="D741" s="86" t="s">
        <v>705</v>
      </c>
      <c r="E741" s="87">
        <v>36458</v>
      </c>
      <c r="F741" s="88"/>
      <c r="G741" s="89">
        <v>32536</v>
      </c>
      <c r="H741" s="85">
        <v>2</v>
      </c>
    </row>
    <row r="742" spans="1:8" x14ac:dyDescent="0.35">
      <c r="A742" s="84" t="s">
        <v>1453</v>
      </c>
      <c r="B742" s="84" t="s">
        <v>1458</v>
      </c>
      <c r="C742" s="85" t="s">
        <v>750</v>
      </c>
      <c r="D742" s="86" t="s">
        <v>688</v>
      </c>
      <c r="E742" s="87">
        <v>34163</v>
      </c>
      <c r="F742" s="88" t="s">
        <v>693</v>
      </c>
      <c r="G742" s="89">
        <v>18895</v>
      </c>
      <c r="H742" s="8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5</vt:i4>
      </vt:variant>
    </vt:vector>
  </HeadingPairs>
  <TitlesOfParts>
    <vt:vector size="25" baseType="lpstr">
      <vt:lpstr>Interface</vt:lpstr>
      <vt:lpstr>Working with FIles</vt:lpstr>
      <vt:lpstr>Entering Editing Data</vt:lpstr>
      <vt:lpstr>Formatting</vt:lpstr>
      <vt:lpstr>Format Painter, Min Bar</vt:lpstr>
      <vt:lpstr>Basic Function</vt:lpstr>
      <vt:lpstr>Working with Region</vt:lpstr>
      <vt:lpstr>Basic Functions wih examples 1</vt:lpstr>
      <vt:lpstr>Basic Functions wih examples 2</vt:lpstr>
      <vt:lpstr>Mini Static Bar</vt:lpstr>
      <vt:lpstr>FIlter &amp; Sort Data</vt:lpstr>
      <vt:lpstr>Fill Handle - Auto Fill</vt:lpstr>
      <vt:lpstr>Operators</vt:lpstr>
      <vt:lpstr>Working with References</vt:lpstr>
      <vt:lpstr>Range Name</vt:lpstr>
      <vt:lpstr>Format as Table</vt:lpstr>
      <vt:lpstr>Text to Column</vt:lpstr>
      <vt:lpstr>Concatenate (Joining Text)</vt:lpstr>
      <vt:lpstr>Flash FIll</vt:lpstr>
      <vt:lpstr>Filling Empty Cells</vt:lpstr>
      <vt:lpstr>City</vt:lpstr>
      <vt:lpstr>Invoice_Date</vt:lpstr>
      <vt:lpstr>Product</vt:lpstr>
      <vt:lpstr>Region</vt:lpstr>
      <vt:lpstr>Revenue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Jahangir Sachwani</dc:creator>
  <cp:keywords/>
  <dc:description/>
  <cp:lastModifiedBy>Zain ul Abidin</cp:lastModifiedBy>
  <cp:revision/>
  <dcterms:created xsi:type="dcterms:W3CDTF">2020-04-14T06:07:09Z</dcterms:created>
  <dcterms:modified xsi:type="dcterms:W3CDTF">2026-07-02T07:12:46Z</dcterms:modified>
  <cp:category/>
  <cp:contentStatus/>
</cp:coreProperties>
</file>