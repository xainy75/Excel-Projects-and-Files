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7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13_ncr:81_{27DF2EC2-C452-4374-A65E-BA5C2099F7AF}" xr6:coauthVersionLast="47" xr6:coauthVersionMax="47" xr10:uidLastSave="{00000000-0000-0000-0000-000000000000}"/>
  <workbookProtection lockRevision="1"/>
  <bookViews>
    <workbookView xWindow="-110" yWindow="-110" windowWidth="19420" windowHeight="12220" xr2:uid="{25ABED6B-DD44-4E9E-BC3D-1FBDE3043036}"/>
  </bookViews>
  <sheets>
    <sheet name="Data" sheetId="1" r:id="rId1"/>
    <sheet name="Assumptions" sheetId="2" state="hidden" r:id="rId2"/>
    <sheet name="Projections" sheetId="3" state="hidden" r:id="rId3"/>
  </sheets>
  <definedNames>
    <definedName name="_xlnm.Print_Titles" localSheetId="0">Data!$A:$A</definedName>
    <definedName name="Z_81C86EE1_3741_4662_B536_3BDC7FB35189_.wvu.PrintTitles" localSheetId="0" hidden="1">Data!$A:$A</definedName>
    <definedName name="Z_AE405AD3_2B5D_473C_B6E3_B8F95182E144_.wvu.PrintTitles" localSheetId="0" hidden="1">Data!$A:$A</definedName>
    <definedName name="Z_DC8650F1_8D9D_4288_875F_ACD1ACB78044_.wvu.PrintTitles" localSheetId="0" hidden="1">Data!$A:$A</definedName>
    <definedName name="Z_EDE4B163_C055_435E_AF61_4F1A1BAC1E65_.wvu.PrintTitles" localSheetId="0" hidden="1">Data!$A:$A</definedName>
  </definedNames>
  <calcPr calcId="191029"/>
  <customWorkbookViews>
    <customWorkbookView name="User - Personal View" guid="{DC8650F1-8D9D-4288-875F-ACD1ACB78044}" mergeInterval="0" personalView="1" maximized="1" xWindow="-11" yWindow="-11" windowWidth="1942" windowHeight="1222" activeSheetId="1"/>
    <customWorkbookView name="Dall - Personal View" guid="{AE405AD3-2B5D-473C-B6E3-B8F95182E144}" mergeInterval="0" personalView="1" maximized="1" windowWidth="1276" windowHeight="600" activeSheetId="1" showComments="commIndAndComment"/>
    <customWorkbookView name="turing - Personal View" guid="{81C86EE1-3741-4662-B536-3BDC7FB35189}" mergeInterval="0" personalView="1" maximized="1" xWindow="1" yWindow="1" windowWidth="1020" windowHeight="548" activeSheetId="1"/>
    <customWorkbookView name="Jahangir Sachwani - Personal View" guid="{EDE4B163-C055-435E-AF61-4F1A1BAC1E65}" mergeInterval="0" personalView="1" maximized="1" xWindow="-9" yWindow="-9" windowWidth="1938" windowHeight="103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B6" i="1"/>
  <c r="C6" i="1"/>
  <c r="D6" i="1"/>
  <c r="D8" i="1" s="1"/>
  <c r="D15" i="1" s="1"/>
  <c r="E6" i="1"/>
  <c r="E8" i="1" s="1"/>
  <c r="E15" i="1" s="1"/>
  <c r="F6" i="1"/>
  <c r="F8" i="1" s="1"/>
  <c r="F15" i="1" s="1"/>
  <c r="G6" i="1"/>
  <c r="G8" i="1" s="1"/>
  <c r="G15" i="1" s="1"/>
  <c r="H6" i="1"/>
  <c r="H8" i="1" s="1"/>
  <c r="H15" i="1" s="1"/>
  <c r="H16" i="1" s="1"/>
  <c r="I6" i="1"/>
  <c r="I8" i="1" s="1"/>
  <c r="I15" i="1" s="1"/>
  <c r="I16" i="1" s="1"/>
  <c r="J6" i="1"/>
  <c r="K6" i="1"/>
  <c r="L6" i="1"/>
  <c r="M6" i="1"/>
  <c r="M8" i="1" s="1"/>
  <c r="M15" i="1" s="1"/>
  <c r="B8" i="1"/>
  <c r="B15" i="1" s="1"/>
  <c r="C8" i="1"/>
  <c r="J8" i="1"/>
  <c r="J15" i="1" s="1"/>
  <c r="J16" i="1" s="1"/>
  <c r="K8" i="1"/>
  <c r="K15" i="1" s="1"/>
  <c r="K16" i="1" s="1"/>
  <c r="L8" i="1"/>
  <c r="L15" i="1" s="1"/>
  <c r="L16" i="1" s="1"/>
  <c r="N9" i="1"/>
  <c r="N10" i="1"/>
  <c r="N11" i="1"/>
  <c r="N12" i="1"/>
  <c r="N13" i="1"/>
  <c r="N14" i="1"/>
  <c r="C15" i="1"/>
  <c r="C16" i="1" s="1"/>
  <c r="N6" i="1" l="1"/>
  <c r="D16" i="1"/>
  <c r="N15" i="1"/>
  <c r="B16" i="1"/>
  <c r="G16" i="1"/>
  <c r="F16" i="1"/>
  <c r="N8" i="1"/>
  <c r="M16" i="1"/>
  <c r="E16" i="1"/>
  <c r="N16" i="1" l="1"/>
</calcChain>
</file>

<file path=xl/sharedStrings.xml><?xml version="1.0" encoding="utf-8"?>
<sst xmlns="http://schemas.openxmlformats.org/spreadsheetml/2006/main" count="27" uniqueCount="27">
  <si>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</si>
  <si>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</si>
  <si>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</si>
  <si>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</si>
  <si>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</si>
  <si>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</si>
  <si>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</si>
  <si>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</si>
  <si>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</si>
  <si>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</si>
  <si>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</si>
  <si>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</si>
  <si>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</si>
  <si>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Sales</t>
  </si>
  <si>
    <t>Books</t>
  </si>
  <si>
    <t>CD-ROMs</t>
  </si>
  <si>
    <t>SALES TOTAL</t>
  </si>
  <si>
    <t>Expenses</t>
  </si>
  <si>
    <t>Cost of Goods</t>
  </si>
  <si>
    <t>Advertising</t>
  </si>
  <si>
    <t>Rent</t>
  </si>
  <si>
    <t>Supplies</t>
  </si>
  <si>
    <t>Salaries</t>
  </si>
  <si>
    <t>Shipping</t>
  </si>
  <si>
    <t>Utilities</t>
  </si>
  <si>
    <t>EXPENSES TOTAL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</si>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</sst>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0" xfId="0" applyNumberFormat="1" applyFont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left"/>
    </xf>
    <xf numFmtId="3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0" fillId="2" borderId="1" xfId="0" applyNumberFormat="1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usernames" Target="revisions/userNam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4D418AF-59EA-449F-9659-91A141611CA9}" diskRevisions="1" revisionId="91" version="7" protected="1">
  <header guid="{75FBFA69-91B2-4181-A2C2-385D4BD442E8}" dateTime="2010-04-10T11:33:09" maxSheetId="4" userName="turing" r:id="rId1">
    <sheetIdMap count="3">
      <sheetId val="1"/>
      <sheetId val="2"/>
      <sheetId val="3"/>
    </sheetIdMap>
  </header>
  <header guid="{14777747-0842-45C6-8111-1E9098DA38F8}" dateTime="2025-08-20T01:18:38" maxSheetId="4" userName="Jahangir Sachwani" r:id="rId2">
    <sheetIdMap count="3">
      <sheetId val="1"/>
      <sheetId val="2"/>
      <sheetId val="3"/>
    </sheetIdMap>
  </header>
  <header guid="{2EF6C03A-C06E-4FB8-B73B-3F62833F6521}" dateTime="2025-08-20T01:20:15" maxSheetId="4" userName="Jahangir Sachwani" r:id="rId3" minRId="40" maxRId="87">
    <sheetIdMap count="3">
      <sheetId val="1"/>
      <sheetId val="2"/>
      <sheetId val="3"/>
    </sheetIdMap>
  </header>
  <header guid="{C43131AE-8C6C-4285-9821-B43FD6A869A6}" dateTime="2025-08-20T01:20:27" maxSheetId="4" userName="Jahangir Sachwani" r:id="rId4">
    <sheetIdMap count="3">
      <sheetId val="1"/>
      <sheetId val="2"/>
      <sheetId val="3"/>
    </sheetIdMap>
  </header>
  <header guid="{8197C22A-8796-48D2-B28B-4BC1242E2F1F}" dateTime="2025-08-20T01:20:32" maxSheetId="4" userName="Jahangir Sachwani" r:id="rId5" minRId="89">
    <sheetIdMap count="3">
      <sheetId val="1"/>
      <sheetId val="2"/>
      <sheetId val="3"/>
    </sheetIdMap>
  </header>
  <header guid="{5DC8C59C-9100-4446-87FB-090FE28AC211}" dateTime="2025-08-20T01:23:45" maxSheetId="4" userName="Jahangir Sachwani" r:id="rId6">
    <sheetIdMap count="3">
      <sheetId val="1"/>
      <sheetId val="2"/>
      <sheetId val="3"/>
    </sheetIdMap>
  </header>
  <header guid="{44D418AF-59EA-449F-9659-91A141611CA9}" dateTime="2026-07-02T21:26:08" maxSheetId="4" userName="User" r:id="rId7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81C86EE1_3741_4662_B536_3BDC7FB35189_.wvu.PrintTitles" hidden="1" oldHidden="1">
    <formula>Details!$A:$A</formula>
  </rdn>
  <rcv guid="{81C86EE1-3741-4662-B536-3BDC7FB35189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EDE4B163_C055_435E_AF61_4F1A1BAC1E65_.wvu.PrintTitles" hidden="1" oldHidden="1">
    <formula>Details!$A:$A</formula>
  </rdn>
  <rcv guid="{EDE4B163-C055-435E-AF61-4F1A1BAC1E65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" sId="1" numFmtId="4">
    <oc r="T8">
      <v>1.03</v>
    </oc>
    <nc r="T8"/>
  </rcc>
  <rcc rId="41" sId="1" numFmtId="4">
    <oc r="U8">
      <v>1.03</v>
    </oc>
    <nc r="U8"/>
  </rcc>
  <rcc rId="42" sId="1" numFmtId="4">
    <oc r="V8">
      <v>1.03</v>
    </oc>
    <nc r="V8"/>
  </rcc>
  <rcc rId="43" sId="1" numFmtId="4">
    <oc r="W8">
      <v>1.03</v>
    </oc>
    <nc r="W8"/>
  </rcc>
  <rcc rId="44" sId="1" numFmtId="4">
    <oc r="X8">
      <v>1.03</v>
    </oc>
    <nc r="X8"/>
  </rcc>
  <rcc rId="45" sId="1" numFmtId="4">
    <oc r="Y8">
      <v>1.03</v>
    </oc>
    <nc r="Y8"/>
  </rcc>
  <rcc rId="46" sId="1" numFmtId="4">
    <oc r="Z8">
      <v>1.03</v>
    </oc>
    <nc r="Z8"/>
  </rcc>
  <rcc rId="47" sId="1" numFmtId="4">
    <oc r="AA8">
      <v>1.03</v>
    </oc>
    <nc r="AA8"/>
  </rcc>
  <rcc rId="48" sId="1" numFmtId="4">
    <oc r="T9">
      <v>1.03</v>
    </oc>
    <nc r="T9"/>
  </rcc>
  <rcc rId="49" sId="1" numFmtId="4">
    <oc r="U9">
      <v>1.03</v>
    </oc>
    <nc r="U9"/>
  </rcc>
  <rcc rId="50" sId="1" numFmtId="4">
    <oc r="V9">
      <v>1.03</v>
    </oc>
    <nc r="V9"/>
  </rcc>
  <rcc rId="51" sId="1" numFmtId="4">
    <oc r="W9">
      <v>1.03</v>
    </oc>
    <nc r="W9"/>
  </rcc>
  <rcc rId="52" sId="1" numFmtId="4">
    <oc r="X9">
      <v>1.03</v>
    </oc>
    <nc r="X9"/>
  </rcc>
  <rcc rId="53" sId="1" numFmtId="4">
    <oc r="Y9">
      <v>1.03</v>
    </oc>
    <nc r="Y9"/>
  </rcc>
  <rcc rId="54" sId="1" numFmtId="4">
    <oc r="Z9">
      <v>1.03</v>
    </oc>
    <nc r="Z9"/>
  </rcc>
  <rcc rId="55" sId="1" numFmtId="4">
    <oc r="AA9">
      <v>1.03</v>
    </oc>
    <nc r="AA9"/>
  </rcc>
  <rcc rId="56" sId="1" numFmtId="4">
    <oc r="T10">
      <v>1.03</v>
    </oc>
    <nc r="T10"/>
  </rcc>
  <rcc rId="57" sId="1" numFmtId="4">
    <oc r="U10">
      <v>1.03</v>
    </oc>
    <nc r="U10"/>
  </rcc>
  <rcc rId="58" sId="1" numFmtId="4">
    <oc r="V10">
      <v>1.03</v>
    </oc>
    <nc r="V10"/>
  </rcc>
  <rcc rId="59" sId="1" numFmtId="4">
    <oc r="W10">
      <v>1.03</v>
    </oc>
    <nc r="W10"/>
  </rcc>
  <rcc rId="60" sId="1" numFmtId="4">
    <oc r="X10">
      <v>1.03</v>
    </oc>
    <nc r="X10"/>
  </rcc>
  <rcc rId="61" sId="1" numFmtId="4">
    <oc r="Y10">
      <v>1.03</v>
    </oc>
    <nc r="Y10"/>
  </rcc>
  <rcc rId="62" sId="1" numFmtId="4">
    <oc r="Z10">
      <v>1.03</v>
    </oc>
    <nc r="Z10"/>
  </rcc>
  <rcc rId="63" sId="1" numFmtId="4">
    <oc r="AA10">
      <v>1.03</v>
    </oc>
    <nc r="AA10"/>
  </rcc>
  <rcc rId="64" sId="1" numFmtId="4">
    <oc r="T11">
      <v>1.03</v>
    </oc>
    <nc r="T11"/>
  </rcc>
  <rcc rId="65" sId="1" numFmtId="4">
    <oc r="U11">
      <v>1.03</v>
    </oc>
    <nc r="U11"/>
  </rcc>
  <rcc rId="66" sId="1" numFmtId="4">
    <oc r="V11">
      <v>1.03</v>
    </oc>
    <nc r="V11"/>
  </rcc>
  <rcc rId="67" sId="1" numFmtId="4">
    <oc r="W11">
      <v>1.03</v>
    </oc>
    <nc r="W11"/>
  </rcc>
  <rcc rId="68" sId="1" numFmtId="4">
    <oc r="X11">
      <v>1.03</v>
    </oc>
    <nc r="X11"/>
  </rcc>
  <rcc rId="69" sId="1" numFmtId="4">
    <oc r="Y11">
      <v>1.03</v>
    </oc>
    <nc r="Y11"/>
  </rcc>
  <rcc rId="70" sId="1" numFmtId="4">
    <oc r="Z11">
      <v>1.03</v>
    </oc>
    <nc r="Z11"/>
  </rcc>
  <rcc rId="71" sId="1" numFmtId="4">
    <oc r="AA11">
      <v>1.03</v>
    </oc>
    <nc r="AA11"/>
  </rcc>
  <rcc rId="72" sId="1" numFmtId="4">
    <oc r="T12">
      <v>1.03</v>
    </oc>
    <nc r="T12"/>
  </rcc>
  <rcc rId="73" sId="1" numFmtId="4">
    <oc r="U12">
      <v>1.03</v>
    </oc>
    <nc r="U12"/>
  </rcc>
  <rcc rId="74" sId="1" numFmtId="4">
    <oc r="V12">
      <v>1.03</v>
    </oc>
    <nc r="V12"/>
  </rcc>
  <rcc rId="75" sId="1" numFmtId="4">
    <oc r="W12">
      <v>1.03</v>
    </oc>
    <nc r="W12"/>
  </rcc>
  <rcc rId="76" sId="1" numFmtId="4">
    <oc r="X12">
      <v>1.03</v>
    </oc>
    <nc r="X12"/>
  </rcc>
  <rcc rId="77" sId="1" numFmtId="4">
    <oc r="Y12">
      <v>1.03</v>
    </oc>
    <nc r="Y12"/>
  </rcc>
  <rcc rId="78" sId="1" numFmtId="4">
    <oc r="Z12">
      <v>1.03</v>
    </oc>
    <nc r="Z12"/>
  </rcc>
  <rcc rId="79" sId="1" numFmtId="4">
    <oc r="AA12">
      <v>1.03</v>
    </oc>
    <nc r="AA12"/>
  </rcc>
  <rcc rId="80" sId="1" numFmtId="4">
    <oc r="T13">
      <v>1.03</v>
    </oc>
    <nc r="T13"/>
  </rcc>
  <rcc rId="81" sId="1" numFmtId="4">
    <oc r="U13">
      <v>1.03</v>
    </oc>
    <nc r="U13"/>
  </rcc>
  <rcc rId="82" sId="1" numFmtId="4">
    <oc r="V13">
      <v>1.03</v>
    </oc>
    <nc r="V13"/>
  </rcc>
  <rcc rId="83" sId="1" numFmtId="4">
    <oc r="W13">
      <v>1.03</v>
    </oc>
    <nc r="W13"/>
  </rcc>
  <rcc rId="84" sId="1" numFmtId="4">
    <oc r="X13">
      <v>1.03</v>
    </oc>
    <nc r="X13"/>
  </rcc>
  <rcc rId="85" sId="1" numFmtId="4">
    <oc r="Y13">
      <v>1.03</v>
    </oc>
    <nc r="Y13"/>
  </rcc>
  <rcc rId="86" sId="1" numFmtId="4">
    <oc r="Z13">
      <v>1.03</v>
    </oc>
    <nc r="Z13"/>
  </rcc>
  <rcc rId="87" sId="1" numFmtId="4">
    <oc r="AA13">
      <v>1.03</v>
    </oc>
    <nc r="AA13"/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DE4B163-C055-435E-AF61-4F1A1BAC1E65}" action="delete"/>
  <rdn rId="0" localSheetId="1" customView="1" name="Z_EDE4B163_C055_435E_AF61_4F1A1BAC1E65_.wvu.PrintTitles" hidden="1" oldHidden="1">
    <formula>Details!$A:$A</formula>
    <oldFormula>Details!$A:$A</oldFormula>
  </rdn>
  <rcv guid="{EDE4B163-C055-435E-AF61-4F1A1BAC1E65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snm rId="89" sheetId="1" oldName="[Division B Budget.xlsx]Details" newName="[Division B Budget.xlsx]Data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DE4B163-C055-435E-AF61-4F1A1BAC1E65}" action="delete"/>
  <rdn rId="0" localSheetId="1" customView="1" name="Z_EDE4B163_C055_435E_AF61_4F1A1BAC1E65_.wvu.PrintTitles" hidden="1" oldHidden="1">
    <formula>Data!$A:$A</formula>
    <oldFormula>Data!$A:$A</oldFormula>
  </rdn>
  <rcv guid="{EDE4B163-C055-435E-AF61-4F1A1BAC1E65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DC8650F1_8D9D_4288_875F_ACD1ACB78044_.wvu.PrintTitles" hidden="1" oldHidden="1">
    <formula>Data!$A:$A</formula>
  </rdn>
  <rcv guid="{DC8650F1-8D9D-4288-875F-ACD1ACB78044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75FBFA69-91B2-4181-A2C2-385D4BD442E8}" name="Jahangir Sachwani" id="-307587637" dateTime="2025-08-20T01:18:38"/>
  <userInfo guid="{8197C22A-8796-48D2-B28B-4BC1242E2F1F}" name="Jahangir Sachwani" id="-307583862" dateTime="2025-08-20T01:19:39"/>
  <userInfo guid="{5DC8C59C-9100-4446-87FB-090FE28AC211}" name="Jahangir Sachwani" id="-307570092" dateTime="2025-08-20T01:23:19"/>
</us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2A1B-01F4-4D1A-B54B-E32E9CB25E39}">
  <sheetPr>
    <pageSetUpPr fitToPage="1"/>
  </sheetPr>
  <dimension ref="A2:AA16"/>
  <sheetViews>
    <sheetView showGridLines="0" tabSelected="1" topLeftCell="A2" zoomScale="120" zoomScaleNormal="120" workbookViewId="0">
      <pane xSplit="1" ySplit="1" topLeftCell="B3" activePane="bottomRight" state="frozenSplit"/>
      <selection activeCell="A2" sqref="A2"/>
      <selection pane="topRight" activeCell="B2" sqref="B2"/>
      <selection pane="bottomLeft" activeCell="A3" sqref="A3"/>
      <selection pane="bottomRight" activeCell="A2" sqref="A2"/>
    </sheetView>
  </sheetViews>
  <sheetFormatPr defaultColWidth="9.08984375" defaultRowHeight="13" x14ac:dyDescent="0.3"/>
  <cols>
    <col min="1" max="1" width="17.54296875" style="7" customWidth="1"/>
    <col min="2" max="16384" width="9.08984375" style="4"/>
  </cols>
  <sheetData>
    <row r="2" spans="1:27" s="1" customFormat="1" x14ac:dyDescent="0.3">
      <c r="A2" s="5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3" t="s">
        <v>12</v>
      </c>
    </row>
    <row r="3" spans="1:27" ht="14.25" customHeight="1" x14ac:dyDescent="0.35">
      <c r="A3" s="6" t="s">
        <v>13</v>
      </c>
      <c r="N3" s="9"/>
      <c r="P3"/>
      <c r="Q3"/>
      <c r="R3"/>
      <c r="S3"/>
      <c r="T3"/>
      <c r="U3"/>
      <c r="V3"/>
      <c r="W3"/>
      <c r="X3"/>
      <c r="Y3"/>
      <c r="Z3"/>
      <c r="AA3"/>
    </row>
    <row r="4" spans="1:27" x14ac:dyDescent="0.3">
      <c r="A4" s="7" t="s">
        <v>14</v>
      </c>
      <c r="B4" s="4">
        <v>24700</v>
      </c>
      <c r="C4" s="4">
        <v>24250</v>
      </c>
      <c r="D4" s="4">
        <v>25000</v>
      </c>
      <c r="E4" s="4">
        <v>26500</v>
      </c>
      <c r="F4" s="4">
        <v>26250</v>
      </c>
      <c r="G4" s="4">
        <v>26670</v>
      </c>
      <c r="H4" s="4">
        <v>27300</v>
      </c>
      <c r="I4" s="4">
        <v>25200</v>
      </c>
      <c r="J4" s="4">
        <v>25200</v>
      </c>
      <c r="K4" s="4">
        <v>27300</v>
      </c>
      <c r="L4" s="4">
        <v>25200</v>
      </c>
      <c r="M4" s="4">
        <v>25200</v>
      </c>
      <c r="N4" s="10">
        <f>SUM(B4:M4)</f>
        <v>308770</v>
      </c>
      <c r="P4"/>
      <c r="Q4"/>
      <c r="R4"/>
      <c r="S4"/>
      <c r="T4"/>
      <c r="U4"/>
      <c r="V4"/>
      <c r="W4"/>
      <c r="X4"/>
      <c r="Y4"/>
      <c r="Z4"/>
      <c r="AA4"/>
    </row>
    <row r="5" spans="1:27" x14ac:dyDescent="0.3">
      <c r="A5" s="7" t="s">
        <v>15</v>
      </c>
      <c r="B5" s="4">
        <v>25620</v>
      </c>
      <c r="C5" s="4">
        <v>25200</v>
      </c>
      <c r="D5" s="4">
        <v>26512.5</v>
      </c>
      <c r="E5" s="4">
        <v>27930</v>
      </c>
      <c r="F5" s="4">
        <v>28350</v>
      </c>
      <c r="G5" s="4">
        <v>28087.5</v>
      </c>
      <c r="H5" s="4">
        <v>28350</v>
      </c>
      <c r="I5" s="4">
        <v>26512.5</v>
      </c>
      <c r="J5" s="4">
        <v>26512.5</v>
      </c>
      <c r="K5" s="4">
        <v>29400</v>
      </c>
      <c r="L5" s="4">
        <v>26512.5</v>
      </c>
      <c r="M5" s="4">
        <v>26512.5</v>
      </c>
      <c r="N5" s="10">
        <f>SUM(B5:M5)</f>
        <v>325500</v>
      </c>
      <c r="P5"/>
      <c r="Q5"/>
      <c r="R5"/>
      <c r="S5"/>
      <c r="T5"/>
      <c r="U5"/>
      <c r="V5"/>
      <c r="W5"/>
      <c r="X5"/>
      <c r="Y5"/>
      <c r="Z5"/>
      <c r="AA5"/>
    </row>
    <row r="6" spans="1:27" x14ac:dyDescent="0.3">
      <c r="A6" s="5" t="s">
        <v>16</v>
      </c>
      <c r="B6" s="8">
        <f>SUM(B4:B5)</f>
        <v>50320</v>
      </c>
      <c r="C6" s="8">
        <f t="shared" ref="C6:M6" si="0">SUM(C4:C5)</f>
        <v>49450</v>
      </c>
      <c r="D6" s="8">
        <f t="shared" si="0"/>
        <v>51512.5</v>
      </c>
      <c r="E6" s="8">
        <f t="shared" si="0"/>
        <v>54430</v>
      </c>
      <c r="F6" s="8">
        <f t="shared" si="0"/>
        <v>54600</v>
      </c>
      <c r="G6" s="8">
        <f t="shared" si="0"/>
        <v>54757.5</v>
      </c>
      <c r="H6" s="8">
        <f t="shared" si="0"/>
        <v>55650</v>
      </c>
      <c r="I6" s="8">
        <f t="shared" si="0"/>
        <v>51712.5</v>
      </c>
      <c r="J6" s="8">
        <f t="shared" si="0"/>
        <v>51712.5</v>
      </c>
      <c r="K6" s="8">
        <f t="shared" si="0"/>
        <v>56700</v>
      </c>
      <c r="L6" s="8">
        <f t="shared" si="0"/>
        <v>51712.5</v>
      </c>
      <c r="M6" s="8">
        <f t="shared" si="0"/>
        <v>51712.5</v>
      </c>
      <c r="N6" s="11">
        <f>SUM(B6:M6)</f>
        <v>634270</v>
      </c>
      <c r="P6"/>
      <c r="Q6"/>
      <c r="R6"/>
      <c r="S6"/>
      <c r="T6"/>
      <c r="U6"/>
      <c r="V6"/>
      <c r="W6"/>
      <c r="X6"/>
      <c r="Y6"/>
      <c r="Z6"/>
      <c r="AA6"/>
    </row>
    <row r="7" spans="1:27" ht="15.5" x14ac:dyDescent="0.35">
      <c r="A7" s="6" t="s">
        <v>17</v>
      </c>
      <c r="N7" s="10"/>
      <c r="P7"/>
      <c r="Q7"/>
      <c r="R7"/>
      <c r="S7"/>
      <c r="T7"/>
      <c r="U7"/>
      <c r="V7"/>
      <c r="W7"/>
      <c r="X7"/>
      <c r="Y7"/>
      <c r="Z7"/>
      <c r="AA7"/>
    </row>
    <row r="8" spans="1:27" x14ac:dyDescent="0.3">
      <c r="A8" s="7" t="s">
        <v>18</v>
      </c>
      <c r="B8" s="4">
        <f t="shared" ref="B8:M8" si="1">B6*0.08</f>
        <v>4025.6</v>
      </c>
      <c r="C8" s="4">
        <f t="shared" si="1"/>
        <v>3956</v>
      </c>
      <c r="D8" s="4">
        <f t="shared" si="1"/>
        <v>4121</v>
      </c>
      <c r="E8" s="4">
        <f t="shared" si="1"/>
        <v>4354.3999999999996</v>
      </c>
      <c r="F8" s="4">
        <f t="shared" si="1"/>
        <v>4368</v>
      </c>
      <c r="G8" s="4">
        <f t="shared" si="1"/>
        <v>4380.6000000000004</v>
      </c>
      <c r="H8" s="4">
        <f t="shared" si="1"/>
        <v>4452</v>
      </c>
      <c r="I8" s="4">
        <f t="shared" si="1"/>
        <v>4137</v>
      </c>
      <c r="J8" s="4">
        <f t="shared" si="1"/>
        <v>4137</v>
      </c>
      <c r="K8" s="4">
        <f t="shared" si="1"/>
        <v>4536</v>
      </c>
      <c r="L8" s="4">
        <f t="shared" si="1"/>
        <v>4137</v>
      </c>
      <c r="M8" s="4">
        <f t="shared" si="1"/>
        <v>4137</v>
      </c>
      <c r="N8" s="10">
        <f>SUM(B8:M8)</f>
        <v>50741.599999999999</v>
      </c>
    </row>
    <row r="9" spans="1:27" x14ac:dyDescent="0.3">
      <c r="A9" s="7" t="s">
        <v>19</v>
      </c>
      <c r="B9" s="4">
        <v>4738</v>
      </c>
      <c r="C9" s="4">
        <v>4326</v>
      </c>
      <c r="D9" s="4">
        <v>5356</v>
      </c>
      <c r="E9" s="4">
        <v>5150</v>
      </c>
      <c r="F9" s="4">
        <v>5665</v>
      </c>
      <c r="G9" s="4">
        <v>5407.5</v>
      </c>
      <c r="H9" s="4">
        <v>5665</v>
      </c>
      <c r="I9" s="4">
        <v>5356</v>
      </c>
      <c r="J9" s="4">
        <v>5356</v>
      </c>
      <c r="K9" s="4">
        <v>4635</v>
      </c>
      <c r="L9" s="4">
        <v>5356</v>
      </c>
      <c r="M9" s="4">
        <v>5356</v>
      </c>
      <c r="N9" s="10">
        <f t="shared" ref="N9:N14" si="2">SUM(B9:M9)</f>
        <v>62366.5</v>
      </c>
    </row>
    <row r="10" spans="1:27" x14ac:dyDescent="0.3">
      <c r="A10" s="7" t="s">
        <v>20</v>
      </c>
      <c r="B10" s="4">
        <v>2163</v>
      </c>
      <c r="C10" s="4">
        <v>2163</v>
      </c>
      <c r="D10" s="4">
        <v>2163</v>
      </c>
      <c r="E10" s="4">
        <v>2163</v>
      </c>
      <c r="F10" s="4">
        <v>2163</v>
      </c>
      <c r="G10" s="4">
        <v>2163</v>
      </c>
      <c r="H10" s="4">
        <v>2163</v>
      </c>
      <c r="I10" s="4">
        <v>2163</v>
      </c>
      <c r="J10" s="4">
        <v>2163</v>
      </c>
      <c r="K10" s="4">
        <v>2163</v>
      </c>
      <c r="L10" s="4">
        <v>2163</v>
      </c>
      <c r="M10" s="4">
        <v>2163</v>
      </c>
      <c r="N10" s="10">
        <f t="shared" si="2"/>
        <v>25956</v>
      </c>
    </row>
    <row r="11" spans="1:27" x14ac:dyDescent="0.3">
      <c r="A11" s="7" t="s">
        <v>21</v>
      </c>
      <c r="B11" s="4">
        <v>1339</v>
      </c>
      <c r="C11" s="4">
        <v>1236</v>
      </c>
      <c r="D11" s="4">
        <v>1442</v>
      </c>
      <c r="E11" s="4">
        <v>1339</v>
      </c>
      <c r="F11" s="4">
        <v>1287.5</v>
      </c>
      <c r="G11" s="4">
        <v>1442</v>
      </c>
      <c r="H11" s="4">
        <v>1339</v>
      </c>
      <c r="I11" s="4">
        <v>1442</v>
      </c>
      <c r="J11" s="4">
        <v>1442</v>
      </c>
      <c r="K11" s="4">
        <v>1287.5</v>
      </c>
      <c r="L11" s="4">
        <v>1390.5</v>
      </c>
      <c r="M11" s="4">
        <v>1442</v>
      </c>
      <c r="N11" s="10">
        <f t="shared" si="2"/>
        <v>16428.5</v>
      </c>
    </row>
    <row r="12" spans="1:27" x14ac:dyDescent="0.3">
      <c r="A12" s="7" t="s">
        <v>22</v>
      </c>
      <c r="B12" s="4">
        <v>16480</v>
      </c>
      <c r="C12" s="4">
        <v>16480</v>
      </c>
      <c r="D12" s="4">
        <v>16995</v>
      </c>
      <c r="E12" s="4">
        <v>16995</v>
      </c>
      <c r="F12" s="4">
        <v>16995</v>
      </c>
      <c r="G12" s="4">
        <v>17510</v>
      </c>
      <c r="H12" s="4">
        <v>17510</v>
      </c>
      <c r="I12" s="4">
        <v>17510</v>
      </c>
      <c r="J12" s="4">
        <v>17510</v>
      </c>
      <c r="K12" s="4">
        <v>17510</v>
      </c>
      <c r="L12" s="4">
        <v>18025</v>
      </c>
      <c r="M12" s="4">
        <v>18025</v>
      </c>
      <c r="N12" s="10">
        <f t="shared" si="2"/>
        <v>207545</v>
      </c>
    </row>
    <row r="13" spans="1:27" x14ac:dyDescent="0.3">
      <c r="A13" s="7" t="s">
        <v>23</v>
      </c>
      <c r="B13" s="4">
        <v>14677.5</v>
      </c>
      <c r="C13" s="4">
        <v>14162.5</v>
      </c>
      <c r="D13" s="4">
        <v>14935</v>
      </c>
      <c r="E13" s="4">
        <v>15450</v>
      </c>
      <c r="F13" s="4">
        <v>14935</v>
      </c>
      <c r="G13" s="4">
        <v>15192.5</v>
      </c>
      <c r="H13" s="4">
        <v>15450</v>
      </c>
      <c r="I13" s="4">
        <v>14935</v>
      </c>
      <c r="J13" s="4">
        <v>14935</v>
      </c>
      <c r="K13" s="4">
        <v>16222.5</v>
      </c>
      <c r="L13" s="4">
        <v>15707.5</v>
      </c>
      <c r="M13" s="4">
        <v>14935</v>
      </c>
      <c r="N13" s="10">
        <f t="shared" si="2"/>
        <v>181537.5</v>
      </c>
    </row>
    <row r="14" spans="1:27" x14ac:dyDescent="0.3">
      <c r="A14" s="7" t="s">
        <v>24</v>
      </c>
      <c r="B14" s="4">
        <v>515</v>
      </c>
      <c r="C14" s="4">
        <v>618</v>
      </c>
      <c r="D14" s="4">
        <v>618</v>
      </c>
      <c r="E14" s="4">
        <v>566.5</v>
      </c>
      <c r="F14" s="4">
        <v>618</v>
      </c>
      <c r="G14" s="4">
        <v>669.5</v>
      </c>
      <c r="H14" s="4">
        <v>669.5</v>
      </c>
      <c r="I14" s="4">
        <v>618</v>
      </c>
      <c r="J14" s="4">
        <v>618</v>
      </c>
      <c r="K14" s="4">
        <v>669.5</v>
      </c>
      <c r="L14" s="4">
        <v>618</v>
      </c>
      <c r="M14" s="4">
        <v>618</v>
      </c>
      <c r="N14" s="10">
        <f t="shared" si="2"/>
        <v>7416</v>
      </c>
    </row>
    <row r="15" spans="1:27" x14ac:dyDescent="0.3">
      <c r="A15" s="5" t="s">
        <v>25</v>
      </c>
      <c r="B15" s="8">
        <f t="shared" ref="B15:M15" si="3">SUM(B8:B14)</f>
        <v>43938.1</v>
      </c>
      <c r="C15" s="8">
        <f t="shared" si="3"/>
        <v>42941.5</v>
      </c>
      <c r="D15" s="8">
        <f t="shared" si="3"/>
        <v>45630</v>
      </c>
      <c r="E15" s="8">
        <f t="shared" si="3"/>
        <v>46017.9</v>
      </c>
      <c r="F15" s="8">
        <f t="shared" si="3"/>
        <v>46031.5</v>
      </c>
      <c r="G15" s="8">
        <f t="shared" si="3"/>
        <v>46765.1</v>
      </c>
      <c r="H15" s="8">
        <f t="shared" si="3"/>
        <v>47248.5</v>
      </c>
      <c r="I15" s="8">
        <f t="shared" si="3"/>
        <v>46161</v>
      </c>
      <c r="J15" s="8">
        <f t="shared" si="3"/>
        <v>46161</v>
      </c>
      <c r="K15" s="8">
        <f t="shared" si="3"/>
        <v>47023.5</v>
      </c>
      <c r="L15" s="8">
        <f t="shared" si="3"/>
        <v>47397</v>
      </c>
      <c r="M15" s="8">
        <f t="shared" si="3"/>
        <v>46676</v>
      </c>
      <c r="N15" s="11">
        <f>SUM(B15:M15)</f>
        <v>551991.1</v>
      </c>
    </row>
    <row r="16" spans="1:27" x14ac:dyDescent="0.3">
      <c r="A16" s="5" t="s">
        <v>26</v>
      </c>
      <c r="B16" s="8">
        <f t="shared" ref="B16:M16" si="4">B6-B15</f>
        <v>6381.9000000000015</v>
      </c>
      <c r="C16" s="8">
        <f t="shared" si="4"/>
        <v>6508.5</v>
      </c>
      <c r="D16" s="8">
        <f t="shared" si="4"/>
        <v>5882.5</v>
      </c>
      <c r="E16" s="8">
        <f t="shared" si="4"/>
        <v>8412.0999999999985</v>
      </c>
      <c r="F16" s="8">
        <f t="shared" si="4"/>
        <v>8568.5</v>
      </c>
      <c r="G16" s="8">
        <f t="shared" si="4"/>
        <v>7992.4000000000015</v>
      </c>
      <c r="H16" s="8">
        <f t="shared" si="4"/>
        <v>8401.5</v>
      </c>
      <c r="I16" s="8">
        <f t="shared" si="4"/>
        <v>5551.5</v>
      </c>
      <c r="J16" s="8">
        <f t="shared" si="4"/>
        <v>5551.5</v>
      </c>
      <c r="K16" s="8">
        <f t="shared" si="4"/>
        <v>9676.5</v>
      </c>
      <c r="L16" s="8">
        <f t="shared" si="4"/>
        <v>4315.5</v>
      </c>
      <c r="M16" s="8">
        <f t="shared" si="4"/>
        <v>5036.5</v>
      </c>
      <c r="N16" s="11">
        <f>SUM(B16:M16)</f>
        <v>82278.899999999994</v>
      </c>
    </row>
  </sheetData>
  <dataConsolidate/>
  <customSheetViews>
    <customSheetView guid="{DC8650F1-8D9D-4288-875F-ACD1ACB78044}" scale="120" showGridLines="0" fitToPage="1" topLeftCell="A2">
      <pane xSplit="1" ySplit="1" topLeftCell="B3" activePane="bottomRight" state="frozenSplit"/>
      <selection pane="bottomRight" activeCell="A2" sqref="A2"/>
      <pageMargins left="0.75" right="0.75" top="1" bottom="1" header="0.5" footer="0.5"/>
      <pageSetup scale="59" orientation="portrait" horizontalDpi="300" verticalDpi="300" r:id="rId1"/>
      <headerFooter alignWithMargins="0">
        <oddHeader>&amp;A</oddHeader>
        <oddFooter>Page &amp;P</oddFooter>
      </headerFooter>
    </customSheetView>
    <customSheetView guid="{AE405AD3-2B5D-473C-B6E3-B8F95182E144}" showPageBreaks="1" showGridLines="0" fitToPage="1" showRuler="0" topLeftCell="A2">
      <pane xSplit="1" ySplit="1" topLeftCell="B3" activePane="bottomRight" state="frozenSplit"/>
      <selection pane="bottomRight" activeCell="B3" sqref="B3"/>
      <pageMargins left="0.75" right="0.75" top="1" bottom="1" header="0.5" footer="0.5"/>
      <pageSetup scale="32" orientation="portrait" horizontalDpi="300" verticalDpi="300" r:id="rId2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81C86EE1-3741-4662-B536-3BDC7FB35189}" showGridLines="0" fitToPage="1" topLeftCell="A2">
      <pane xSplit="1" ySplit="1" topLeftCell="B3" activePane="bottomRight" state="frozenSplit"/>
      <selection pane="bottomRight" activeCell="B3" sqref="B3"/>
      <pageMargins left="0.75" right="0.75" top="1" bottom="1" header="0.5" footer="0.5"/>
      <pageSetup scale="32" orientation="portrait" horizontalDpi="300" verticalDpi="300" r:id="rId3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DE4B163-C055-435E-AF61-4F1A1BAC1E65}" scale="120" showPageBreaks="1" showGridLines="0" fitToPage="1" topLeftCell="A2">
      <pane xSplit="1" ySplit="1" topLeftCell="B3" activePane="bottomRight" state="frozenSplit"/>
      <selection pane="bottomRight" activeCell="A2" sqref="A2"/>
      <pageMargins left="0.75" right="0.75" top="1" bottom="1" header="0.5" footer="0.5"/>
      <pageSetup scale="59" orientation="portrait" horizontalDpi="300" verticalDpi="300" r:id="rId4"/>
      <headerFooter alignWithMargins="0">
        <oddHeader>&amp;A</oddHeader>
        <oddFooter>Page &amp;P</oddFooter>
      </headerFooter>
    </customSheetView>
  </customSheetViews>
  <phoneticPr fontId="0" type="noConversion"/>
  <printOptions gridLinesSet="0"/>
  <pageMargins left="0.75" right="0.75" top="1" bottom="1" header="0.5" footer="0.5"/>
  <pageSetup scale="59" orientation="portrait" horizontalDpi="300" verticalDpi="300" r:id="rId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04A6-69A6-4114-92FE-F25985D55FFC}">
  <dimension ref="A1"/>
  <sheetViews>
    <sheetView workbookViewId="0"/>
  </sheetViews>
  <sheetFormatPr defaultRowHeight="12.5" x14ac:dyDescent="0.25"/>
  <sheetData/>
  <customSheetViews>
    <customSheetView guid="{DC8650F1-8D9D-4288-875F-ACD1ACB78044}" state="hidden">
      <pageMargins left="0.75" right="0.75" top="1" bottom="1" header="0.5" footer="0.5"/>
      <printOptions gridLines="1"/>
      <headerFooter alignWithMargins="0">
        <oddHeader>&amp;A</oddHeader>
        <oddFooter>Page &amp;P</oddFooter>
      </headerFooter>
    </customSheetView>
    <customSheetView guid="{AE405AD3-2B5D-473C-B6E3-B8F95182E144}" showRuler="0">
      <pageMargins left="0.75" right="0.75" top="1" bottom="1" header="0.5" footer="0.5"/>
      <printOptions gridLines="1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81C86EE1-3741-4662-B536-3BDC7FB35189}">
      <pageMargins left="0.75" right="0.75" top="1" bottom="1" header="0.5" footer="0.5"/>
      <printOptions gridLines="1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DE4B163-C055-435E-AF61-4F1A1BAC1E65}" state="hidden">
      <pageMargins left="0.75" right="0.75" top="1" bottom="1" header="0.5" footer="0.5"/>
      <printOptions gridLines="1"/>
      <headerFooter alignWithMargins="0">
        <oddHeader>&amp;A</oddHeader>
        <oddFooter>Page &amp;P</oddFooter>
      </headerFooter>
    </customSheetView>
  </customSheetViews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D454-944E-4881-AB1C-DD78E6E247B8}">
  <dimension ref="A1"/>
  <sheetViews>
    <sheetView workbookViewId="0"/>
  </sheetViews>
  <sheetFormatPr defaultRowHeight="12.5" x14ac:dyDescent="0.25"/>
  <sheetData/>
  <customSheetViews>
    <customSheetView guid="{DC8650F1-8D9D-4288-875F-ACD1ACB78044}" state="hidden">
      <pageMargins left="0.75" right="0.75" top="1" bottom="1" header="0.5" footer="0.5"/>
      <printOptions gridLines="1"/>
      <headerFooter alignWithMargins="0">
        <oddHeader>&amp;A</oddHeader>
        <oddFooter>Page &amp;P</oddFooter>
      </headerFooter>
    </customSheetView>
    <customSheetView guid="{AE405AD3-2B5D-473C-B6E3-B8F95182E144}" showRuler="0">
      <pageMargins left="0.75" right="0.75" top="1" bottom="1" header="0.5" footer="0.5"/>
      <printOptions gridLines="1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81C86EE1-3741-4662-B536-3BDC7FB35189}">
      <pageMargins left="0.75" right="0.75" top="1" bottom="1" header="0.5" footer="0.5"/>
      <printOptions gridLines="1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DE4B163-C055-435E-AF61-4F1A1BAC1E65}" state="hidden">
      <pageMargins left="0.75" right="0.75" top="1" bottom="1" header="0.5" footer="0.5"/>
      <printOptions gridLines="1"/>
      <headerFooter alignWithMargins="0">
        <oddHeader>&amp;A</oddHeader>
        <oddFooter>Page &amp;P</oddFooter>
      </headerFooter>
    </customSheetView>
  </customSheetViews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Assumptions</vt:lpstr>
      <vt:lpstr>Projections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sachwanij@gmail.com</dc:creator>
  <cp:lastModifiedBy>Zain ul Abidin</cp:lastModifiedBy>
  <cp:lastPrinted>2009-05-20T07:31:22Z</cp:lastPrinted>
  <dcterms:created xsi:type="dcterms:W3CDTF">1995-06-19T20:19:11Z</dcterms:created>
  <dcterms:modified xsi:type="dcterms:W3CDTF">2026-07-02T16:26:08Z</dcterms:modified>
</cp:coreProperties>
</file>