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hidePivotFieldList="1"/>
  <xr:revisionPtr revIDLastSave="0" documentId="13_ncr:1_{39066AAE-895B-4458-AACC-8AFD2C8AAA01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Sheet1" sheetId="8" r:id="rId1"/>
    <sheet name="Sales data" sheetId="5" r:id="rId2"/>
    <sheet name="Sales" sheetId="7" r:id="rId3"/>
  </sheets>
  <definedNames>
    <definedName name="Orders">#REF!</definedName>
    <definedName name="People">#REF!</definedName>
    <definedName name="Returns">#REF!</definedName>
  </definedNames>
  <calcPr calcId="191028"/>
  <pivotCaches>
    <pivotCache cacheId="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" i="5" l="1"/>
  <c r="T3" i="5"/>
  <c r="T4" i="5"/>
  <c r="T5" i="5"/>
  <c r="T6" i="5"/>
  <c r="T7" i="5"/>
  <c r="T8" i="5"/>
  <c r="T9" i="5"/>
  <c r="T10" i="5"/>
  <c r="T11" i="5"/>
  <c r="T12" i="5"/>
  <c r="T13" i="5"/>
  <c r="T14" i="5"/>
  <c r="T15" i="5"/>
  <c r="T16" i="5"/>
  <c r="T17" i="5"/>
  <c r="T18" i="5"/>
  <c r="T19" i="5"/>
  <c r="T20" i="5"/>
  <c r="T21" i="5"/>
  <c r="T22" i="5"/>
  <c r="T23" i="5"/>
  <c r="T24" i="5"/>
  <c r="T25" i="5"/>
  <c r="T26" i="5"/>
  <c r="T27" i="5"/>
  <c r="T28" i="5"/>
  <c r="T29" i="5"/>
  <c r="T30" i="5"/>
  <c r="T31" i="5"/>
  <c r="T32" i="5"/>
  <c r="T33" i="5"/>
  <c r="T34" i="5"/>
  <c r="T35" i="5"/>
  <c r="T36" i="5"/>
  <c r="T37" i="5"/>
  <c r="T38" i="5"/>
  <c r="T39" i="5"/>
  <c r="T40" i="5"/>
  <c r="T41" i="5"/>
  <c r="T42" i="5"/>
  <c r="T43" i="5"/>
  <c r="T44" i="5"/>
  <c r="T45" i="5"/>
  <c r="T46" i="5"/>
  <c r="T47" i="5"/>
  <c r="T48" i="5"/>
  <c r="T49" i="5"/>
  <c r="T50" i="5"/>
  <c r="T51" i="5"/>
  <c r="T52" i="5"/>
  <c r="T53" i="5"/>
  <c r="T54" i="5"/>
  <c r="T55" i="5"/>
  <c r="T56" i="5"/>
  <c r="T57" i="5"/>
  <c r="T58" i="5"/>
  <c r="T59" i="5"/>
  <c r="T60" i="5"/>
  <c r="T61" i="5"/>
  <c r="T62" i="5"/>
  <c r="T63" i="5"/>
  <c r="T64" i="5"/>
  <c r="T65" i="5"/>
  <c r="T66" i="5"/>
  <c r="T67" i="5"/>
  <c r="T68" i="5"/>
  <c r="T69" i="5"/>
  <c r="T70" i="5"/>
  <c r="T71" i="5"/>
  <c r="T72" i="5"/>
  <c r="T73" i="5"/>
  <c r="T74" i="5"/>
  <c r="T75" i="5"/>
  <c r="T76" i="5"/>
  <c r="T77" i="5"/>
  <c r="T78" i="5"/>
  <c r="T79" i="5"/>
  <c r="T80" i="5"/>
  <c r="T81" i="5"/>
  <c r="T82" i="5"/>
  <c r="T83" i="5"/>
  <c r="T84" i="5"/>
  <c r="T85" i="5"/>
  <c r="T86" i="5"/>
  <c r="T87" i="5"/>
  <c r="T88" i="5"/>
  <c r="T89" i="5"/>
  <c r="T90" i="5"/>
  <c r="T91" i="5"/>
  <c r="T92" i="5"/>
  <c r="T93" i="5"/>
  <c r="T94" i="5"/>
  <c r="T95" i="5"/>
  <c r="T96" i="5"/>
  <c r="T97" i="5"/>
  <c r="T98" i="5"/>
  <c r="T99" i="5"/>
  <c r="T100" i="5"/>
  <c r="T101" i="5"/>
  <c r="T102" i="5"/>
  <c r="T103" i="5"/>
  <c r="T104" i="5"/>
  <c r="T105" i="5"/>
  <c r="T106" i="5"/>
  <c r="T107" i="5"/>
  <c r="T108" i="5"/>
  <c r="T109" i="5"/>
  <c r="T110" i="5"/>
  <c r="T111" i="5"/>
  <c r="T112" i="5"/>
  <c r="T113" i="5"/>
  <c r="T114" i="5"/>
  <c r="T115" i="5"/>
  <c r="T116" i="5"/>
  <c r="T117" i="5"/>
  <c r="T118" i="5"/>
  <c r="T119" i="5"/>
  <c r="T120" i="5"/>
  <c r="T121" i="5"/>
  <c r="T122" i="5"/>
  <c r="T123" i="5"/>
  <c r="T124" i="5"/>
  <c r="T125" i="5"/>
  <c r="T126" i="5"/>
  <c r="T127" i="5"/>
  <c r="T128" i="5"/>
  <c r="T129" i="5"/>
  <c r="T130" i="5"/>
  <c r="T131" i="5"/>
  <c r="T132" i="5"/>
  <c r="T133" i="5"/>
  <c r="T134" i="5"/>
  <c r="T135" i="5"/>
  <c r="T136" i="5"/>
  <c r="T137" i="5"/>
  <c r="T138" i="5"/>
  <c r="T139" i="5"/>
  <c r="T140" i="5"/>
  <c r="T141" i="5"/>
  <c r="T142" i="5"/>
  <c r="T143" i="5"/>
  <c r="T144" i="5"/>
  <c r="T145" i="5"/>
  <c r="T146" i="5"/>
  <c r="T147" i="5"/>
  <c r="T148" i="5"/>
  <c r="T149" i="5"/>
  <c r="T150" i="5"/>
  <c r="T151" i="5"/>
  <c r="T152" i="5"/>
  <c r="T153" i="5"/>
  <c r="T154" i="5"/>
  <c r="T155" i="5"/>
  <c r="T156" i="5"/>
  <c r="T157" i="5"/>
  <c r="T158" i="5"/>
  <c r="T159" i="5"/>
  <c r="T160" i="5"/>
  <c r="T161" i="5"/>
  <c r="T162" i="5"/>
  <c r="T163" i="5"/>
  <c r="T164" i="5"/>
  <c r="T165" i="5"/>
  <c r="T166" i="5"/>
  <c r="T167" i="5"/>
  <c r="T168" i="5"/>
  <c r="T169" i="5"/>
  <c r="T170" i="5"/>
  <c r="T171" i="5"/>
  <c r="T172" i="5"/>
  <c r="T173" i="5"/>
  <c r="T174" i="5"/>
  <c r="T175" i="5"/>
  <c r="T176" i="5"/>
  <c r="T177" i="5"/>
  <c r="T178" i="5"/>
  <c r="T179" i="5"/>
  <c r="T180" i="5"/>
  <c r="T181" i="5"/>
  <c r="T182" i="5"/>
  <c r="T183" i="5"/>
  <c r="T184" i="5"/>
  <c r="T185" i="5"/>
  <c r="T186" i="5"/>
  <c r="T187" i="5"/>
  <c r="T188" i="5"/>
  <c r="T189" i="5"/>
  <c r="T190" i="5"/>
  <c r="T191" i="5"/>
  <c r="T192" i="5"/>
  <c r="T193" i="5"/>
  <c r="T194" i="5"/>
  <c r="T195" i="5"/>
  <c r="T196" i="5"/>
  <c r="T197" i="5"/>
  <c r="T198" i="5"/>
  <c r="T199" i="5"/>
  <c r="T200" i="5"/>
  <c r="T201" i="5"/>
  <c r="T202" i="5"/>
  <c r="T203" i="5"/>
  <c r="T204" i="5"/>
  <c r="T205" i="5"/>
  <c r="T206" i="5"/>
  <c r="T207" i="5"/>
  <c r="T208" i="5"/>
  <c r="T209" i="5"/>
  <c r="T210" i="5"/>
  <c r="T211" i="5"/>
  <c r="T212" i="5"/>
  <c r="T213" i="5"/>
  <c r="T214" i="5"/>
  <c r="T215" i="5"/>
  <c r="T216" i="5"/>
  <c r="T217" i="5"/>
  <c r="T218" i="5"/>
  <c r="T219" i="5"/>
  <c r="T220" i="5"/>
  <c r="T221" i="5"/>
  <c r="T222" i="5"/>
  <c r="T223" i="5"/>
  <c r="T224" i="5"/>
  <c r="T225" i="5"/>
  <c r="T226" i="5"/>
  <c r="T227" i="5"/>
  <c r="T228" i="5"/>
  <c r="T229" i="5"/>
  <c r="T230" i="5"/>
  <c r="T231" i="5"/>
  <c r="T232" i="5"/>
  <c r="T233" i="5"/>
  <c r="T234" i="5"/>
  <c r="T235" i="5"/>
  <c r="T236" i="5"/>
  <c r="T237" i="5"/>
  <c r="T238" i="5"/>
  <c r="T239" i="5"/>
  <c r="T240" i="5"/>
  <c r="T241" i="5"/>
  <c r="T242" i="5"/>
  <c r="T243" i="5"/>
  <c r="T244" i="5"/>
  <c r="T245" i="5"/>
  <c r="T246" i="5"/>
  <c r="T247" i="5"/>
  <c r="T248" i="5"/>
  <c r="T249" i="5"/>
  <c r="T250" i="5"/>
  <c r="T251" i="5"/>
  <c r="T252" i="5"/>
  <c r="T253" i="5"/>
  <c r="T254" i="5"/>
  <c r="T255" i="5"/>
  <c r="T256" i="5"/>
  <c r="T257" i="5"/>
  <c r="T258" i="5"/>
  <c r="T259" i="5"/>
  <c r="T260" i="5"/>
  <c r="T261" i="5"/>
  <c r="T262" i="5"/>
  <c r="T263" i="5"/>
  <c r="T264" i="5"/>
  <c r="T265" i="5"/>
  <c r="T266" i="5"/>
  <c r="T267" i="5"/>
  <c r="T268" i="5"/>
  <c r="T269" i="5"/>
  <c r="T270" i="5"/>
  <c r="T271" i="5"/>
  <c r="T272" i="5"/>
  <c r="T273" i="5"/>
  <c r="T274" i="5"/>
  <c r="T275" i="5"/>
  <c r="T276" i="5"/>
  <c r="T277" i="5"/>
  <c r="T278" i="5"/>
  <c r="T279" i="5"/>
  <c r="T280" i="5"/>
  <c r="T281" i="5"/>
  <c r="T282" i="5"/>
  <c r="T283" i="5"/>
  <c r="T284" i="5"/>
  <c r="T285" i="5"/>
  <c r="T286" i="5"/>
  <c r="T287" i="5"/>
  <c r="T288" i="5"/>
  <c r="T289" i="5"/>
  <c r="T290" i="5"/>
  <c r="T291" i="5"/>
  <c r="T292" i="5"/>
  <c r="T293" i="5"/>
  <c r="T294" i="5"/>
  <c r="T295" i="5"/>
  <c r="T296" i="5"/>
  <c r="T297" i="5"/>
  <c r="T298" i="5"/>
  <c r="T299" i="5"/>
  <c r="T300" i="5"/>
  <c r="T301" i="5"/>
  <c r="T302" i="5"/>
  <c r="T303" i="5"/>
  <c r="T304" i="5"/>
  <c r="T305" i="5"/>
  <c r="T306" i="5"/>
  <c r="T307" i="5"/>
  <c r="T308" i="5"/>
  <c r="T309" i="5"/>
  <c r="T310" i="5"/>
  <c r="T311" i="5"/>
  <c r="T312" i="5"/>
  <c r="T313" i="5"/>
  <c r="T314" i="5"/>
  <c r="T315" i="5"/>
  <c r="T316" i="5"/>
  <c r="T317" i="5"/>
  <c r="T318" i="5"/>
  <c r="T319" i="5"/>
  <c r="T320" i="5"/>
  <c r="T321" i="5"/>
  <c r="T322" i="5"/>
  <c r="T323" i="5"/>
  <c r="T324" i="5"/>
  <c r="T325" i="5"/>
  <c r="T326" i="5"/>
  <c r="T327" i="5"/>
  <c r="T328" i="5"/>
  <c r="T329" i="5"/>
  <c r="T330" i="5"/>
  <c r="T331" i="5"/>
  <c r="T332" i="5"/>
  <c r="T333" i="5"/>
  <c r="T334" i="5"/>
  <c r="T335" i="5"/>
  <c r="T336" i="5"/>
  <c r="T337" i="5"/>
  <c r="T338" i="5"/>
  <c r="T339" i="5"/>
  <c r="T340" i="5"/>
  <c r="T341" i="5"/>
  <c r="T342" i="5"/>
  <c r="T343" i="5"/>
  <c r="T344" i="5"/>
  <c r="T345" i="5"/>
  <c r="T346" i="5"/>
  <c r="T347" i="5"/>
  <c r="T348" i="5"/>
  <c r="T349" i="5"/>
  <c r="T350" i="5"/>
  <c r="T351" i="5"/>
  <c r="T352" i="5"/>
  <c r="T353" i="5"/>
  <c r="T354" i="5"/>
  <c r="T355" i="5"/>
  <c r="T356" i="5"/>
  <c r="T357" i="5"/>
  <c r="T358" i="5"/>
  <c r="T359" i="5"/>
  <c r="T360" i="5"/>
  <c r="T361" i="5"/>
  <c r="T362" i="5"/>
  <c r="T363" i="5"/>
  <c r="T364" i="5"/>
  <c r="T365" i="5"/>
  <c r="T366" i="5"/>
  <c r="T367" i="5"/>
  <c r="T368" i="5"/>
  <c r="T369" i="5"/>
  <c r="T370" i="5"/>
  <c r="T371" i="5"/>
  <c r="T372" i="5"/>
  <c r="T373" i="5"/>
  <c r="T374" i="5"/>
  <c r="T375" i="5"/>
  <c r="T376" i="5"/>
  <c r="T377" i="5"/>
  <c r="T378" i="5"/>
  <c r="T379" i="5"/>
  <c r="T380" i="5"/>
  <c r="T381" i="5"/>
  <c r="T382" i="5"/>
  <c r="T383" i="5"/>
  <c r="T384" i="5"/>
  <c r="T385" i="5"/>
  <c r="T386" i="5"/>
  <c r="T387" i="5"/>
  <c r="T388" i="5"/>
  <c r="T389" i="5"/>
  <c r="T390" i="5"/>
  <c r="T391" i="5"/>
  <c r="T392" i="5"/>
  <c r="T393" i="5"/>
  <c r="T394" i="5"/>
  <c r="T395" i="5"/>
  <c r="T396" i="5"/>
  <c r="T397" i="5"/>
  <c r="T398" i="5"/>
  <c r="T399" i="5"/>
  <c r="T400" i="5"/>
  <c r="T401" i="5"/>
  <c r="T402" i="5"/>
  <c r="T403" i="5"/>
  <c r="T404" i="5"/>
  <c r="T405" i="5"/>
  <c r="T406" i="5"/>
  <c r="T407" i="5"/>
  <c r="T408" i="5"/>
  <c r="T409" i="5"/>
  <c r="T410" i="5"/>
  <c r="T411" i="5"/>
  <c r="T412" i="5"/>
  <c r="T413" i="5"/>
  <c r="T414" i="5"/>
  <c r="T415" i="5"/>
  <c r="T416" i="5"/>
  <c r="T417" i="5"/>
  <c r="T418" i="5"/>
  <c r="T419" i="5"/>
  <c r="T420" i="5"/>
  <c r="T421" i="5"/>
  <c r="T422" i="5"/>
  <c r="T423" i="5"/>
  <c r="T424" i="5"/>
  <c r="T425" i="5"/>
  <c r="T426" i="5"/>
  <c r="T427" i="5"/>
  <c r="T428" i="5"/>
  <c r="T429" i="5"/>
  <c r="T430" i="5"/>
  <c r="T431" i="5"/>
  <c r="T432" i="5"/>
  <c r="T433" i="5"/>
  <c r="T434" i="5"/>
  <c r="T435" i="5"/>
  <c r="T436" i="5"/>
  <c r="T437" i="5"/>
  <c r="T438" i="5"/>
  <c r="T439" i="5"/>
  <c r="T440" i="5"/>
  <c r="T441" i="5"/>
  <c r="T442" i="5"/>
  <c r="T443" i="5"/>
  <c r="T444" i="5"/>
  <c r="T445" i="5"/>
  <c r="T446" i="5"/>
  <c r="T447" i="5"/>
  <c r="T448" i="5"/>
  <c r="T449" i="5"/>
  <c r="T450" i="5"/>
  <c r="T451" i="5"/>
  <c r="T452" i="5"/>
  <c r="T453" i="5"/>
  <c r="T454" i="5"/>
  <c r="T455" i="5"/>
  <c r="T456" i="5"/>
  <c r="T457" i="5"/>
  <c r="T458" i="5"/>
  <c r="T459" i="5"/>
  <c r="T460" i="5"/>
  <c r="T461" i="5"/>
  <c r="T462" i="5"/>
  <c r="T463" i="5"/>
  <c r="T464" i="5"/>
  <c r="T465" i="5"/>
  <c r="T466" i="5"/>
  <c r="T467" i="5"/>
  <c r="T468" i="5"/>
  <c r="T469" i="5"/>
  <c r="T470" i="5"/>
  <c r="T471" i="5"/>
  <c r="T472" i="5"/>
  <c r="T473" i="5"/>
  <c r="T474" i="5"/>
  <c r="T475" i="5"/>
  <c r="T476" i="5"/>
  <c r="T477" i="5"/>
  <c r="T478" i="5"/>
  <c r="T479" i="5"/>
  <c r="T480" i="5"/>
  <c r="T481" i="5"/>
  <c r="T482" i="5"/>
  <c r="T483" i="5"/>
  <c r="T484" i="5"/>
  <c r="T485" i="5"/>
  <c r="T486" i="5"/>
  <c r="T487" i="5"/>
  <c r="T488" i="5"/>
  <c r="T489" i="5"/>
  <c r="T490" i="5"/>
  <c r="T491" i="5"/>
  <c r="T492" i="5"/>
  <c r="T493" i="5"/>
  <c r="T494" i="5"/>
  <c r="T495" i="5"/>
  <c r="T496" i="5"/>
  <c r="T497" i="5"/>
  <c r="T498" i="5"/>
  <c r="T499" i="5"/>
  <c r="T500" i="5"/>
  <c r="T501" i="5"/>
  <c r="T502" i="5"/>
  <c r="T503" i="5"/>
  <c r="T504" i="5"/>
  <c r="T505" i="5"/>
  <c r="T506" i="5"/>
  <c r="T507" i="5"/>
  <c r="T508" i="5"/>
  <c r="T509" i="5"/>
  <c r="T510" i="5"/>
  <c r="T511" i="5"/>
  <c r="T512" i="5"/>
  <c r="T513" i="5"/>
  <c r="T514" i="5"/>
  <c r="T515" i="5"/>
  <c r="T516" i="5"/>
  <c r="T517" i="5"/>
  <c r="T518" i="5"/>
  <c r="T519" i="5"/>
  <c r="T520" i="5"/>
  <c r="T521" i="5"/>
  <c r="T522" i="5"/>
  <c r="T523" i="5"/>
  <c r="T524" i="5"/>
  <c r="T525" i="5"/>
  <c r="T526" i="5"/>
  <c r="T527" i="5"/>
  <c r="T528" i="5"/>
  <c r="T529" i="5"/>
  <c r="T530" i="5"/>
  <c r="T531" i="5"/>
  <c r="T532" i="5"/>
  <c r="T533" i="5"/>
  <c r="T534" i="5"/>
  <c r="T535" i="5"/>
  <c r="T536" i="5"/>
  <c r="T537" i="5"/>
  <c r="T538" i="5"/>
  <c r="T539" i="5"/>
  <c r="T540" i="5"/>
  <c r="T541" i="5"/>
  <c r="T542" i="5"/>
  <c r="T543" i="5"/>
  <c r="T544" i="5"/>
  <c r="T545" i="5"/>
  <c r="T546" i="5"/>
  <c r="T547" i="5"/>
  <c r="T548" i="5"/>
  <c r="T549" i="5"/>
  <c r="T550" i="5"/>
  <c r="T551" i="5"/>
  <c r="T552" i="5"/>
  <c r="T553" i="5"/>
  <c r="T554" i="5"/>
  <c r="T555" i="5"/>
  <c r="T556" i="5"/>
  <c r="T557" i="5"/>
  <c r="T558" i="5"/>
  <c r="T559" i="5"/>
  <c r="T560" i="5"/>
  <c r="T561" i="5"/>
  <c r="T562" i="5"/>
  <c r="T563" i="5"/>
  <c r="T564" i="5"/>
  <c r="T565" i="5"/>
  <c r="T566" i="5"/>
  <c r="T567" i="5"/>
  <c r="T568" i="5"/>
  <c r="T569" i="5"/>
  <c r="T570" i="5"/>
  <c r="T571" i="5"/>
  <c r="T572" i="5"/>
  <c r="T573" i="5"/>
  <c r="T574" i="5"/>
  <c r="T575" i="5"/>
  <c r="T576" i="5"/>
  <c r="T577" i="5"/>
  <c r="T578" i="5"/>
  <c r="T579" i="5"/>
  <c r="T580" i="5"/>
  <c r="T581" i="5"/>
  <c r="T582" i="5"/>
  <c r="T583" i="5"/>
  <c r="T584" i="5"/>
  <c r="T585" i="5"/>
  <c r="T586" i="5"/>
  <c r="T587" i="5"/>
  <c r="T588" i="5"/>
  <c r="T589" i="5"/>
  <c r="T590" i="5"/>
  <c r="T591" i="5"/>
  <c r="T592" i="5"/>
  <c r="T593" i="5"/>
  <c r="T594" i="5"/>
  <c r="T595" i="5"/>
  <c r="T596" i="5"/>
  <c r="T597" i="5"/>
  <c r="T598" i="5"/>
  <c r="T599" i="5"/>
  <c r="T600" i="5"/>
  <c r="T601" i="5"/>
  <c r="T602" i="5"/>
  <c r="T603" i="5"/>
  <c r="T604" i="5"/>
  <c r="T605" i="5"/>
  <c r="T606" i="5"/>
  <c r="T607" i="5"/>
  <c r="T608" i="5"/>
  <c r="T609" i="5"/>
  <c r="T610" i="5"/>
  <c r="T611" i="5"/>
  <c r="T612" i="5"/>
  <c r="T613" i="5"/>
  <c r="T614" i="5"/>
  <c r="T615" i="5"/>
  <c r="T616" i="5"/>
  <c r="T617" i="5"/>
  <c r="T618" i="5"/>
  <c r="T619" i="5"/>
  <c r="T620" i="5"/>
  <c r="T621" i="5"/>
  <c r="T622" i="5"/>
  <c r="T623" i="5"/>
  <c r="T624" i="5"/>
  <c r="T625" i="5"/>
  <c r="T626" i="5"/>
  <c r="T627" i="5"/>
  <c r="T628" i="5"/>
  <c r="T629" i="5"/>
  <c r="T630" i="5"/>
  <c r="T631" i="5"/>
  <c r="T632" i="5"/>
  <c r="T633" i="5"/>
  <c r="T634" i="5"/>
  <c r="T635" i="5"/>
  <c r="T636" i="5"/>
  <c r="T637" i="5"/>
  <c r="T638" i="5"/>
  <c r="T639" i="5"/>
  <c r="T640" i="5"/>
  <c r="T641" i="5"/>
  <c r="T642" i="5"/>
  <c r="T643" i="5"/>
  <c r="T644" i="5"/>
  <c r="T645" i="5"/>
  <c r="T646" i="5"/>
  <c r="T647" i="5"/>
  <c r="T648" i="5"/>
  <c r="T649" i="5"/>
  <c r="T650" i="5"/>
  <c r="T651" i="5"/>
  <c r="T652" i="5"/>
  <c r="T653" i="5"/>
  <c r="T654" i="5"/>
  <c r="T655" i="5"/>
  <c r="T656" i="5"/>
  <c r="T657" i="5"/>
  <c r="T658" i="5"/>
  <c r="T659" i="5"/>
  <c r="T660" i="5"/>
  <c r="T661" i="5"/>
  <c r="T662" i="5"/>
  <c r="T663" i="5"/>
  <c r="T664" i="5"/>
  <c r="T665" i="5"/>
  <c r="T666" i="5"/>
  <c r="T667" i="5"/>
  <c r="T668" i="5"/>
  <c r="T669" i="5"/>
  <c r="T670" i="5"/>
  <c r="T671" i="5"/>
  <c r="T672" i="5"/>
  <c r="T673" i="5"/>
  <c r="T674" i="5"/>
  <c r="T675" i="5"/>
  <c r="T676" i="5"/>
  <c r="T677" i="5"/>
  <c r="T678" i="5"/>
  <c r="T679" i="5"/>
  <c r="T680" i="5"/>
  <c r="T681" i="5"/>
  <c r="T682" i="5"/>
  <c r="T683" i="5"/>
  <c r="T684" i="5"/>
  <c r="T685" i="5"/>
  <c r="T686" i="5"/>
  <c r="T687" i="5"/>
  <c r="T688" i="5"/>
  <c r="T689" i="5"/>
  <c r="T690" i="5"/>
  <c r="T691" i="5"/>
  <c r="T692" i="5"/>
  <c r="T693" i="5"/>
  <c r="T694" i="5"/>
  <c r="T695" i="5"/>
  <c r="T696" i="5"/>
  <c r="T697" i="5"/>
  <c r="T698" i="5"/>
  <c r="T699" i="5"/>
  <c r="T700" i="5"/>
  <c r="T701" i="5"/>
  <c r="T702" i="5"/>
  <c r="T703" i="5"/>
  <c r="T704" i="5"/>
  <c r="T705" i="5"/>
  <c r="T706" i="5"/>
  <c r="T707" i="5"/>
  <c r="T708" i="5"/>
  <c r="T709" i="5"/>
  <c r="T710" i="5"/>
  <c r="T711" i="5"/>
  <c r="T712" i="5"/>
  <c r="T713" i="5"/>
  <c r="T714" i="5"/>
  <c r="T715" i="5"/>
  <c r="T716" i="5"/>
  <c r="T717" i="5"/>
  <c r="T718" i="5"/>
  <c r="T719" i="5"/>
  <c r="T720" i="5"/>
  <c r="T721" i="5"/>
  <c r="T722" i="5"/>
  <c r="T723" i="5"/>
  <c r="T724" i="5"/>
  <c r="T725" i="5"/>
  <c r="T726" i="5"/>
  <c r="T727" i="5"/>
  <c r="T728" i="5"/>
  <c r="T729" i="5"/>
  <c r="T730" i="5"/>
  <c r="T731" i="5"/>
  <c r="T732" i="5"/>
  <c r="T733" i="5"/>
  <c r="T734" i="5"/>
  <c r="T735" i="5"/>
  <c r="T736" i="5"/>
  <c r="T737" i="5"/>
  <c r="T738" i="5"/>
  <c r="T739" i="5"/>
  <c r="T740" i="5"/>
  <c r="T741" i="5"/>
  <c r="T742" i="5"/>
  <c r="T743" i="5"/>
  <c r="T744" i="5"/>
  <c r="T745" i="5"/>
  <c r="T746" i="5"/>
  <c r="T747" i="5"/>
  <c r="T748" i="5"/>
  <c r="T749" i="5"/>
  <c r="T750" i="5"/>
  <c r="T751" i="5"/>
  <c r="T752" i="5"/>
  <c r="T753" i="5"/>
  <c r="T754" i="5"/>
  <c r="T755" i="5"/>
  <c r="T756" i="5"/>
  <c r="T757" i="5"/>
  <c r="T758" i="5"/>
  <c r="T759" i="5"/>
  <c r="T760" i="5"/>
  <c r="T761" i="5"/>
  <c r="T762" i="5"/>
  <c r="T763" i="5"/>
  <c r="T764" i="5"/>
  <c r="T765" i="5"/>
  <c r="T766" i="5"/>
  <c r="T767" i="5"/>
  <c r="T768" i="5"/>
  <c r="T769" i="5"/>
  <c r="T770" i="5"/>
  <c r="T771" i="5"/>
  <c r="T772" i="5"/>
  <c r="T773" i="5"/>
  <c r="T774" i="5"/>
  <c r="T775" i="5"/>
  <c r="T776" i="5"/>
  <c r="T777" i="5"/>
  <c r="T778" i="5"/>
  <c r="T779" i="5"/>
  <c r="T780" i="5"/>
  <c r="T781" i="5"/>
  <c r="T782" i="5"/>
  <c r="T783" i="5"/>
  <c r="T784" i="5"/>
  <c r="T785" i="5"/>
  <c r="T786" i="5"/>
  <c r="T787" i="5"/>
  <c r="T788" i="5"/>
  <c r="T789" i="5"/>
  <c r="T790" i="5"/>
  <c r="T791" i="5"/>
  <c r="T792" i="5"/>
  <c r="T793" i="5"/>
  <c r="T794" i="5"/>
  <c r="T795" i="5"/>
  <c r="T796" i="5"/>
  <c r="T797" i="5"/>
  <c r="T798" i="5"/>
  <c r="T799" i="5"/>
  <c r="T800" i="5"/>
  <c r="T801" i="5"/>
  <c r="T802" i="5"/>
  <c r="T803" i="5"/>
  <c r="T804" i="5"/>
  <c r="T805" i="5"/>
  <c r="T806" i="5"/>
  <c r="T807" i="5"/>
  <c r="T808" i="5"/>
  <c r="T809" i="5"/>
  <c r="T810" i="5"/>
  <c r="T811" i="5"/>
  <c r="T812" i="5"/>
  <c r="T813" i="5"/>
  <c r="T814" i="5"/>
  <c r="T815" i="5"/>
  <c r="T816" i="5"/>
  <c r="T817" i="5"/>
  <c r="T818" i="5"/>
  <c r="T819" i="5"/>
  <c r="T820" i="5"/>
  <c r="T821" i="5"/>
  <c r="T822" i="5"/>
  <c r="T823" i="5"/>
  <c r="T824" i="5"/>
  <c r="T825" i="5"/>
  <c r="T826" i="5"/>
  <c r="T827" i="5"/>
  <c r="T828" i="5"/>
  <c r="T829" i="5"/>
  <c r="T830" i="5"/>
  <c r="T831" i="5"/>
  <c r="T832" i="5"/>
  <c r="T833" i="5"/>
  <c r="T834" i="5"/>
  <c r="T835" i="5"/>
  <c r="T836" i="5"/>
  <c r="T837" i="5"/>
  <c r="T838" i="5"/>
  <c r="T839" i="5"/>
  <c r="T840" i="5"/>
  <c r="T841" i="5"/>
  <c r="T842" i="5"/>
  <c r="T843" i="5"/>
  <c r="T844" i="5"/>
  <c r="T845" i="5"/>
  <c r="T846" i="5"/>
  <c r="T847" i="5"/>
  <c r="T848" i="5"/>
  <c r="T849" i="5"/>
  <c r="T850" i="5"/>
  <c r="T851" i="5"/>
  <c r="T852" i="5"/>
  <c r="T853" i="5"/>
  <c r="T854" i="5"/>
  <c r="T855" i="5"/>
  <c r="T856" i="5"/>
  <c r="T857" i="5"/>
  <c r="T858" i="5"/>
  <c r="T859" i="5"/>
  <c r="T860" i="5"/>
  <c r="T861" i="5"/>
  <c r="T862" i="5"/>
  <c r="T863" i="5"/>
  <c r="T864" i="5"/>
  <c r="T865" i="5"/>
  <c r="T866" i="5"/>
  <c r="T867" i="5"/>
  <c r="T868" i="5"/>
  <c r="T869" i="5"/>
  <c r="T870" i="5"/>
  <c r="T871" i="5"/>
  <c r="T872" i="5"/>
  <c r="T873" i="5"/>
  <c r="T874" i="5"/>
  <c r="T875" i="5"/>
  <c r="T876" i="5"/>
  <c r="T877" i="5"/>
  <c r="T878" i="5"/>
  <c r="T879" i="5"/>
  <c r="T880" i="5"/>
  <c r="T881" i="5"/>
  <c r="T882" i="5"/>
  <c r="T883" i="5"/>
  <c r="T884" i="5"/>
  <c r="T885" i="5"/>
  <c r="T886" i="5"/>
  <c r="T887" i="5"/>
  <c r="T888" i="5"/>
  <c r="T889" i="5"/>
  <c r="T890" i="5"/>
  <c r="T891" i="5"/>
  <c r="T892" i="5"/>
  <c r="T893" i="5"/>
  <c r="T894" i="5"/>
  <c r="T895" i="5"/>
  <c r="T896" i="5"/>
  <c r="T897" i="5"/>
  <c r="T898" i="5"/>
  <c r="T899" i="5"/>
  <c r="T900" i="5"/>
  <c r="T901" i="5"/>
  <c r="T902" i="5"/>
  <c r="T903" i="5"/>
  <c r="T904" i="5"/>
  <c r="T905" i="5"/>
  <c r="T906" i="5"/>
  <c r="T907" i="5"/>
  <c r="T908" i="5"/>
  <c r="T909" i="5"/>
  <c r="T910" i="5"/>
  <c r="T911" i="5"/>
  <c r="T912" i="5"/>
  <c r="T913" i="5"/>
  <c r="T914" i="5"/>
  <c r="T915" i="5"/>
  <c r="T916" i="5"/>
  <c r="T917" i="5"/>
  <c r="T918" i="5"/>
  <c r="T919" i="5"/>
  <c r="T920" i="5"/>
  <c r="T921" i="5"/>
  <c r="T922" i="5"/>
  <c r="T923" i="5"/>
  <c r="T924" i="5"/>
  <c r="T925" i="5"/>
  <c r="T926" i="5"/>
  <c r="T927" i="5"/>
  <c r="T928" i="5"/>
  <c r="T929" i="5"/>
  <c r="T930" i="5"/>
  <c r="T931" i="5"/>
  <c r="T932" i="5"/>
  <c r="T933" i="5"/>
  <c r="T934" i="5"/>
  <c r="T935" i="5"/>
  <c r="T936" i="5"/>
  <c r="T937" i="5"/>
  <c r="T938" i="5"/>
  <c r="T939" i="5"/>
  <c r="T940" i="5"/>
  <c r="T941" i="5"/>
  <c r="T942" i="5"/>
  <c r="T943" i="5"/>
  <c r="T944" i="5"/>
  <c r="T945" i="5"/>
  <c r="T946" i="5"/>
  <c r="T947" i="5"/>
  <c r="T948" i="5"/>
  <c r="T949" i="5"/>
  <c r="T950" i="5"/>
  <c r="T951" i="5"/>
  <c r="T952" i="5"/>
  <c r="T953" i="5"/>
  <c r="T954" i="5"/>
  <c r="T955" i="5"/>
  <c r="T956" i="5"/>
  <c r="T957" i="5"/>
  <c r="T958" i="5"/>
  <c r="T959" i="5"/>
  <c r="T960" i="5"/>
  <c r="T961" i="5"/>
  <c r="T962" i="5"/>
  <c r="T963" i="5"/>
  <c r="T964" i="5"/>
  <c r="T965" i="5"/>
  <c r="T966" i="5"/>
  <c r="T967" i="5"/>
  <c r="T968" i="5"/>
  <c r="T969" i="5"/>
  <c r="T970" i="5"/>
  <c r="T971" i="5"/>
  <c r="T972" i="5"/>
  <c r="T973" i="5"/>
  <c r="T974" i="5"/>
  <c r="T975" i="5"/>
  <c r="T976" i="5"/>
  <c r="T977" i="5"/>
  <c r="T978" i="5"/>
  <c r="T979" i="5"/>
  <c r="T980" i="5"/>
  <c r="T981" i="5"/>
  <c r="T982" i="5"/>
  <c r="T983" i="5"/>
  <c r="T984" i="5"/>
  <c r="T985" i="5"/>
  <c r="T986" i="5"/>
  <c r="T987" i="5"/>
  <c r="T988" i="5"/>
  <c r="T989" i="5"/>
  <c r="T990" i="5"/>
  <c r="T991" i="5"/>
  <c r="T992" i="5"/>
  <c r="T993" i="5"/>
  <c r="T994" i="5"/>
  <c r="T995" i="5"/>
  <c r="T996" i="5"/>
  <c r="T997" i="5"/>
  <c r="T998" i="5"/>
  <c r="T999" i="5"/>
  <c r="T1000" i="5"/>
  <c r="T1001" i="5"/>
  <c r="T1002" i="5"/>
  <c r="T1003" i="5"/>
  <c r="T1004" i="5"/>
  <c r="T1005" i="5"/>
  <c r="S2" i="5"/>
  <c r="S3" i="5"/>
  <c r="S4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S31" i="5"/>
  <c r="S32" i="5"/>
  <c r="S33" i="5"/>
  <c r="S34" i="5"/>
  <c r="S35" i="5"/>
  <c r="S36" i="5"/>
  <c r="S37" i="5"/>
  <c r="S38" i="5"/>
  <c r="S39" i="5"/>
  <c r="S40" i="5"/>
  <c r="S41" i="5"/>
  <c r="S42" i="5"/>
  <c r="S43" i="5"/>
  <c r="S44" i="5"/>
  <c r="S45" i="5"/>
  <c r="S46" i="5"/>
  <c r="S47" i="5"/>
  <c r="S48" i="5"/>
  <c r="S49" i="5"/>
  <c r="S50" i="5"/>
  <c r="S51" i="5"/>
  <c r="S52" i="5"/>
  <c r="S53" i="5"/>
  <c r="S54" i="5"/>
  <c r="S55" i="5"/>
  <c r="S56" i="5"/>
  <c r="S57" i="5"/>
  <c r="S58" i="5"/>
  <c r="S59" i="5"/>
  <c r="S60" i="5"/>
  <c r="S61" i="5"/>
  <c r="S62" i="5"/>
  <c r="S63" i="5"/>
  <c r="S64" i="5"/>
  <c r="S65" i="5"/>
  <c r="S66" i="5"/>
  <c r="S67" i="5"/>
  <c r="S68" i="5"/>
  <c r="S69" i="5"/>
  <c r="S70" i="5"/>
  <c r="S71" i="5"/>
  <c r="S72" i="5"/>
  <c r="S73" i="5"/>
  <c r="S74" i="5"/>
  <c r="S75" i="5"/>
  <c r="S76" i="5"/>
  <c r="S77" i="5"/>
  <c r="S78" i="5"/>
  <c r="S79" i="5"/>
  <c r="S80" i="5"/>
  <c r="S81" i="5"/>
  <c r="S82" i="5"/>
  <c r="S83" i="5"/>
  <c r="S84" i="5"/>
  <c r="S85" i="5"/>
  <c r="S86" i="5"/>
  <c r="S87" i="5"/>
  <c r="S88" i="5"/>
  <c r="S89" i="5"/>
  <c r="S90" i="5"/>
  <c r="S91" i="5"/>
  <c r="S92" i="5"/>
  <c r="S93" i="5"/>
  <c r="S94" i="5"/>
  <c r="S95" i="5"/>
  <c r="S96" i="5"/>
  <c r="S97" i="5"/>
  <c r="S98" i="5"/>
  <c r="S99" i="5"/>
  <c r="S100" i="5"/>
  <c r="S101" i="5"/>
  <c r="S102" i="5"/>
  <c r="S103" i="5"/>
  <c r="S104" i="5"/>
  <c r="S105" i="5"/>
  <c r="S106" i="5"/>
  <c r="S107" i="5"/>
  <c r="S108" i="5"/>
  <c r="S109" i="5"/>
  <c r="S110" i="5"/>
  <c r="S111" i="5"/>
  <c r="S112" i="5"/>
  <c r="S113" i="5"/>
  <c r="S114" i="5"/>
  <c r="S115" i="5"/>
  <c r="S116" i="5"/>
  <c r="S117" i="5"/>
  <c r="S118" i="5"/>
  <c r="S119" i="5"/>
  <c r="S120" i="5"/>
  <c r="S121" i="5"/>
  <c r="S122" i="5"/>
  <c r="S123" i="5"/>
  <c r="S124" i="5"/>
  <c r="S125" i="5"/>
  <c r="S126" i="5"/>
  <c r="S127" i="5"/>
  <c r="S128" i="5"/>
  <c r="S129" i="5"/>
  <c r="S130" i="5"/>
  <c r="S131" i="5"/>
  <c r="S132" i="5"/>
  <c r="S133" i="5"/>
  <c r="S134" i="5"/>
  <c r="S135" i="5"/>
  <c r="S136" i="5"/>
  <c r="S137" i="5"/>
  <c r="S138" i="5"/>
  <c r="S139" i="5"/>
  <c r="S140" i="5"/>
  <c r="S141" i="5"/>
  <c r="S142" i="5"/>
  <c r="S143" i="5"/>
  <c r="S144" i="5"/>
  <c r="S145" i="5"/>
  <c r="S146" i="5"/>
  <c r="S147" i="5"/>
  <c r="S148" i="5"/>
  <c r="S149" i="5"/>
  <c r="S150" i="5"/>
  <c r="S151" i="5"/>
  <c r="S152" i="5"/>
  <c r="S153" i="5"/>
  <c r="S154" i="5"/>
  <c r="S155" i="5"/>
  <c r="S156" i="5"/>
  <c r="S157" i="5"/>
  <c r="S158" i="5"/>
  <c r="S159" i="5"/>
  <c r="S160" i="5"/>
  <c r="S161" i="5"/>
  <c r="S162" i="5"/>
  <c r="S163" i="5"/>
  <c r="S164" i="5"/>
  <c r="S165" i="5"/>
  <c r="S166" i="5"/>
  <c r="S167" i="5"/>
  <c r="S168" i="5"/>
  <c r="S169" i="5"/>
  <c r="S170" i="5"/>
  <c r="S171" i="5"/>
  <c r="S172" i="5"/>
  <c r="S173" i="5"/>
  <c r="S174" i="5"/>
  <c r="S175" i="5"/>
  <c r="S176" i="5"/>
  <c r="S177" i="5"/>
  <c r="S178" i="5"/>
  <c r="S179" i="5"/>
  <c r="S180" i="5"/>
  <c r="S181" i="5"/>
  <c r="S182" i="5"/>
  <c r="S183" i="5"/>
  <c r="S184" i="5"/>
  <c r="S185" i="5"/>
  <c r="S186" i="5"/>
  <c r="S187" i="5"/>
  <c r="S188" i="5"/>
  <c r="S189" i="5"/>
  <c r="S190" i="5"/>
  <c r="S191" i="5"/>
  <c r="S192" i="5"/>
  <c r="S193" i="5"/>
  <c r="S194" i="5"/>
  <c r="S195" i="5"/>
  <c r="S196" i="5"/>
  <c r="S197" i="5"/>
  <c r="S198" i="5"/>
  <c r="S199" i="5"/>
  <c r="S200" i="5"/>
  <c r="S201" i="5"/>
  <c r="S202" i="5"/>
  <c r="S203" i="5"/>
  <c r="S204" i="5"/>
  <c r="S205" i="5"/>
  <c r="S206" i="5"/>
  <c r="S207" i="5"/>
  <c r="S208" i="5"/>
  <c r="S209" i="5"/>
  <c r="S210" i="5"/>
  <c r="S211" i="5"/>
  <c r="S212" i="5"/>
  <c r="S213" i="5"/>
  <c r="S214" i="5"/>
  <c r="S215" i="5"/>
  <c r="S216" i="5"/>
  <c r="S217" i="5"/>
  <c r="S218" i="5"/>
  <c r="S219" i="5"/>
  <c r="S220" i="5"/>
  <c r="S221" i="5"/>
  <c r="S222" i="5"/>
  <c r="S223" i="5"/>
  <c r="S224" i="5"/>
  <c r="S225" i="5"/>
  <c r="S226" i="5"/>
  <c r="S227" i="5"/>
  <c r="S228" i="5"/>
  <c r="S229" i="5"/>
  <c r="S230" i="5"/>
  <c r="S231" i="5"/>
  <c r="S232" i="5"/>
  <c r="S233" i="5"/>
  <c r="S234" i="5"/>
  <c r="S235" i="5"/>
  <c r="S236" i="5"/>
  <c r="S237" i="5"/>
  <c r="S238" i="5"/>
  <c r="S239" i="5"/>
  <c r="S240" i="5"/>
  <c r="S241" i="5"/>
  <c r="S242" i="5"/>
  <c r="S243" i="5"/>
  <c r="S244" i="5"/>
  <c r="S245" i="5"/>
  <c r="S246" i="5"/>
  <c r="S247" i="5"/>
  <c r="S248" i="5"/>
  <c r="S249" i="5"/>
  <c r="S250" i="5"/>
  <c r="S251" i="5"/>
  <c r="S252" i="5"/>
  <c r="S253" i="5"/>
  <c r="S254" i="5"/>
  <c r="S255" i="5"/>
  <c r="S256" i="5"/>
  <c r="S257" i="5"/>
  <c r="S258" i="5"/>
  <c r="S259" i="5"/>
  <c r="S260" i="5"/>
  <c r="S261" i="5"/>
  <c r="S262" i="5"/>
  <c r="S263" i="5"/>
  <c r="S264" i="5"/>
  <c r="S265" i="5"/>
  <c r="S266" i="5"/>
  <c r="S267" i="5"/>
  <c r="S268" i="5"/>
  <c r="S269" i="5"/>
  <c r="S270" i="5"/>
  <c r="S271" i="5"/>
  <c r="S272" i="5"/>
  <c r="S273" i="5"/>
  <c r="S274" i="5"/>
  <c r="S275" i="5"/>
  <c r="S276" i="5"/>
  <c r="S277" i="5"/>
  <c r="S278" i="5"/>
  <c r="S279" i="5"/>
  <c r="S280" i="5"/>
  <c r="S281" i="5"/>
  <c r="S282" i="5"/>
  <c r="S283" i="5"/>
  <c r="S284" i="5"/>
  <c r="S285" i="5"/>
  <c r="S286" i="5"/>
  <c r="S287" i="5"/>
  <c r="S288" i="5"/>
  <c r="S289" i="5"/>
  <c r="S290" i="5"/>
  <c r="S291" i="5"/>
  <c r="S292" i="5"/>
  <c r="S293" i="5"/>
  <c r="S294" i="5"/>
  <c r="S295" i="5"/>
  <c r="S296" i="5"/>
  <c r="S297" i="5"/>
  <c r="S298" i="5"/>
  <c r="S299" i="5"/>
  <c r="S300" i="5"/>
  <c r="S301" i="5"/>
  <c r="S302" i="5"/>
  <c r="S303" i="5"/>
  <c r="S304" i="5"/>
  <c r="S305" i="5"/>
  <c r="S306" i="5"/>
  <c r="S307" i="5"/>
  <c r="S308" i="5"/>
  <c r="S309" i="5"/>
  <c r="S310" i="5"/>
  <c r="S311" i="5"/>
  <c r="S312" i="5"/>
  <c r="S313" i="5"/>
  <c r="S314" i="5"/>
  <c r="S315" i="5"/>
  <c r="S316" i="5"/>
  <c r="S317" i="5"/>
  <c r="S318" i="5"/>
  <c r="S319" i="5"/>
  <c r="S320" i="5"/>
  <c r="S321" i="5"/>
  <c r="S322" i="5"/>
  <c r="S323" i="5"/>
  <c r="S324" i="5"/>
  <c r="S325" i="5"/>
  <c r="S326" i="5"/>
  <c r="S327" i="5"/>
  <c r="S328" i="5"/>
  <c r="S329" i="5"/>
  <c r="S330" i="5"/>
  <c r="S331" i="5"/>
  <c r="S332" i="5"/>
  <c r="S333" i="5"/>
  <c r="S334" i="5"/>
  <c r="S335" i="5"/>
  <c r="S336" i="5"/>
  <c r="S337" i="5"/>
  <c r="S338" i="5"/>
  <c r="S339" i="5"/>
  <c r="S340" i="5"/>
  <c r="S341" i="5"/>
  <c r="S342" i="5"/>
  <c r="S343" i="5"/>
  <c r="S344" i="5"/>
  <c r="S345" i="5"/>
  <c r="S346" i="5"/>
  <c r="S347" i="5"/>
  <c r="S348" i="5"/>
  <c r="S349" i="5"/>
  <c r="S350" i="5"/>
  <c r="S351" i="5"/>
  <c r="S352" i="5"/>
  <c r="S353" i="5"/>
  <c r="S354" i="5"/>
  <c r="S355" i="5"/>
  <c r="S356" i="5"/>
  <c r="S357" i="5"/>
  <c r="S358" i="5"/>
  <c r="S359" i="5"/>
  <c r="S360" i="5"/>
  <c r="S361" i="5"/>
  <c r="S362" i="5"/>
  <c r="S363" i="5"/>
  <c r="S364" i="5"/>
  <c r="S365" i="5"/>
  <c r="S366" i="5"/>
  <c r="S367" i="5"/>
  <c r="S368" i="5"/>
  <c r="S369" i="5"/>
  <c r="S370" i="5"/>
  <c r="S371" i="5"/>
  <c r="S372" i="5"/>
  <c r="S373" i="5"/>
  <c r="S374" i="5"/>
  <c r="S375" i="5"/>
  <c r="S376" i="5"/>
  <c r="S377" i="5"/>
  <c r="S378" i="5"/>
  <c r="S379" i="5"/>
  <c r="S380" i="5"/>
  <c r="S381" i="5"/>
  <c r="S382" i="5"/>
  <c r="S383" i="5"/>
  <c r="S384" i="5"/>
  <c r="S385" i="5"/>
  <c r="S386" i="5"/>
  <c r="S387" i="5"/>
  <c r="S388" i="5"/>
  <c r="S389" i="5"/>
  <c r="S390" i="5"/>
  <c r="S391" i="5"/>
  <c r="S392" i="5"/>
  <c r="S393" i="5"/>
  <c r="S394" i="5"/>
  <c r="S395" i="5"/>
  <c r="S396" i="5"/>
  <c r="S397" i="5"/>
  <c r="S398" i="5"/>
  <c r="S399" i="5"/>
  <c r="S400" i="5"/>
  <c r="S401" i="5"/>
  <c r="S402" i="5"/>
  <c r="S403" i="5"/>
  <c r="S404" i="5"/>
  <c r="S405" i="5"/>
  <c r="S406" i="5"/>
  <c r="S407" i="5"/>
  <c r="S408" i="5"/>
  <c r="S409" i="5"/>
  <c r="S410" i="5"/>
  <c r="S411" i="5"/>
  <c r="S412" i="5"/>
  <c r="S413" i="5"/>
  <c r="S414" i="5"/>
  <c r="S415" i="5"/>
  <c r="S416" i="5"/>
  <c r="S417" i="5"/>
  <c r="S418" i="5"/>
  <c r="S419" i="5"/>
  <c r="S420" i="5"/>
  <c r="S421" i="5"/>
  <c r="S422" i="5"/>
  <c r="S423" i="5"/>
  <c r="S424" i="5"/>
  <c r="S425" i="5"/>
  <c r="S426" i="5"/>
  <c r="S427" i="5"/>
  <c r="S428" i="5"/>
  <c r="S429" i="5"/>
  <c r="S430" i="5"/>
  <c r="S431" i="5"/>
  <c r="S432" i="5"/>
  <c r="S433" i="5"/>
  <c r="S434" i="5"/>
  <c r="S435" i="5"/>
  <c r="S436" i="5"/>
  <c r="S437" i="5"/>
  <c r="S438" i="5"/>
  <c r="S439" i="5"/>
  <c r="S440" i="5"/>
  <c r="S441" i="5"/>
  <c r="S442" i="5"/>
  <c r="S443" i="5"/>
  <c r="S444" i="5"/>
  <c r="S445" i="5"/>
  <c r="S446" i="5"/>
  <c r="S447" i="5"/>
  <c r="S448" i="5"/>
  <c r="S449" i="5"/>
  <c r="S450" i="5"/>
  <c r="S451" i="5"/>
  <c r="S452" i="5"/>
  <c r="S453" i="5"/>
  <c r="S454" i="5"/>
  <c r="S455" i="5"/>
  <c r="S456" i="5"/>
  <c r="S457" i="5"/>
  <c r="S458" i="5"/>
  <c r="S459" i="5"/>
  <c r="S460" i="5"/>
  <c r="S461" i="5"/>
  <c r="S462" i="5"/>
  <c r="S463" i="5"/>
  <c r="S464" i="5"/>
  <c r="S465" i="5"/>
  <c r="S466" i="5"/>
  <c r="S467" i="5"/>
  <c r="S468" i="5"/>
  <c r="S469" i="5"/>
  <c r="S470" i="5"/>
  <c r="S471" i="5"/>
  <c r="S472" i="5"/>
  <c r="S473" i="5"/>
  <c r="S474" i="5"/>
  <c r="S475" i="5"/>
  <c r="S476" i="5"/>
  <c r="S477" i="5"/>
  <c r="S478" i="5"/>
  <c r="S479" i="5"/>
  <c r="S480" i="5"/>
  <c r="S481" i="5"/>
  <c r="S482" i="5"/>
  <c r="S483" i="5"/>
  <c r="S484" i="5"/>
  <c r="S485" i="5"/>
  <c r="S486" i="5"/>
  <c r="S487" i="5"/>
  <c r="S488" i="5"/>
  <c r="S489" i="5"/>
  <c r="S490" i="5"/>
  <c r="S491" i="5"/>
  <c r="S492" i="5"/>
  <c r="S493" i="5"/>
  <c r="S494" i="5"/>
  <c r="S495" i="5"/>
  <c r="S496" i="5"/>
  <c r="S497" i="5"/>
  <c r="S498" i="5"/>
  <c r="S499" i="5"/>
  <c r="S500" i="5"/>
  <c r="S501" i="5"/>
  <c r="S502" i="5"/>
  <c r="S503" i="5"/>
  <c r="S504" i="5"/>
  <c r="S505" i="5"/>
  <c r="S506" i="5"/>
  <c r="S507" i="5"/>
  <c r="S508" i="5"/>
  <c r="S509" i="5"/>
  <c r="S510" i="5"/>
  <c r="S511" i="5"/>
  <c r="S512" i="5"/>
  <c r="S513" i="5"/>
  <c r="S514" i="5"/>
  <c r="S515" i="5"/>
  <c r="S516" i="5"/>
  <c r="S517" i="5"/>
  <c r="S518" i="5"/>
  <c r="S519" i="5"/>
  <c r="S520" i="5"/>
  <c r="S521" i="5"/>
  <c r="S522" i="5"/>
  <c r="S523" i="5"/>
  <c r="S524" i="5"/>
  <c r="S525" i="5"/>
  <c r="S526" i="5"/>
  <c r="S527" i="5"/>
  <c r="S528" i="5"/>
  <c r="S529" i="5"/>
  <c r="S530" i="5"/>
  <c r="S531" i="5"/>
  <c r="S532" i="5"/>
  <c r="S533" i="5"/>
  <c r="S534" i="5"/>
  <c r="S535" i="5"/>
  <c r="S536" i="5"/>
  <c r="S537" i="5"/>
  <c r="S538" i="5"/>
  <c r="S539" i="5"/>
  <c r="S540" i="5"/>
  <c r="S541" i="5"/>
  <c r="S542" i="5"/>
  <c r="S543" i="5"/>
  <c r="S544" i="5"/>
  <c r="S545" i="5"/>
  <c r="S546" i="5"/>
  <c r="S547" i="5"/>
  <c r="S548" i="5"/>
  <c r="S549" i="5"/>
  <c r="S550" i="5"/>
  <c r="S551" i="5"/>
  <c r="S552" i="5"/>
  <c r="S553" i="5"/>
  <c r="S554" i="5"/>
  <c r="S555" i="5"/>
  <c r="S556" i="5"/>
  <c r="S557" i="5"/>
  <c r="S558" i="5"/>
  <c r="S559" i="5"/>
  <c r="S560" i="5"/>
  <c r="S561" i="5"/>
  <c r="S562" i="5"/>
  <c r="S563" i="5"/>
  <c r="S564" i="5"/>
  <c r="S565" i="5"/>
  <c r="S566" i="5"/>
  <c r="S567" i="5"/>
  <c r="S568" i="5"/>
  <c r="S569" i="5"/>
  <c r="S570" i="5"/>
  <c r="S571" i="5"/>
  <c r="S572" i="5"/>
  <c r="S573" i="5"/>
  <c r="S574" i="5"/>
  <c r="S575" i="5"/>
  <c r="S576" i="5"/>
  <c r="S577" i="5"/>
  <c r="S578" i="5"/>
  <c r="S579" i="5"/>
  <c r="S580" i="5"/>
  <c r="S581" i="5"/>
  <c r="S582" i="5"/>
  <c r="S583" i="5"/>
  <c r="S584" i="5"/>
  <c r="S585" i="5"/>
  <c r="S586" i="5"/>
  <c r="S587" i="5"/>
  <c r="S588" i="5"/>
  <c r="S589" i="5"/>
  <c r="S590" i="5"/>
  <c r="S591" i="5"/>
  <c r="S592" i="5"/>
  <c r="S593" i="5"/>
  <c r="S594" i="5"/>
  <c r="S595" i="5"/>
  <c r="S596" i="5"/>
  <c r="S597" i="5"/>
  <c r="S598" i="5"/>
  <c r="S599" i="5"/>
  <c r="S600" i="5"/>
  <c r="S601" i="5"/>
  <c r="S602" i="5"/>
  <c r="S603" i="5"/>
  <c r="S604" i="5"/>
  <c r="S605" i="5"/>
  <c r="S606" i="5"/>
  <c r="S607" i="5"/>
  <c r="S608" i="5"/>
  <c r="S609" i="5"/>
  <c r="S610" i="5"/>
  <c r="S611" i="5"/>
  <c r="S612" i="5"/>
  <c r="S613" i="5"/>
  <c r="S614" i="5"/>
  <c r="S615" i="5"/>
  <c r="S616" i="5"/>
  <c r="S617" i="5"/>
  <c r="S618" i="5"/>
  <c r="S619" i="5"/>
  <c r="S620" i="5"/>
  <c r="S621" i="5"/>
  <c r="S622" i="5"/>
  <c r="S623" i="5"/>
  <c r="S624" i="5"/>
  <c r="S625" i="5"/>
  <c r="S626" i="5"/>
  <c r="S627" i="5"/>
  <c r="S628" i="5"/>
  <c r="S629" i="5"/>
  <c r="S630" i="5"/>
  <c r="S631" i="5"/>
  <c r="S632" i="5"/>
  <c r="S633" i="5"/>
  <c r="S634" i="5"/>
  <c r="S635" i="5"/>
  <c r="S636" i="5"/>
  <c r="S637" i="5"/>
  <c r="S638" i="5"/>
  <c r="S639" i="5"/>
  <c r="S640" i="5"/>
  <c r="S641" i="5"/>
  <c r="S642" i="5"/>
  <c r="S643" i="5"/>
  <c r="S644" i="5"/>
  <c r="S645" i="5"/>
  <c r="S646" i="5"/>
  <c r="S647" i="5"/>
  <c r="S648" i="5"/>
  <c r="S649" i="5"/>
  <c r="S650" i="5"/>
  <c r="S651" i="5"/>
  <c r="S652" i="5"/>
  <c r="S653" i="5"/>
  <c r="S654" i="5"/>
  <c r="S655" i="5"/>
  <c r="S656" i="5"/>
  <c r="S657" i="5"/>
  <c r="S658" i="5"/>
  <c r="S659" i="5"/>
  <c r="S660" i="5"/>
  <c r="S661" i="5"/>
  <c r="S662" i="5"/>
  <c r="S663" i="5"/>
  <c r="S664" i="5"/>
  <c r="S665" i="5"/>
  <c r="S666" i="5"/>
  <c r="S667" i="5"/>
  <c r="S668" i="5"/>
  <c r="S669" i="5"/>
  <c r="S670" i="5"/>
  <c r="S671" i="5"/>
  <c r="S672" i="5"/>
  <c r="S673" i="5"/>
  <c r="S674" i="5"/>
  <c r="S675" i="5"/>
  <c r="S676" i="5"/>
  <c r="S677" i="5"/>
  <c r="S678" i="5"/>
  <c r="S679" i="5"/>
  <c r="S680" i="5"/>
  <c r="S681" i="5"/>
  <c r="S682" i="5"/>
  <c r="S683" i="5"/>
  <c r="S684" i="5"/>
  <c r="S685" i="5"/>
  <c r="S686" i="5"/>
  <c r="S687" i="5"/>
  <c r="S688" i="5"/>
  <c r="S689" i="5"/>
  <c r="S690" i="5"/>
  <c r="S691" i="5"/>
  <c r="S692" i="5"/>
  <c r="S693" i="5"/>
  <c r="S694" i="5"/>
  <c r="S695" i="5"/>
  <c r="S696" i="5"/>
  <c r="S697" i="5"/>
  <c r="S698" i="5"/>
  <c r="S699" i="5"/>
  <c r="S700" i="5"/>
  <c r="S701" i="5"/>
  <c r="S702" i="5"/>
  <c r="S703" i="5"/>
  <c r="S704" i="5"/>
  <c r="S705" i="5"/>
  <c r="S706" i="5"/>
  <c r="S707" i="5"/>
  <c r="S708" i="5"/>
  <c r="S709" i="5"/>
  <c r="S710" i="5"/>
  <c r="S711" i="5"/>
  <c r="S712" i="5"/>
  <c r="S713" i="5"/>
  <c r="S714" i="5"/>
  <c r="S715" i="5"/>
  <c r="S716" i="5"/>
  <c r="S717" i="5"/>
  <c r="S718" i="5"/>
  <c r="S719" i="5"/>
  <c r="S720" i="5"/>
  <c r="S721" i="5"/>
  <c r="S722" i="5"/>
  <c r="S723" i="5"/>
  <c r="S724" i="5"/>
  <c r="S725" i="5"/>
  <c r="S726" i="5"/>
  <c r="S727" i="5"/>
  <c r="S728" i="5"/>
  <c r="S729" i="5"/>
  <c r="S730" i="5"/>
  <c r="S731" i="5"/>
  <c r="S732" i="5"/>
  <c r="S733" i="5"/>
  <c r="S734" i="5"/>
  <c r="S735" i="5"/>
  <c r="S736" i="5"/>
  <c r="S737" i="5"/>
  <c r="S738" i="5"/>
  <c r="S739" i="5"/>
  <c r="S740" i="5"/>
  <c r="S741" i="5"/>
  <c r="S742" i="5"/>
  <c r="S743" i="5"/>
  <c r="S744" i="5"/>
  <c r="S745" i="5"/>
  <c r="S746" i="5"/>
  <c r="S747" i="5"/>
  <c r="S748" i="5"/>
  <c r="S749" i="5"/>
  <c r="S750" i="5"/>
  <c r="S751" i="5"/>
  <c r="S752" i="5"/>
  <c r="S753" i="5"/>
  <c r="S754" i="5"/>
  <c r="S755" i="5"/>
  <c r="S756" i="5"/>
  <c r="S757" i="5"/>
  <c r="S758" i="5"/>
  <c r="S759" i="5"/>
  <c r="S760" i="5"/>
  <c r="S761" i="5"/>
  <c r="S762" i="5"/>
  <c r="S763" i="5"/>
  <c r="S764" i="5"/>
  <c r="S765" i="5"/>
  <c r="S766" i="5"/>
  <c r="S767" i="5"/>
  <c r="S768" i="5"/>
  <c r="S769" i="5"/>
  <c r="S770" i="5"/>
  <c r="S771" i="5"/>
  <c r="S772" i="5"/>
  <c r="S773" i="5"/>
  <c r="S774" i="5"/>
  <c r="S775" i="5"/>
  <c r="S776" i="5"/>
  <c r="S777" i="5"/>
  <c r="S778" i="5"/>
  <c r="S779" i="5"/>
  <c r="S780" i="5"/>
  <c r="S781" i="5"/>
  <c r="S782" i="5"/>
  <c r="S783" i="5"/>
  <c r="S784" i="5"/>
  <c r="S785" i="5"/>
  <c r="S786" i="5"/>
  <c r="S787" i="5"/>
  <c r="S788" i="5"/>
  <c r="S789" i="5"/>
  <c r="S790" i="5"/>
  <c r="S791" i="5"/>
  <c r="S792" i="5"/>
  <c r="S793" i="5"/>
  <c r="S794" i="5"/>
  <c r="S795" i="5"/>
  <c r="S796" i="5"/>
  <c r="S797" i="5"/>
  <c r="S798" i="5"/>
  <c r="S799" i="5"/>
  <c r="S800" i="5"/>
  <c r="S801" i="5"/>
  <c r="S802" i="5"/>
  <c r="S803" i="5"/>
  <c r="S804" i="5"/>
  <c r="S805" i="5"/>
  <c r="S806" i="5"/>
  <c r="S807" i="5"/>
  <c r="S808" i="5"/>
  <c r="S809" i="5"/>
  <c r="S810" i="5"/>
  <c r="S811" i="5"/>
  <c r="S812" i="5"/>
  <c r="S813" i="5"/>
  <c r="S814" i="5"/>
  <c r="S815" i="5"/>
  <c r="S816" i="5"/>
  <c r="S817" i="5"/>
  <c r="S818" i="5"/>
  <c r="S819" i="5"/>
  <c r="S820" i="5"/>
  <c r="S821" i="5"/>
  <c r="S822" i="5"/>
  <c r="S823" i="5"/>
  <c r="S824" i="5"/>
  <c r="S825" i="5"/>
  <c r="S826" i="5"/>
  <c r="S827" i="5"/>
  <c r="S828" i="5"/>
  <c r="S829" i="5"/>
  <c r="S830" i="5"/>
  <c r="S831" i="5"/>
  <c r="S832" i="5"/>
  <c r="S833" i="5"/>
  <c r="S834" i="5"/>
  <c r="S835" i="5"/>
  <c r="S836" i="5"/>
  <c r="S837" i="5"/>
  <c r="S838" i="5"/>
  <c r="S839" i="5"/>
  <c r="S840" i="5"/>
  <c r="S841" i="5"/>
  <c r="S842" i="5"/>
  <c r="S843" i="5"/>
  <c r="S844" i="5"/>
  <c r="S845" i="5"/>
  <c r="S846" i="5"/>
  <c r="S847" i="5"/>
  <c r="S848" i="5"/>
  <c r="S849" i="5"/>
  <c r="S850" i="5"/>
  <c r="S851" i="5"/>
  <c r="S852" i="5"/>
  <c r="S853" i="5"/>
  <c r="S854" i="5"/>
  <c r="S855" i="5"/>
  <c r="S856" i="5"/>
  <c r="S857" i="5"/>
  <c r="S858" i="5"/>
  <c r="S859" i="5"/>
  <c r="S860" i="5"/>
  <c r="S861" i="5"/>
  <c r="S862" i="5"/>
  <c r="S863" i="5"/>
  <c r="S864" i="5"/>
  <c r="S865" i="5"/>
  <c r="S866" i="5"/>
  <c r="S867" i="5"/>
  <c r="S868" i="5"/>
  <c r="S869" i="5"/>
  <c r="S870" i="5"/>
  <c r="S871" i="5"/>
  <c r="S872" i="5"/>
  <c r="S873" i="5"/>
  <c r="S874" i="5"/>
  <c r="S875" i="5"/>
  <c r="S876" i="5"/>
  <c r="S877" i="5"/>
  <c r="S878" i="5"/>
  <c r="S879" i="5"/>
  <c r="S880" i="5"/>
  <c r="S881" i="5"/>
  <c r="S882" i="5"/>
  <c r="S883" i="5"/>
  <c r="S884" i="5"/>
  <c r="S885" i="5"/>
  <c r="S886" i="5"/>
  <c r="S887" i="5"/>
  <c r="S888" i="5"/>
  <c r="S889" i="5"/>
  <c r="S890" i="5"/>
  <c r="S891" i="5"/>
  <c r="S892" i="5"/>
  <c r="S893" i="5"/>
  <c r="S894" i="5"/>
  <c r="S895" i="5"/>
  <c r="S896" i="5"/>
  <c r="S897" i="5"/>
  <c r="S898" i="5"/>
  <c r="S899" i="5"/>
  <c r="S900" i="5"/>
  <c r="S901" i="5"/>
  <c r="S902" i="5"/>
  <c r="S903" i="5"/>
  <c r="S904" i="5"/>
  <c r="S905" i="5"/>
  <c r="S906" i="5"/>
  <c r="S907" i="5"/>
  <c r="S908" i="5"/>
  <c r="S909" i="5"/>
  <c r="S910" i="5"/>
  <c r="S911" i="5"/>
  <c r="S912" i="5"/>
  <c r="S913" i="5"/>
  <c r="S914" i="5"/>
  <c r="S915" i="5"/>
  <c r="S916" i="5"/>
  <c r="S917" i="5"/>
  <c r="S918" i="5"/>
  <c r="S919" i="5"/>
  <c r="S920" i="5"/>
  <c r="S921" i="5"/>
  <c r="S922" i="5"/>
  <c r="S923" i="5"/>
  <c r="S924" i="5"/>
  <c r="S925" i="5"/>
  <c r="S926" i="5"/>
  <c r="S927" i="5"/>
  <c r="S928" i="5"/>
  <c r="S929" i="5"/>
  <c r="S930" i="5"/>
  <c r="S931" i="5"/>
  <c r="S932" i="5"/>
  <c r="S933" i="5"/>
  <c r="S934" i="5"/>
  <c r="S935" i="5"/>
  <c r="S936" i="5"/>
  <c r="S937" i="5"/>
  <c r="S938" i="5"/>
  <c r="S939" i="5"/>
  <c r="S940" i="5"/>
  <c r="S941" i="5"/>
  <c r="S942" i="5"/>
  <c r="S943" i="5"/>
  <c r="S944" i="5"/>
  <c r="S945" i="5"/>
  <c r="S946" i="5"/>
  <c r="S947" i="5"/>
  <c r="S948" i="5"/>
  <c r="S949" i="5"/>
  <c r="S950" i="5"/>
  <c r="S951" i="5"/>
  <c r="S952" i="5"/>
  <c r="S953" i="5"/>
  <c r="S954" i="5"/>
  <c r="S955" i="5"/>
  <c r="S956" i="5"/>
  <c r="S957" i="5"/>
  <c r="S958" i="5"/>
  <c r="S959" i="5"/>
  <c r="S960" i="5"/>
  <c r="S961" i="5"/>
  <c r="S962" i="5"/>
  <c r="S963" i="5"/>
  <c r="S964" i="5"/>
  <c r="S965" i="5"/>
  <c r="S966" i="5"/>
  <c r="S967" i="5"/>
  <c r="S968" i="5"/>
  <c r="S969" i="5"/>
  <c r="S970" i="5"/>
  <c r="S971" i="5"/>
  <c r="S972" i="5"/>
  <c r="S973" i="5"/>
  <c r="S974" i="5"/>
  <c r="S975" i="5"/>
  <c r="S976" i="5"/>
  <c r="S977" i="5"/>
  <c r="S978" i="5"/>
  <c r="S979" i="5"/>
  <c r="S980" i="5"/>
  <c r="S981" i="5"/>
  <c r="S982" i="5"/>
  <c r="S983" i="5"/>
  <c r="S984" i="5"/>
  <c r="S985" i="5"/>
  <c r="S986" i="5"/>
  <c r="S987" i="5"/>
  <c r="S988" i="5"/>
  <c r="S989" i="5"/>
  <c r="S990" i="5"/>
  <c r="S991" i="5"/>
  <c r="S992" i="5"/>
  <c r="S993" i="5"/>
  <c r="S994" i="5"/>
  <c r="S995" i="5"/>
  <c r="S996" i="5"/>
  <c r="S997" i="5"/>
  <c r="S998" i="5"/>
  <c r="S999" i="5"/>
  <c r="S1000" i="5"/>
  <c r="S1001" i="5"/>
  <c r="S1002" i="5"/>
  <c r="S1003" i="5"/>
  <c r="S1004" i="5"/>
  <c r="S1005" i="5"/>
  <c r="R2" i="5"/>
  <c r="R3" i="5"/>
  <c r="R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R34" i="5"/>
  <c r="R35" i="5"/>
  <c r="R36" i="5"/>
  <c r="R37" i="5"/>
  <c r="R38" i="5"/>
  <c r="R39" i="5"/>
  <c r="R40" i="5"/>
  <c r="R41" i="5"/>
  <c r="R42" i="5"/>
  <c r="R43" i="5"/>
  <c r="R44" i="5"/>
  <c r="R45" i="5"/>
  <c r="R46" i="5"/>
  <c r="R47" i="5"/>
  <c r="R48" i="5"/>
  <c r="R49" i="5"/>
  <c r="R50" i="5"/>
  <c r="R51" i="5"/>
  <c r="R52" i="5"/>
  <c r="R53" i="5"/>
  <c r="R54" i="5"/>
  <c r="R55" i="5"/>
  <c r="R56" i="5"/>
  <c r="R57" i="5"/>
  <c r="R58" i="5"/>
  <c r="R59" i="5"/>
  <c r="R60" i="5"/>
  <c r="R61" i="5"/>
  <c r="R62" i="5"/>
  <c r="R63" i="5"/>
  <c r="R64" i="5"/>
  <c r="R65" i="5"/>
  <c r="R66" i="5"/>
  <c r="R67" i="5"/>
  <c r="R68" i="5"/>
  <c r="R69" i="5"/>
  <c r="R70" i="5"/>
  <c r="R71" i="5"/>
  <c r="R72" i="5"/>
  <c r="R73" i="5"/>
  <c r="R74" i="5"/>
  <c r="R75" i="5"/>
  <c r="R76" i="5"/>
  <c r="R77" i="5"/>
  <c r="R78" i="5"/>
  <c r="R79" i="5"/>
  <c r="R80" i="5"/>
  <c r="R81" i="5"/>
  <c r="R82" i="5"/>
  <c r="R83" i="5"/>
  <c r="R84" i="5"/>
  <c r="R85" i="5"/>
  <c r="R86" i="5"/>
  <c r="R87" i="5"/>
  <c r="R88" i="5"/>
  <c r="R89" i="5"/>
  <c r="R90" i="5"/>
  <c r="R91" i="5"/>
  <c r="R92" i="5"/>
  <c r="R93" i="5"/>
  <c r="R94" i="5"/>
  <c r="R95" i="5"/>
  <c r="R96" i="5"/>
  <c r="R97" i="5"/>
  <c r="R98" i="5"/>
  <c r="R99" i="5"/>
  <c r="R100" i="5"/>
  <c r="R101" i="5"/>
  <c r="R102" i="5"/>
  <c r="R103" i="5"/>
  <c r="R104" i="5"/>
  <c r="R105" i="5"/>
  <c r="R106" i="5"/>
  <c r="R107" i="5"/>
  <c r="R108" i="5"/>
  <c r="R109" i="5"/>
  <c r="R110" i="5"/>
  <c r="R111" i="5"/>
  <c r="R112" i="5"/>
  <c r="R113" i="5"/>
  <c r="R114" i="5"/>
  <c r="R115" i="5"/>
  <c r="R116" i="5"/>
  <c r="R117" i="5"/>
  <c r="R118" i="5"/>
  <c r="R119" i="5"/>
  <c r="R120" i="5"/>
  <c r="R121" i="5"/>
  <c r="R122" i="5"/>
  <c r="R123" i="5"/>
  <c r="R124" i="5"/>
  <c r="R125" i="5"/>
  <c r="R126" i="5"/>
  <c r="R127" i="5"/>
  <c r="R128" i="5"/>
  <c r="R129" i="5"/>
  <c r="R130" i="5"/>
  <c r="R131" i="5"/>
  <c r="R132" i="5"/>
  <c r="R133" i="5"/>
  <c r="R134" i="5"/>
  <c r="R135" i="5"/>
  <c r="R136" i="5"/>
  <c r="R137" i="5"/>
  <c r="R138" i="5"/>
  <c r="R139" i="5"/>
  <c r="R140" i="5"/>
  <c r="R141" i="5"/>
  <c r="R142" i="5"/>
  <c r="R143" i="5"/>
  <c r="R144" i="5"/>
  <c r="R145" i="5"/>
  <c r="R146" i="5"/>
  <c r="R147" i="5"/>
  <c r="R148" i="5"/>
  <c r="R149" i="5"/>
  <c r="R150" i="5"/>
  <c r="R151" i="5"/>
  <c r="R152" i="5"/>
  <c r="R153" i="5"/>
  <c r="R154" i="5"/>
  <c r="R155" i="5"/>
  <c r="R156" i="5"/>
  <c r="R157" i="5"/>
  <c r="R158" i="5"/>
  <c r="R159" i="5"/>
  <c r="R160" i="5"/>
  <c r="R161" i="5"/>
  <c r="R162" i="5"/>
  <c r="R163" i="5"/>
  <c r="R164" i="5"/>
  <c r="R165" i="5"/>
  <c r="R166" i="5"/>
  <c r="R167" i="5"/>
  <c r="R168" i="5"/>
  <c r="R169" i="5"/>
  <c r="R170" i="5"/>
  <c r="R171" i="5"/>
  <c r="R172" i="5"/>
  <c r="R173" i="5"/>
  <c r="R174" i="5"/>
  <c r="R175" i="5"/>
  <c r="R176" i="5"/>
  <c r="R177" i="5"/>
  <c r="R178" i="5"/>
  <c r="R179" i="5"/>
  <c r="R180" i="5"/>
  <c r="R181" i="5"/>
  <c r="R182" i="5"/>
  <c r="R183" i="5"/>
  <c r="R184" i="5"/>
  <c r="R185" i="5"/>
  <c r="R186" i="5"/>
  <c r="R187" i="5"/>
  <c r="R188" i="5"/>
  <c r="R189" i="5"/>
  <c r="R190" i="5"/>
  <c r="R191" i="5"/>
  <c r="R192" i="5"/>
  <c r="R193" i="5"/>
  <c r="R194" i="5"/>
  <c r="R195" i="5"/>
  <c r="R196" i="5"/>
  <c r="R197" i="5"/>
  <c r="R198" i="5"/>
  <c r="R199" i="5"/>
  <c r="R200" i="5"/>
  <c r="R201" i="5"/>
  <c r="R202" i="5"/>
  <c r="R203" i="5"/>
  <c r="R204" i="5"/>
  <c r="R205" i="5"/>
  <c r="R206" i="5"/>
  <c r="R207" i="5"/>
  <c r="R208" i="5"/>
  <c r="R209" i="5"/>
  <c r="R210" i="5"/>
  <c r="R211" i="5"/>
  <c r="R212" i="5"/>
  <c r="R213" i="5"/>
  <c r="R214" i="5"/>
  <c r="R215" i="5"/>
  <c r="R216" i="5"/>
  <c r="R217" i="5"/>
  <c r="R218" i="5"/>
  <c r="R219" i="5"/>
  <c r="R220" i="5"/>
  <c r="R221" i="5"/>
  <c r="R222" i="5"/>
  <c r="R223" i="5"/>
  <c r="R224" i="5"/>
  <c r="R225" i="5"/>
  <c r="R226" i="5"/>
  <c r="R227" i="5"/>
  <c r="R228" i="5"/>
  <c r="R229" i="5"/>
  <c r="R230" i="5"/>
  <c r="R231" i="5"/>
  <c r="R232" i="5"/>
  <c r="R233" i="5"/>
  <c r="R234" i="5"/>
  <c r="R235" i="5"/>
  <c r="R236" i="5"/>
  <c r="R237" i="5"/>
  <c r="R238" i="5"/>
  <c r="R239" i="5"/>
  <c r="R240" i="5"/>
  <c r="R241" i="5"/>
  <c r="R242" i="5"/>
  <c r="R243" i="5"/>
  <c r="R244" i="5"/>
  <c r="R245" i="5"/>
  <c r="R246" i="5"/>
  <c r="R247" i="5"/>
  <c r="R248" i="5"/>
  <c r="R249" i="5"/>
  <c r="R250" i="5"/>
  <c r="R251" i="5"/>
  <c r="R252" i="5"/>
  <c r="R253" i="5"/>
  <c r="R254" i="5"/>
  <c r="R255" i="5"/>
  <c r="R256" i="5"/>
  <c r="R257" i="5"/>
  <c r="R258" i="5"/>
  <c r="R259" i="5"/>
  <c r="R260" i="5"/>
  <c r="R261" i="5"/>
  <c r="R262" i="5"/>
  <c r="R263" i="5"/>
  <c r="R264" i="5"/>
  <c r="R265" i="5"/>
  <c r="R266" i="5"/>
  <c r="R267" i="5"/>
  <c r="R268" i="5"/>
  <c r="R269" i="5"/>
  <c r="R270" i="5"/>
  <c r="R271" i="5"/>
  <c r="R272" i="5"/>
  <c r="R273" i="5"/>
  <c r="R274" i="5"/>
  <c r="R275" i="5"/>
  <c r="R276" i="5"/>
  <c r="R277" i="5"/>
  <c r="R278" i="5"/>
  <c r="R279" i="5"/>
  <c r="R280" i="5"/>
  <c r="R281" i="5"/>
  <c r="R282" i="5"/>
  <c r="R283" i="5"/>
  <c r="R284" i="5"/>
  <c r="R285" i="5"/>
  <c r="R286" i="5"/>
  <c r="R287" i="5"/>
  <c r="R288" i="5"/>
  <c r="R289" i="5"/>
  <c r="R290" i="5"/>
  <c r="R291" i="5"/>
  <c r="R292" i="5"/>
  <c r="R293" i="5"/>
  <c r="R294" i="5"/>
  <c r="R295" i="5"/>
  <c r="R296" i="5"/>
  <c r="R297" i="5"/>
  <c r="R298" i="5"/>
  <c r="R299" i="5"/>
  <c r="R300" i="5"/>
  <c r="R301" i="5"/>
  <c r="R302" i="5"/>
  <c r="R303" i="5"/>
  <c r="R304" i="5"/>
  <c r="R305" i="5"/>
  <c r="R306" i="5"/>
  <c r="R307" i="5"/>
  <c r="R308" i="5"/>
  <c r="R309" i="5"/>
  <c r="R310" i="5"/>
  <c r="R311" i="5"/>
  <c r="R312" i="5"/>
  <c r="R313" i="5"/>
  <c r="R314" i="5"/>
  <c r="R315" i="5"/>
  <c r="R316" i="5"/>
  <c r="R317" i="5"/>
  <c r="R318" i="5"/>
  <c r="R319" i="5"/>
  <c r="R320" i="5"/>
  <c r="R321" i="5"/>
  <c r="R322" i="5"/>
  <c r="R323" i="5"/>
  <c r="R324" i="5"/>
  <c r="R325" i="5"/>
  <c r="R326" i="5"/>
  <c r="R327" i="5"/>
  <c r="R328" i="5"/>
  <c r="R329" i="5"/>
  <c r="R330" i="5"/>
  <c r="R331" i="5"/>
  <c r="R332" i="5"/>
  <c r="R333" i="5"/>
  <c r="R334" i="5"/>
  <c r="R335" i="5"/>
  <c r="R336" i="5"/>
  <c r="R337" i="5"/>
  <c r="R338" i="5"/>
  <c r="R339" i="5"/>
  <c r="R340" i="5"/>
  <c r="R341" i="5"/>
  <c r="R342" i="5"/>
  <c r="R343" i="5"/>
  <c r="R344" i="5"/>
  <c r="R345" i="5"/>
  <c r="R346" i="5"/>
  <c r="R347" i="5"/>
  <c r="R348" i="5"/>
  <c r="R349" i="5"/>
  <c r="R350" i="5"/>
  <c r="R351" i="5"/>
  <c r="R352" i="5"/>
  <c r="R353" i="5"/>
  <c r="R354" i="5"/>
  <c r="R355" i="5"/>
  <c r="R356" i="5"/>
  <c r="R357" i="5"/>
  <c r="R358" i="5"/>
  <c r="R359" i="5"/>
  <c r="R360" i="5"/>
  <c r="R361" i="5"/>
  <c r="R362" i="5"/>
  <c r="R363" i="5"/>
  <c r="R364" i="5"/>
  <c r="R365" i="5"/>
  <c r="R366" i="5"/>
  <c r="R367" i="5"/>
  <c r="R368" i="5"/>
  <c r="R369" i="5"/>
  <c r="R370" i="5"/>
  <c r="R371" i="5"/>
  <c r="R372" i="5"/>
  <c r="R373" i="5"/>
  <c r="R374" i="5"/>
  <c r="R375" i="5"/>
  <c r="R376" i="5"/>
  <c r="R377" i="5"/>
  <c r="R378" i="5"/>
  <c r="R379" i="5"/>
  <c r="R380" i="5"/>
  <c r="R381" i="5"/>
  <c r="R382" i="5"/>
  <c r="R383" i="5"/>
  <c r="R384" i="5"/>
  <c r="R385" i="5"/>
  <c r="R386" i="5"/>
  <c r="R387" i="5"/>
  <c r="R388" i="5"/>
  <c r="R389" i="5"/>
  <c r="R390" i="5"/>
  <c r="R391" i="5"/>
  <c r="R392" i="5"/>
  <c r="R393" i="5"/>
  <c r="R394" i="5"/>
  <c r="R395" i="5"/>
  <c r="R396" i="5"/>
  <c r="R397" i="5"/>
  <c r="R398" i="5"/>
  <c r="R399" i="5"/>
  <c r="R400" i="5"/>
  <c r="R401" i="5"/>
  <c r="R402" i="5"/>
  <c r="R403" i="5"/>
  <c r="R404" i="5"/>
  <c r="R405" i="5"/>
  <c r="R406" i="5"/>
  <c r="R407" i="5"/>
  <c r="R408" i="5"/>
  <c r="R409" i="5"/>
  <c r="R410" i="5"/>
  <c r="R411" i="5"/>
  <c r="R412" i="5"/>
  <c r="R413" i="5"/>
  <c r="R414" i="5"/>
  <c r="R415" i="5"/>
  <c r="R416" i="5"/>
  <c r="R417" i="5"/>
  <c r="R418" i="5"/>
  <c r="R419" i="5"/>
  <c r="R420" i="5"/>
  <c r="R421" i="5"/>
  <c r="R422" i="5"/>
  <c r="R423" i="5"/>
  <c r="R424" i="5"/>
  <c r="R425" i="5"/>
  <c r="R426" i="5"/>
  <c r="R427" i="5"/>
  <c r="R428" i="5"/>
  <c r="R429" i="5"/>
  <c r="R430" i="5"/>
  <c r="R431" i="5"/>
  <c r="R432" i="5"/>
  <c r="R433" i="5"/>
  <c r="R434" i="5"/>
  <c r="R435" i="5"/>
  <c r="R436" i="5"/>
  <c r="R437" i="5"/>
  <c r="R438" i="5"/>
  <c r="R439" i="5"/>
  <c r="R440" i="5"/>
  <c r="R441" i="5"/>
  <c r="R442" i="5"/>
  <c r="R443" i="5"/>
  <c r="R444" i="5"/>
  <c r="R445" i="5"/>
  <c r="R446" i="5"/>
  <c r="R447" i="5"/>
  <c r="R448" i="5"/>
  <c r="R449" i="5"/>
  <c r="R450" i="5"/>
  <c r="R451" i="5"/>
  <c r="R452" i="5"/>
  <c r="R453" i="5"/>
  <c r="R454" i="5"/>
  <c r="R455" i="5"/>
  <c r="R456" i="5"/>
  <c r="R457" i="5"/>
  <c r="R458" i="5"/>
  <c r="R459" i="5"/>
  <c r="R460" i="5"/>
  <c r="R461" i="5"/>
  <c r="R462" i="5"/>
  <c r="R463" i="5"/>
  <c r="R464" i="5"/>
  <c r="R465" i="5"/>
  <c r="R466" i="5"/>
  <c r="R467" i="5"/>
  <c r="R468" i="5"/>
  <c r="R469" i="5"/>
  <c r="R470" i="5"/>
  <c r="R471" i="5"/>
  <c r="R472" i="5"/>
  <c r="R473" i="5"/>
  <c r="R474" i="5"/>
  <c r="R475" i="5"/>
  <c r="R476" i="5"/>
  <c r="R477" i="5"/>
  <c r="R478" i="5"/>
  <c r="R479" i="5"/>
  <c r="R480" i="5"/>
  <c r="R481" i="5"/>
  <c r="R482" i="5"/>
  <c r="R483" i="5"/>
  <c r="R484" i="5"/>
  <c r="R485" i="5"/>
  <c r="R486" i="5"/>
  <c r="R487" i="5"/>
  <c r="R488" i="5"/>
  <c r="R489" i="5"/>
  <c r="R490" i="5"/>
  <c r="R491" i="5"/>
  <c r="R492" i="5"/>
  <c r="R493" i="5"/>
  <c r="R494" i="5"/>
  <c r="R495" i="5"/>
  <c r="R496" i="5"/>
  <c r="R497" i="5"/>
  <c r="R498" i="5"/>
  <c r="R499" i="5"/>
  <c r="R500" i="5"/>
  <c r="R501" i="5"/>
  <c r="R502" i="5"/>
  <c r="R503" i="5"/>
  <c r="R504" i="5"/>
  <c r="R505" i="5"/>
  <c r="R506" i="5"/>
  <c r="R507" i="5"/>
  <c r="R508" i="5"/>
  <c r="R509" i="5"/>
  <c r="R510" i="5"/>
  <c r="R511" i="5"/>
  <c r="R512" i="5"/>
  <c r="R513" i="5"/>
  <c r="R514" i="5"/>
  <c r="R515" i="5"/>
  <c r="R516" i="5"/>
  <c r="R517" i="5"/>
  <c r="R518" i="5"/>
  <c r="R519" i="5"/>
  <c r="R520" i="5"/>
  <c r="R521" i="5"/>
  <c r="R522" i="5"/>
  <c r="R523" i="5"/>
  <c r="R524" i="5"/>
  <c r="R525" i="5"/>
  <c r="R526" i="5"/>
  <c r="R527" i="5"/>
  <c r="R528" i="5"/>
  <c r="R529" i="5"/>
  <c r="R530" i="5"/>
  <c r="R531" i="5"/>
  <c r="R532" i="5"/>
  <c r="R533" i="5"/>
  <c r="R534" i="5"/>
  <c r="R535" i="5"/>
  <c r="R536" i="5"/>
  <c r="R537" i="5"/>
  <c r="R538" i="5"/>
  <c r="R539" i="5"/>
  <c r="R540" i="5"/>
  <c r="R541" i="5"/>
  <c r="R542" i="5"/>
  <c r="R543" i="5"/>
  <c r="R544" i="5"/>
  <c r="R545" i="5"/>
  <c r="R546" i="5"/>
  <c r="R547" i="5"/>
  <c r="R548" i="5"/>
  <c r="R549" i="5"/>
  <c r="R550" i="5"/>
  <c r="R551" i="5"/>
  <c r="R552" i="5"/>
  <c r="R553" i="5"/>
  <c r="R554" i="5"/>
  <c r="R555" i="5"/>
  <c r="R556" i="5"/>
  <c r="R557" i="5"/>
  <c r="R558" i="5"/>
  <c r="R559" i="5"/>
  <c r="R560" i="5"/>
  <c r="R561" i="5"/>
  <c r="R562" i="5"/>
  <c r="R563" i="5"/>
  <c r="R564" i="5"/>
  <c r="R565" i="5"/>
  <c r="R566" i="5"/>
  <c r="R567" i="5"/>
  <c r="R568" i="5"/>
  <c r="R569" i="5"/>
  <c r="R570" i="5"/>
  <c r="R571" i="5"/>
  <c r="R572" i="5"/>
  <c r="R573" i="5"/>
  <c r="R574" i="5"/>
  <c r="R575" i="5"/>
  <c r="R576" i="5"/>
  <c r="R577" i="5"/>
  <c r="R578" i="5"/>
  <c r="R579" i="5"/>
  <c r="R580" i="5"/>
  <c r="R581" i="5"/>
  <c r="R582" i="5"/>
  <c r="R583" i="5"/>
  <c r="R584" i="5"/>
  <c r="R585" i="5"/>
  <c r="R586" i="5"/>
  <c r="R587" i="5"/>
  <c r="R588" i="5"/>
  <c r="R589" i="5"/>
  <c r="R590" i="5"/>
  <c r="R591" i="5"/>
  <c r="R592" i="5"/>
  <c r="R593" i="5"/>
  <c r="R594" i="5"/>
  <c r="R595" i="5"/>
  <c r="R596" i="5"/>
  <c r="R597" i="5"/>
  <c r="R598" i="5"/>
  <c r="R599" i="5"/>
  <c r="R600" i="5"/>
  <c r="R601" i="5"/>
  <c r="R602" i="5"/>
  <c r="R603" i="5"/>
  <c r="R604" i="5"/>
  <c r="R605" i="5"/>
  <c r="R606" i="5"/>
  <c r="R607" i="5"/>
  <c r="R608" i="5"/>
  <c r="R609" i="5"/>
  <c r="R610" i="5"/>
  <c r="R611" i="5"/>
  <c r="R612" i="5"/>
  <c r="R613" i="5"/>
  <c r="R614" i="5"/>
  <c r="R615" i="5"/>
  <c r="R616" i="5"/>
  <c r="R617" i="5"/>
  <c r="R618" i="5"/>
  <c r="R619" i="5"/>
  <c r="R620" i="5"/>
  <c r="R621" i="5"/>
  <c r="R622" i="5"/>
  <c r="R623" i="5"/>
  <c r="R624" i="5"/>
  <c r="R625" i="5"/>
  <c r="R626" i="5"/>
  <c r="R627" i="5"/>
  <c r="R628" i="5"/>
  <c r="R629" i="5"/>
  <c r="R630" i="5"/>
  <c r="R631" i="5"/>
  <c r="R632" i="5"/>
  <c r="R633" i="5"/>
  <c r="R634" i="5"/>
  <c r="R635" i="5"/>
  <c r="R636" i="5"/>
  <c r="R637" i="5"/>
  <c r="R638" i="5"/>
  <c r="R639" i="5"/>
  <c r="R640" i="5"/>
  <c r="R641" i="5"/>
  <c r="R642" i="5"/>
  <c r="R643" i="5"/>
  <c r="R644" i="5"/>
  <c r="R645" i="5"/>
  <c r="R646" i="5"/>
  <c r="R647" i="5"/>
  <c r="R648" i="5"/>
  <c r="R649" i="5"/>
  <c r="R650" i="5"/>
  <c r="R651" i="5"/>
  <c r="R652" i="5"/>
  <c r="R653" i="5"/>
  <c r="R654" i="5"/>
  <c r="R655" i="5"/>
  <c r="R656" i="5"/>
  <c r="R657" i="5"/>
  <c r="R658" i="5"/>
  <c r="R659" i="5"/>
  <c r="R660" i="5"/>
  <c r="R661" i="5"/>
  <c r="R662" i="5"/>
  <c r="R663" i="5"/>
  <c r="R664" i="5"/>
  <c r="R665" i="5"/>
  <c r="R666" i="5"/>
  <c r="R667" i="5"/>
  <c r="R668" i="5"/>
  <c r="R669" i="5"/>
  <c r="R670" i="5"/>
  <c r="R671" i="5"/>
  <c r="R672" i="5"/>
  <c r="R673" i="5"/>
  <c r="R674" i="5"/>
  <c r="R675" i="5"/>
  <c r="R676" i="5"/>
  <c r="R677" i="5"/>
  <c r="R678" i="5"/>
  <c r="R679" i="5"/>
  <c r="R680" i="5"/>
  <c r="R681" i="5"/>
  <c r="R682" i="5"/>
  <c r="R683" i="5"/>
  <c r="R684" i="5"/>
  <c r="R685" i="5"/>
  <c r="R686" i="5"/>
  <c r="R687" i="5"/>
  <c r="R688" i="5"/>
  <c r="R689" i="5"/>
  <c r="R690" i="5"/>
  <c r="R691" i="5"/>
  <c r="R692" i="5"/>
  <c r="R693" i="5"/>
  <c r="R694" i="5"/>
  <c r="R695" i="5"/>
  <c r="R696" i="5"/>
  <c r="R697" i="5"/>
  <c r="R698" i="5"/>
  <c r="R699" i="5"/>
  <c r="R700" i="5"/>
  <c r="R701" i="5"/>
  <c r="R702" i="5"/>
  <c r="R703" i="5"/>
  <c r="R704" i="5"/>
  <c r="R705" i="5"/>
  <c r="R706" i="5"/>
  <c r="R707" i="5"/>
  <c r="R708" i="5"/>
  <c r="R709" i="5"/>
  <c r="R710" i="5"/>
  <c r="R711" i="5"/>
  <c r="R712" i="5"/>
  <c r="R713" i="5"/>
  <c r="R714" i="5"/>
  <c r="R715" i="5"/>
  <c r="R716" i="5"/>
  <c r="R717" i="5"/>
  <c r="R718" i="5"/>
  <c r="R719" i="5"/>
  <c r="R720" i="5"/>
  <c r="R721" i="5"/>
  <c r="R722" i="5"/>
  <c r="R723" i="5"/>
  <c r="R724" i="5"/>
  <c r="R725" i="5"/>
  <c r="R726" i="5"/>
  <c r="R727" i="5"/>
  <c r="R728" i="5"/>
  <c r="R729" i="5"/>
  <c r="R730" i="5"/>
  <c r="R731" i="5"/>
  <c r="R732" i="5"/>
  <c r="R733" i="5"/>
  <c r="R734" i="5"/>
  <c r="R735" i="5"/>
  <c r="R736" i="5"/>
  <c r="R737" i="5"/>
  <c r="R738" i="5"/>
  <c r="R739" i="5"/>
  <c r="R740" i="5"/>
  <c r="R741" i="5"/>
  <c r="R742" i="5"/>
  <c r="R743" i="5"/>
  <c r="R744" i="5"/>
  <c r="R745" i="5"/>
  <c r="R746" i="5"/>
  <c r="R747" i="5"/>
  <c r="R748" i="5"/>
  <c r="R749" i="5"/>
  <c r="R750" i="5"/>
  <c r="R751" i="5"/>
  <c r="R752" i="5"/>
  <c r="R753" i="5"/>
  <c r="R754" i="5"/>
  <c r="R755" i="5"/>
  <c r="R756" i="5"/>
  <c r="R757" i="5"/>
  <c r="R758" i="5"/>
  <c r="R759" i="5"/>
  <c r="R760" i="5"/>
  <c r="R761" i="5"/>
  <c r="R762" i="5"/>
  <c r="R763" i="5"/>
  <c r="R764" i="5"/>
  <c r="R765" i="5"/>
  <c r="R766" i="5"/>
  <c r="R767" i="5"/>
  <c r="R768" i="5"/>
  <c r="R769" i="5"/>
  <c r="R770" i="5"/>
  <c r="R771" i="5"/>
  <c r="R772" i="5"/>
  <c r="R773" i="5"/>
  <c r="R774" i="5"/>
  <c r="R775" i="5"/>
  <c r="R776" i="5"/>
  <c r="R777" i="5"/>
  <c r="R778" i="5"/>
  <c r="R779" i="5"/>
  <c r="R780" i="5"/>
  <c r="R781" i="5"/>
  <c r="R782" i="5"/>
  <c r="R783" i="5"/>
  <c r="R784" i="5"/>
  <c r="R785" i="5"/>
  <c r="R786" i="5"/>
  <c r="R787" i="5"/>
  <c r="R788" i="5"/>
  <c r="R789" i="5"/>
  <c r="R790" i="5"/>
  <c r="R791" i="5"/>
  <c r="R792" i="5"/>
  <c r="R793" i="5"/>
  <c r="R794" i="5"/>
  <c r="R795" i="5"/>
  <c r="R796" i="5"/>
  <c r="R797" i="5"/>
  <c r="R798" i="5"/>
  <c r="R799" i="5"/>
  <c r="R800" i="5"/>
  <c r="R801" i="5"/>
  <c r="R802" i="5"/>
  <c r="R803" i="5"/>
  <c r="R804" i="5"/>
  <c r="R805" i="5"/>
  <c r="R806" i="5"/>
  <c r="R807" i="5"/>
  <c r="R808" i="5"/>
  <c r="R809" i="5"/>
  <c r="R810" i="5"/>
  <c r="R811" i="5"/>
  <c r="R812" i="5"/>
  <c r="R813" i="5"/>
  <c r="R814" i="5"/>
  <c r="R815" i="5"/>
  <c r="R816" i="5"/>
  <c r="R817" i="5"/>
  <c r="R818" i="5"/>
  <c r="R819" i="5"/>
  <c r="R820" i="5"/>
  <c r="R821" i="5"/>
  <c r="R822" i="5"/>
  <c r="R823" i="5"/>
  <c r="R824" i="5"/>
  <c r="R825" i="5"/>
  <c r="R826" i="5"/>
  <c r="R827" i="5"/>
  <c r="R828" i="5"/>
  <c r="R829" i="5"/>
  <c r="R830" i="5"/>
  <c r="R831" i="5"/>
  <c r="R832" i="5"/>
  <c r="R833" i="5"/>
  <c r="R834" i="5"/>
  <c r="R835" i="5"/>
  <c r="R836" i="5"/>
  <c r="R837" i="5"/>
  <c r="R838" i="5"/>
  <c r="R839" i="5"/>
  <c r="R840" i="5"/>
  <c r="R841" i="5"/>
  <c r="R842" i="5"/>
  <c r="R843" i="5"/>
  <c r="R844" i="5"/>
  <c r="R845" i="5"/>
  <c r="R846" i="5"/>
  <c r="R847" i="5"/>
  <c r="R848" i="5"/>
  <c r="R849" i="5"/>
  <c r="R850" i="5"/>
  <c r="R851" i="5"/>
  <c r="R852" i="5"/>
  <c r="R853" i="5"/>
  <c r="R854" i="5"/>
  <c r="R855" i="5"/>
  <c r="R856" i="5"/>
  <c r="R857" i="5"/>
  <c r="R858" i="5"/>
  <c r="R859" i="5"/>
  <c r="R860" i="5"/>
  <c r="R861" i="5"/>
  <c r="R862" i="5"/>
  <c r="R863" i="5"/>
  <c r="R864" i="5"/>
  <c r="R865" i="5"/>
  <c r="R866" i="5"/>
  <c r="R867" i="5"/>
  <c r="R868" i="5"/>
  <c r="R869" i="5"/>
  <c r="R870" i="5"/>
  <c r="R871" i="5"/>
  <c r="R872" i="5"/>
  <c r="R873" i="5"/>
  <c r="R874" i="5"/>
  <c r="R875" i="5"/>
  <c r="R876" i="5"/>
  <c r="R877" i="5"/>
  <c r="R878" i="5"/>
  <c r="R879" i="5"/>
  <c r="R880" i="5"/>
  <c r="R881" i="5"/>
  <c r="R882" i="5"/>
  <c r="R883" i="5"/>
  <c r="R884" i="5"/>
  <c r="R885" i="5"/>
  <c r="R886" i="5"/>
  <c r="R887" i="5"/>
  <c r="R888" i="5"/>
  <c r="R889" i="5"/>
  <c r="R890" i="5"/>
  <c r="R891" i="5"/>
  <c r="R892" i="5"/>
  <c r="R893" i="5"/>
  <c r="R894" i="5"/>
  <c r="R895" i="5"/>
  <c r="R896" i="5"/>
  <c r="R897" i="5"/>
  <c r="R898" i="5"/>
  <c r="R899" i="5"/>
  <c r="R900" i="5"/>
  <c r="R901" i="5"/>
  <c r="R902" i="5"/>
  <c r="R903" i="5"/>
  <c r="R904" i="5"/>
  <c r="R905" i="5"/>
  <c r="R906" i="5"/>
  <c r="R907" i="5"/>
  <c r="R908" i="5"/>
  <c r="R909" i="5"/>
  <c r="R910" i="5"/>
  <c r="R911" i="5"/>
  <c r="R912" i="5"/>
  <c r="R913" i="5"/>
  <c r="R914" i="5"/>
  <c r="R915" i="5"/>
  <c r="R916" i="5"/>
  <c r="R917" i="5"/>
  <c r="R918" i="5"/>
  <c r="R919" i="5"/>
  <c r="R920" i="5"/>
  <c r="R921" i="5"/>
  <c r="R922" i="5"/>
  <c r="R923" i="5"/>
  <c r="R924" i="5"/>
  <c r="R925" i="5"/>
  <c r="R926" i="5"/>
  <c r="R927" i="5"/>
  <c r="R928" i="5"/>
  <c r="R929" i="5"/>
  <c r="R930" i="5"/>
  <c r="R931" i="5"/>
  <c r="R932" i="5"/>
  <c r="R933" i="5"/>
  <c r="R934" i="5"/>
  <c r="R935" i="5"/>
  <c r="R936" i="5"/>
  <c r="R937" i="5"/>
  <c r="R938" i="5"/>
  <c r="R939" i="5"/>
  <c r="R940" i="5"/>
  <c r="R941" i="5"/>
  <c r="R942" i="5"/>
  <c r="R943" i="5"/>
  <c r="R944" i="5"/>
  <c r="R945" i="5"/>
  <c r="R946" i="5"/>
  <c r="R947" i="5"/>
  <c r="R948" i="5"/>
  <c r="R949" i="5"/>
  <c r="R950" i="5"/>
  <c r="R951" i="5"/>
  <c r="R952" i="5"/>
  <c r="R953" i="5"/>
  <c r="R954" i="5"/>
  <c r="R955" i="5"/>
  <c r="R956" i="5"/>
  <c r="R957" i="5"/>
  <c r="R958" i="5"/>
  <c r="R959" i="5"/>
  <c r="R960" i="5"/>
  <c r="R961" i="5"/>
  <c r="R962" i="5"/>
  <c r="R963" i="5"/>
  <c r="R964" i="5"/>
  <c r="R965" i="5"/>
  <c r="R966" i="5"/>
  <c r="R967" i="5"/>
  <c r="R968" i="5"/>
  <c r="R969" i="5"/>
  <c r="R970" i="5"/>
  <c r="R971" i="5"/>
  <c r="R972" i="5"/>
  <c r="R973" i="5"/>
  <c r="R974" i="5"/>
  <c r="R975" i="5"/>
  <c r="R976" i="5"/>
  <c r="R977" i="5"/>
  <c r="R978" i="5"/>
  <c r="R979" i="5"/>
  <c r="R980" i="5"/>
  <c r="R981" i="5"/>
  <c r="R982" i="5"/>
  <c r="R983" i="5"/>
  <c r="R984" i="5"/>
  <c r="R985" i="5"/>
  <c r="R986" i="5"/>
  <c r="R987" i="5"/>
  <c r="R988" i="5"/>
  <c r="R989" i="5"/>
  <c r="R990" i="5"/>
  <c r="R991" i="5"/>
  <c r="R992" i="5"/>
  <c r="R993" i="5"/>
  <c r="R994" i="5"/>
  <c r="R995" i="5"/>
  <c r="R996" i="5"/>
  <c r="R997" i="5"/>
  <c r="R998" i="5"/>
  <c r="R999" i="5"/>
  <c r="R1000" i="5"/>
  <c r="R1001" i="5"/>
  <c r="R1002" i="5"/>
  <c r="R1003" i="5"/>
  <c r="R1004" i="5"/>
  <c r="R1005" i="5"/>
  <c r="Q2" i="5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Q99" i="5"/>
  <c r="Q100" i="5"/>
  <c r="Q101" i="5"/>
  <c r="Q102" i="5"/>
  <c r="Q103" i="5"/>
  <c r="Q104" i="5"/>
  <c r="Q105" i="5"/>
  <c r="Q106" i="5"/>
  <c r="Q107" i="5"/>
  <c r="Q108" i="5"/>
  <c r="Q109" i="5"/>
  <c r="Q110" i="5"/>
  <c r="Q111" i="5"/>
  <c r="Q112" i="5"/>
  <c r="Q113" i="5"/>
  <c r="Q114" i="5"/>
  <c r="Q115" i="5"/>
  <c r="Q116" i="5"/>
  <c r="Q117" i="5"/>
  <c r="Q118" i="5"/>
  <c r="Q119" i="5"/>
  <c r="Q120" i="5"/>
  <c r="Q121" i="5"/>
  <c r="Q122" i="5"/>
  <c r="Q123" i="5"/>
  <c r="Q124" i="5"/>
  <c r="Q125" i="5"/>
  <c r="Q126" i="5"/>
  <c r="Q127" i="5"/>
  <c r="Q128" i="5"/>
  <c r="Q129" i="5"/>
  <c r="Q130" i="5"/>
  <c r="Q131" i="5"/>
  <c r="Q132" i="5"/>
  <c r="Q133" i="5"/>
  <c r="Q134" i="5"/>
  <c r="Q135" i="5"/>
  <c r="Q136" i="5"/>
  <c r="Q137" i="5"/>
  <c r="Q138" i="5"/>
  <c r="Q139" i="5"/>
  <c r="Q140" i="5"/>
  <c r="Q141" i="5"/>
  <c r="Q142" i="5"/>
  <c r="Q143" i="5"/>
  <c r="Q144" i="5"/>
  <c r="Q145" i="5"/>
  <c r="Q146" i="5"/>
  <c r="Q147" i="5"/>
  <c r="Q148" i="5"/>
  <c r="Q149" i="5"/>
  <c r="Q150" i="5"/>
  <c r="Q151" i="5"/>
  <c r="Q152" i="5"/>
  <c r="Q153" i="5"/>
  <c r="Q154" i="5"/>
  <c r="Q155" i="5"/>
  <c r="Q156" i="5"/>
  <c r="Q157" i="5"/>
  <c r="Q158" i="5"/>
  <c r="Q159" i="5"/>
  <c r="Q160" i="5"/>
  <c r="Q161" i="5"/>
  <c r="Q162" i="5"/>
  <c r="Q163" i="5"/>
  <c r="Q164" i="5"/>
  <c r="Q165" i="5"/>
  <c r="Q166" i="5"/>
  <c r="Q167" i="5"/>
  <c r="Q168" i="5"/>
  <c r="Q169" i="5"/>
  <c r="Q170" i="5"/>
  <c r="Q171" i="5"/>
  <c r="Q172" i="5"/>
  <c r="Q173" i="5"/>
  <c r="Q174" i="5"/>
  <c r="Q175" i="5"/>
  <c r="Q176" i="5"/>
  <c r="Q177" i="5"/>
  <c r="Q178" i="5"/>
  <c r="Q179" i="5"/>
  <c r="Q180" i="5"/>
  <c r="Q181" i="5"/>
  <c r="Q182" i="5"/>
  <c r="Q183" i="5"/>
  <c r="Q184" i="5"/>
  <c r="Q185" i="5"/>
  <c r="Q186" i="5"/>
  <c r="Q187" i="5"/>
  <c r="Q188" i="5"/>
  <c r="Q189" i="5"/>
  <c r="Q190" i="5"/>
  <c r="Q191" i="5"/>
  <c r="Q192" i="5"/>
  <c r="Q193" i="5"/>
  <c r="Q194" i="5"/>
  <c r="Q195" i="5"/>
  <c r="Q196" i="5"/>
  <c r="Q197" i="5"/>
  <c r="Q198" i="5"/>
  <c r="Q199" i="5"/>
  <c r="Q200" i="5"/>
  <c r="Q201" i="5"/>
  <c r="Q202" i="5"/>
  <c r="Q203" i="5"/>
  <c r="Q204" i="5"/>
  <c r="Q205" i="5"/>
  <c r="Q206" i="5"/>
  <c r="Q207" i="5"/>
  <c r="Q208" i="5"/>
  <c r="Q209" i="5"/>
  <c r="Q210" i="5"/>
  <c r="Q211" i="5"/>
  <c r="Q212" i="5"/>
  <c r="Q213" i="5"/>
  <c r="Q214" i="5"/>
  <c r="Q215" i="5"/>
  <c r="Q216" i="5"/>
  <c r="Q217" i="5"/>
  <c r="Q218" i="5"/>
  <c r="Q219" i="5"/>
  <c r="Q220" i="5"/>
  <c r="Q221" i="5"/>
  <c r="Q222" i="5"/>
  <c r="Q223" i="5"/>
  <c r="Q224" i="5"/>
  <c r="Q225" i="5"/>
  <c r="Q226" i="5"/>
  <c r="Q227" i="5"/>
  <c r="Q228" i="5"/>
  <c r="Q229" i="5"/>
  <c r="Q230" i="5"/>
  <c r="Q231" i="5"/>
  <c r="Q232" i="5"/>
  <c r="Q233" i="5"/>
  <c r="Q234" i="5"/>
  <c r="Q235" i="5"/>
  <c r="Q236" i="5"/>
  <c r="Q237" i="5"/>
  <c r="Q238" i="5"/>
  <c r="Q239" i="5"/>
  <c r="Q240" i="5"/>
  <c r="Q241" i="5"/>
  <c r="Q242" i="5"/>
  <c r="Q243" i="5"/>
  <c r="Q244" i="5"/>
  <c r="Q245" i="5"/>
  <c r="Q246" i="5"/>
  <c r="Q247" i="5"/>
  <c r="Q248" i="5"/>
  <c r="Q249" i="5"/>
  <c r="Q250" i="5"/>
  <c r="Q251" i="5"/>
  <c r="Q252" i="5"/>
  <c r="Q253" i="5"/>
  <c r="Q254" i="5"/>
  <c r="Q255" i="5"/>
  <c r="Q256" i="5"/>
  <c r="Q257" i="5"/>
  <c r="Q258" i="5"/>
  <c r="Q259" i="5"/>
  <c r="Q260" i="5"/>
  <c r="Q261" i="5"/>
  <c r="Q262" i="5"/>
  <c r="Q263" i="5"/>
  <c r="Q264" i="5"/>
  <c r="Q265" i="5"/>
  <c r="Q266" i="5"/>
  <c r="Q267" i="5"/>
  <c r="Q268" i="5"/>
  <c r="Q269" i="5"/>
  <c r="Q270" i="5"/>
  <c r="Q271" i="5"/>
  <c r="Q272" i="5"/>
  <c r="Q273" i="5"/>
  <c r="Q274" i="5"/>
  <c r="Q275" i="5"/>
  <c r="Q276" i="5"/>
  <c r="Q277" i="5"/>
  <c r="Q278" i="5"/>
  <c r="Q279" i="5"/>
  <c r="Q280" i="5"/>
  <c r="Q281" i="5"/>
  <c r="Q282" i="5"/>
  <c r="Q283" i="5"/>
  <c r="Q284" i="5"/>
  <c r="Q285" i="5"/>
  <c r="Q286" i="5"/>
  <c r="Q287" i="5"/>
  <c r="Q288" i="5"/>
  <c r="Q289" i="5"/>
  <c r="Q290" i="5"/>
  <c r="Q291" i="5"/>
  <c r="Q292" i="5"/>
  <c r="Q293" i="5"/>
  <c r="Q294" i="5"/>
  <c r="Q295" i="5"/>
  <c r="Q296" i="5"/>
  <c r="Q297" i="5"/>
  <c r="Q298" i="5"/>
  <c r="Q299" i="5"/>
  <c r="Q300" i="5"/>
  <c r="Q301" i="5"/>
  <c r="Q302" i="5"/>
  <c r="Q303" i="5"/>
  <c r="Q304" i="5"/>
  <c r="Q305" i="5"/>
  <c r="Q306" i="5"/>
  <c r="Q307" i="5"/>
  <c r="Q308" i="5"/>
  <c r="Q309" i="5"/>
  <c r="Q310" i="5"/>
  <c r="Q311" i="5"/>
  <c r="Q312" i="5"/>
  <c r="Q313" i="5"/>
  <c r="Q314" i="5"/>
  <c r="Q315" i="5"/>
  <c r="Q316" i="5"/>
  <c r="Q317" i="5"/>
  <c r="Q318" i="5"/>
  <c r="Q319" i="5"/>
  <c r="Q320" i="5"/>
  <c r="Q321" i="5"/>
  <c r="Q322" i="5"/>
  <c r="Q323" i="5"/>
  <c r="Q324" i="5"/>
  <c r="Q325" i="5"/>
  <c r="Q326" i="5"/>
  <c r="Q327" i="5"/>
  <c r="Q328" i="5"/>
  <c r="Q329" i="5"/>
  <c r="Q330" i="5"/>
  <c r="Q331" i="5"/>
  <c r="Q332" i="5"/>
  <c r="Q333" i="5"/>
  <c r="Q334" i="5"/>
  <c r="Q335" i="5"/>
  <c r="Q336" i="5"/>
  <c r="Q337" i="5"/>
  <c r="Q338" i="5"/>
  <c r="Q339" i="5"/>
  <c r="Q340" i="5"/>
  <c r="Q341" i="5"/>
  <c r="Q342" i="5"/>
  <c r="Q343" i="5"/>
  <c r="Q344" i="5"/>
  <c r="Q345" i="5"/>
  <c r="Q346" i="5"/>
  <c r="Q347" i="5"/>
  <c r="Q348" i="5"/>
  <c r="Q349" i="5"/>
  <c r="Q350" i="5"/>
  <c r="Q351" i="5"/>
  <c r="Q352" i="5"/>
  <c r="Q353" i="5"/>
  <c r="Q354" i="5"/>
  <c r="Q355" i="5"/>
  <c r="Q356" i="5"/>
  <c r="Q357" i="5"/>
  <c r="Q358" i="5"/>
  <c r="Q359" i="5"/>
  <c r="Q360" i="5"/>
  <c r="Q361" i="5"/>
  <c r="Q362" i="5"/>
  <c r="Q363" i="5"/>
  <c r="Q364" i="5"/>
  <c r="Q365" i="5"/>
  <c r="Q366" i="5"/>
  <c r="Q367" i="5"/>
  <c r="Q368" i="5"/>
  <c r="Q369" i="5"/>
  <c r="Q370" i="5"/>
  <c r="Q371" i="5"/>
  <c r="Q372" i="5"/>
  <c r="Q373" i="5"/>
  <c r="Q374" i="5"/>
  <c r="Q375" i="5"/>
  <c r="Q376" i="5"/>
  <c r="Q377" i="5"/>
  <c r="Q378" i="5"/>
  <c r="Q379" i="5"/>
  <c r="Q380" i="5"/>
  <c r="Q381" i="5"/>
  <c r="Q382" i="5"/>
  <c r="Q383" i="5"/>
  <c r="Q384" i="5"/>
  <c r="Q385" i="5"/>
  <c r="Q386" i="5"/>
  <c r="Q387" i="5"/>
  <c r="Q388" i="5"/>
  <c r="Q389" i="5"/>
  <c r="Q390" i="5"/>
  <c r="Q391" i="5"/>
  <c r="Q392" i="5"/>
  <c r="Q393" i="5"/>
  <c r="Q394" i="5"/>
  <c r="Q395" i="5"/>
  <c r="Q396" i="5"/>
  <c r="Q397" i="5"/>
  <c r="Q398" i="5"/>
  <c r="Q399" i="5"/>
  <c r="Q400" i="5"/>
  <c r="Q401" i="5"/>
  <c r="Q402" i="5"/>
  <c r="Q403" i="5"/>
  <c r="Q404" i="5"/>
  <c r="Q405" i="5"/>
  <c r="Q406" i="5"/>
  <c r="Q407" i="5"/>
  <c r="Q408" i="5"/>
  <c r="Q409" i="5"/>
  <c r="Q410" i="5"/>
  <c r="Q411" i="5"/>
  <c r="Q412" i="5"/>
  <c r="Q413" i="5"/>
  <c r="Q414" i="5"/>
  <c r="Q415" i="5"/>
  <c r="Q416" i="5"/>
  <c r="Q417" i="5"/>
  <c r="Q418" i="5"/>
  <c r="Q419" i="5"/>
  <c r="Q420" i="5"/>
  <c r="Q421" i="5"/>
  <c r="Q422" i="5"/>
  <c r="Q423" i="5"/>
  <c r="Q424" i="5"/>
  <c r="Q425" i="5"/>
  <c r="Q426" i="5"/>
  <c r="Q427" i="5"/>
  <c r="Q428" i="5"/>
  <c r="Q429" i="5"/>
  <c r="Q430" i="5"/>
  <c r="Q431" i="5"/>
  <c r="Q432" i="5"/>
  <c r="Q433" i="5"/>
  <c r="Q434" i="5"/>
  <c r="Q435" i="5"/>
  <c r="Q436" i="5"/>
  <c r="Q437" i="5"/>
  <c r="Q438" i="5"/>
  <c r="Q439" i="5"/>
  <c r="Q440" i="5"/>
  <c r="Q441" i="5"/>
  <c r="Q442" i="5"/>
  <c r="Q443" i="5"/>
  <c r="Q444" i="5"/>
  <c r="Q445" i="5"/>
  <c r="Q446" i="5"/>
  <c r="Q447" i="5"/>
  <c r="Q448" i="5"/>
  <c r="Q449" i="5"/>
  <c r="Q450" i="5"/>
  <c r="Q451" i="5"/>
  <c r="Q452" i="5"/>
  <c r="Q453" i="5"/>
  <c r="Q454" i="5"/>
  <c r="Q455" i="5"/>
  <c r="Q456" i="5"/>
  <c r="Q457" i="5"/>
  <c r="Q458" i="5"/>
  <c r="Q459" i="5"/>
  <c r="Q460" i="5"/>
  <c r="Q461" i="5"/>
  <c r="Q462" i="5"/>
  <c r="Q463" i="5"/>
  <c r="Q464" i="5"/>
  <c r="Q465" i="5"/>
  <c r="Q466" i="5"/>
  <c r="Q467" i="5"/>
  <c r="Q468" i="5"/>
  <c r="Q469" i="5"/>
  <c r="Q470" i="5"/>
  <c r="Q471" i="5"/>
  <c r="Q472" i="5"/>
  <c r="Q473" i="5"/>
  <c r="Q474" i="5"/>
  <c r="Q475" i="5"/>
  <c r="Q476" i="5"/>
  <c r="Q477" i="5"/>
  <c r="Q478" i="5"/>
  <c r="Q479" i="5"/>
  <c r="Q480" i="5"/>
  <c r="Q481" i="5"/>
  <c r="Q482" i="5"/>
  <c r="Q483" i="5"/>
  <c r="Q484" i="5"/>
  <c r="Q485" i="5"/>
  <c r="Q486" i="5"/>
  <c r="Q487" i="5"/>
  <c r="Q488" i="5"/>
  <c r="Q489" i="5"/>
  <c r="Q490" i="5"/>
  <c r="Q491" i="5"/>
  <c r="Q492" i="5"/>
  <c r="Q493" i="5"/>
  <c r="Q494" i="5"/>
  <c r="Q495" i="5"/>
  <c r="Q496" i="5"/>
  <c r="Q497" i="5"/>
  <c r="Q498" i="5"/>
  <c r="Q499" i="5"/>
  <c r="Q500" i="5"/>
  <c r="Q501" i="5"/>
  <c r="Q502" i="5"/>
  <c r="Q503" i="5"/>
  <c r="Q504" i="5"/>
  <c r="Q505" i="5"/>
  <c r="Q506" i="5"/>
  <c r="Q507" i="5"/>
  <c r="Q508" i="5"/>
  <c r="Q509" i="5"/>
  <c r="Q510" i="5"/>
  <c r="Q511" i="5"/>
  <c r="Q512" i="5"/>
  <c r="Q513" i="5"/>
  <c r="Q514" i="5"/>
  <c r="Q515" i="5"/>
  <c r="Q516" i="5"/>
  <c r="Q517" i="5"/>
  <c r="Q518" i="5"/>
  <c r="Q519" i="5"/>
  <c r="Q520" i="5"/>
  <c r="Q521" i="5"/>
  <c r="Q522" i="5"/>
  <c r="Q523" i="5"/>
  <c r="Q524" i="5"/>
  <c r="Q525" i="5"/>
  <c r="Q526" i="5"/>
  <c r="Q527" i="5"/>
  <c r="Q528" i="5"/>
  <c r="Q529" i="5"/>
  <c r="Q530" i="5"/>
  <c r="Q531" i="5"/>
  <c r="Q532" i="5"/>
  <c r="Q533" i="5"/>
  <c r="Q534" i="5"/>
  <c r="Q535" i="5"/>
  <c r="Q536" i="5"/>
  <c r="Q537" i="5"/>
  <c r="Q538" i="5"/>
  <c r="Q539" i="5"/>
  <c r="Q540" i="5"/>
  <c r="Q541" i="5"/>
  <c r="Q542" i="5"/>
  <c r="Q543" i="5"/>
  <c r="Q544" i="5"/>
  <c r="Q545" i="5"/>
  <c r="Q546" i="5"/>
  <c r="Q547" i="5"/>
  <c r="Q548" i="5"/>
  <c r="Q549" i="5"/>
  <c r="Q550" i="5"/>
  <c r="Q551" i="5"/>
  <c r="Q552" i="5"/>
  <c r="Q553" i="5"/>
  <c r="Q554" i="5"/>
  <c r="Q555" i="5"/>
  <c r="Q556" i="5"/>
  <c r="Q557" i="5"/>
  <c r="Q558" i="5"/>
  <c r="Q559" i="5"/>
  <c r="Q560" i="5"/>
  <c r="Q561" i="5"/>
  <c r="Q562" i="5"/>
  <c r="Q563" i="5"/>
  <c r="Q564" i="5"/>
  <c r="Q565" i="5"/>
  <c r="Q566" i="5"/>
  <c r="Q567" i="5"/>
  <c r="Q568" i="5"/>
  <c r="Q569" i="5"/>
  <c r="Q570" i="5"/>
  <c r="Q571" i="5"/>
  <c r="Q572" i="5"/>
  <c r="Q573" i="5"/>
  <c r="Q574" i="5"/>
  <c r="Q575" i="5"/>
  <c r="Q576" i="5"/>
  <c r="Q577" i="5"/>
  <c r="Q578" i="5"/>
  <c r="Q579" i="5"/>
  <c r="Q580" i="5"/>
  <c r="Q581" i="5"/>
  <c r="Q582" i="5"/>
  <c r="Q583" i="5"/>
  <c r="Q584" i="5"/>
  <c r="Q585" i="5"/>
  <c r="Q586" i="5"/>
  <c r="Q587" i="5"/>
  <c r="Q588" i="5"/>
  <c r="Q589" i="5"/>
  <c r="Q590" i="5"/>
  <c r="Q591" i="5"/>
  <c r="Q592" i="5"/>
  <c r="Q593" i="5"/>
  <c r="Q594" i="5"/>
  <c r="Q595" i="5"/>
  <c r="Q596" i="5"/>
  <c r="Q597" i="5"/>
  <c r="Q598" i="5"/>
  <c r="Q599" i="5"/>
  <c r="Q600" i="5"/>
  <c r="Q601" i="5"/>
  <c r="Q602" i="5"/>
  <c r="Q603" i="5"/>
  <c r="Q604" i="5"/>
  <c r="Q605" i="5"/>
  <c r="Q606" i="5"/>
  <c r="Q607" i="5"/>
  <c r="Q608" i="5"/>
  <c r="Q609" i="5"/>
  <c r="Q610" i="5"/>
  <c r="Q611" i="5"/>
  <c r="Q612" i="5"/>
  <c r="Q613" i="5"/>
  <c r="Q614" i="5"/>
  <c r="Q615" i="5"/>
  <c r="Q616" i="5"/>
  <c r="Q617" i="5"/>
  <c r="Q618" i="5"/>
  <c r="Q619" i="5"/>
  <c r="Q620" i="5"/>
  <c r="Q621" i="5"/>
  <c r="Q622" i="5"/>
  <c r="Q623" i="5"/>
  <c r="Q624" i="5"/>
  <c r="Q625" i="5"/>
  <c r="Q626" i="5"/>
  <c r="Q627" i="5"/>
  <c r="Q628" i="5"/>
  <c r="Q629" i="5"/>
  <c r="Q630" i="5"/>
  <c r="Q631" i="5"/>
  <c r="Q632" i="5"/>
  <c r="Q633" i="5"/>
  <c r="Q634" i="5"/>
  <c r="Q635" i="5"/>
  <c r="Q636" i="5"/>
  <c r="Q637" i="5"/>
  <c r="Q638" i="5"/>
  <c r="Q639" i="5"/>
  <c r="Q640" i="5"/>
  <c r="Q641" i="5"/>
  <c r="Q642" i="5"/>
  <c r="Q643" i="5"/>
  <c r="Q644" i="5"/>
  <c r="Q645" i="5"/>
  <c r="Q646" i="5"/>
  <c r="Q647" i="5"/>
  <c r="Q648" i="5"/>
  <c r="Q649" i="5"/>
  <c r="Q650" i="5"/>
  <c r="Q651" i="5"/>
  <c r="Q652" i="5"/>
  <c r="Q653" i="5"/>
  <c r="Q654" i="5"/>
  <c r="Q655" i="5"/>
  <c r="Q656" i="5"/>
  <c r="Q657" i="5"/>
  <c r="Q658" i="5"/>
  <c r="Q659" i="5"/>
  <c r="Q660" i="5"/>
  <c r="Q661" i="5"/>
  <c r="Q662" i="5"/>
  <c r="Q663" i="5"/>
  <c r="Q664" i="5"/>
  <c r="Q665" i="5"/>
  <c r="Q666" i="5"/>
  <c r="Q667" i="5"/>
  <c r="Q668" i="5"/>
  <c r="Q669" i="5"/>
  <c r="Q670" i="5"/>
  <c r="Q671" i="5"/>
  <c r="Q672" i="5"/>
  <c r="Q673" i="5"/>
  <c r="Q674" i="5"/>
  <c r="Q675" i="5"/>
  <c r="Q676" i="5"/>
  <c r="Q677" i="5"/>
  <c r="Q678" i="5"/>
  <c r="Q679" i="5"/>
  <c r="Q680" i="5"/>
  <c r="Q681" i="5"/>
  <c r="Q682" i="5"/>
  <c r="Q683" i="5"/>
  <c r="Q684" i="5"/>
  <c r="Q685" i="5"/>
  <c r="Q686" i="5"/>
  <c r="Q687" i="5"/>
  <c r="Q688" i="5"/>
  <c r="Q689" i="5"/>
  <c r="Q690" i="5"/>
  <c r="Q691" i="5"/>
  <c r="Q692" i="5"/>
  <c r="Q693" i="5"/>
  <c r="Q694" i="5"/>
  <c r="Q695" i="5"/>
  <c r="Q696" i="5"/>
  <c r="Q697" i="5"/>
  <c r="Q698" i="5"/>
  <c r="Q699" i="5"/>
  <c r="Q700" i="5"/>
  <c r="Q701" i="5"/>
  <c r="Q702" i="5"/>
  <c r="Q703" i="5"/>
  <c r="Q704" i="5"/>
  <c r="Q705" i="5"/>
  <c r="Q706" i="5"/>
  <c r="Q707" i="5"/>
  <c r="Q708" i="5"/>
  <c r="Q709" i="5"/>
  <c r="Q710" i="5"/>
  <c r="Q711" i="5"/>
  <c r="Q712" i="5"/>
  <c r="Q713" i="5"/>
  <c r="Q714" i="5"/>
  <c r="Q715" i="5"/>
  <c r="Q716" i="5"/>
  <c r="Q717" i="5"/>
  <c r="Q718" i="5"/>
  <c r="Q719" i="5"/>
  <c r="Q720" i="5"/>
  <c r="Q721" i="5"/>
  <c r="Q722" i="5"/>
  <c r="Q723" i="5"/>
  <c r="Q724" i="5"/>
  <c r="Q725" i="5"/>
  <c r="Q726" i="5"/>
  <c r="Q727" i="5"/>
  <c r="Q728" i="5"/>
  <c r="Q729" i="5"/>
  <c r="Q730" i="5"/>
  <c r="Q731" i="5"/>
  <c r="Q732" i="5"/>
  <c r="Q733" i="5"/>
  <c r="Q734" i="5"/>
  <c r="Q735" i="5"/>
  <c r="Q736" i="5"/>
  <c r="Q737" i="5"/>
  <c r="Q738" i="5"/>
  <c r="Q739" i="5"/>
  <c r="Q740" i="5"/>
  <c r="Q741" i="5"/>
  <c r="Q742" i="5"/>
  <c r="Q743" i="5"/>
  <c r="Q744" i="5"/>
  <c r="Q745" i="5"/>
  <c r="Q746" i="5"/>
  <c r="Q747" i="5"/>
  <c r="Q748" i="5"/>
  <c r="Q749" i="5"/>
  <c r="Q750" i="5"/>
  <c r="Q751" i="5"/>
  <c r="Q752" i="5"/>
  <c r="Q753" i="5"/>
  <c r="Q754" i="5"/>
  <c r="Q755" i="5"/>
  <c r="Q756" i="5"/>
  <c r="Q757" i="5"/>
  <c r="Q758" i="5"/>
  <c r="Q759" i="5"/>
  <c r="Q760" i="5"/>
  <c r="Q761" i="5"/>
  <c r="Q762" i="5"/>
  <c r="Q763" i="5"/>
  <c r="Q764" i="5"/>
  <c r="Q765" i="5"/>
  <c r="Q766" i="5"/>
  <c r="Q767" i="5"/>
  <c r="Q768" i="5"/>
  <c r="Q769" i="5"/>
  <c r="Q770" i="5"/>
  <c r="Q771" i="5"/>
  <c r="Q772" i="5"/>
  <c r="Q773" i="5"/>
  <c r="Q774" i="5"/>
  <c r="Q775" i="5"/>
  <c r="Q776" i="5"/>
  <c r="Q777" i="5"/>
  <c r="Q778" i="5"/>
  <c r="Q779" i="5"/>
  <c r="Q780" i="5"/>
  <c r="Q781" i="5"/>
  <c r="Q782" i="5"/>
  <c r="Q783" i="5"/>
  <c r="Q784" i="5"/>
  <c r="Q785" i="5"/>
  <c r="Q786" i="5"/>
  <c r="Q787" i="5"/>
  <c r="Q788" i="5"/>
  <c r="Q789" i="5"/>
  <c r="Q790" i="5"/>
  <c r="Q791" i="5"/>
  <c r="Q792" i="5"/>
  <c r="Q793" i="5"/>
  <c r="Q794" i="5"/>
  <c r="Q795" i="5"/>
  <c r="Q796" i="5"/>
  <c r="Q797" i="5"/>
  <c r="Q798" i="5"/>
  <c r="Q799" i="5"/>
  <c r="Q800" i="5"/>
  <c r="Q801" i="5"/>
  <c r="Q802" i="5"/>
  <c r="Q803" i="5"/>
  <c r="Q804" i="5"/>
  <c r="Q805" i="5"/>
  <c r="Q806" i="5"/>
  <c r="Q807" i="5"/>
  <c r="Q808" i="5"/>
  <c r="Q809" i="5"/>
  <c r="Q810" i="5"/>
  <c r="Q811" i="5"/>
  <c r="Q812" i="5"/>
  <c r="Q813" i="5"/>
  <c r="Q814" i="5"/>
  <c r="Q815" i="5"/>
  <c r="Q816" i="5"/>
  <c r="Q817" i="5"/>
  <c r="Q818" i="5"/>
  <c r="Q819" i="5"/>
  <c r="Q820" i="5"/>
  <c r="Q821" i="5"/>
  <c r="Q822" i="5"/>
  <c r="Q823" i="5"/>
  <c r="Q824" i="5"/>
  <c r="Q825" i="5"/>
  <c r="Q826" i="5"/>
  <c r="Q827" i="5"/>
  <c r="Q828" i="5"/>
  <c r="Q829" i="5"/>
  <c r="Q830" i="5"/>
  <c r="Q831" i="5"/>
  <c r="Q832" i="5"/>
  <c r="Q833" i="5"/>
  <c r="Q834" i="5"/>
  <c r="Q835" i="5"/>
  <c r="Q836" i="5"/>
  <c r="Q837" i="5"/>
  <c r="Q838" i="5"/>
  <c r="Q839" i="5"/>
  <c r="Q840" i="5"/>
  <c r="Q841" i="5"/>
  <c r="Q842" i="5"/>
  <c r="Q843" i="5"/>
  <c r="Q844" i="5"/>
  <c r="Q845" i="5"/>
  <c r="Q846" i="5"/>
  <c r="Q847" i="5"/>
  <c r="Q848" i="5"/>
  <c r="Q849" i="5"/>
  <c r="Q850" i="5"/>
  <c r="Q851" i="5"/>
  <c r="Q852" i="5"/>
  <c r="Q853" i="5"/>
  <c r="Q854" i="5"/>
  <c r="Q855" i="5"/>
  <c r="Q856" i="5"/>
  <c r="Q857" i="5"/>
  <c r="Q858" i="5"/>
  <c r="Q859" i="5"/>
  <c r="Q860" i="5"/>
  <c r="Q861" i="5"/>
  <c r="Q862" i="5"/>
  <c r="Q863" i="5"/>
  <c r="Q864" i="5"/>
  <c r="Q865" i="5"/>
  <c r="Q866" i="5"/>
  <c r="Q867" i="5"/>
  <c r="Q868" i="5"/>
  <c r="Q869" i="5"/>
  <c r="Q870" i="5"/>
  <c r="Q871" i="5"/>
  <c r="Q872" i="5"/>
  <c r="Q873" i="5"/>
  <c r="Q874" i="5"/>
  <c r="Q875" i="5"/>
  <c r="Q876" i="5"/>
  <c r="Q877" i="5"/>
  <c r="Q878" i="5"/>
  <c r="Q879" i="5"/>
  <c r="Q880" i="5"/>
  <c r="Q881" i="5"/>
  <c r="Q882" i="5"/>
  <c r="Q883" i="5"/>
  <c r="Q884" i="5"/>
  <c r="Q885" i="5"/>
  <c r="Q886" i="5"/>
  <c r="Q887" i="5"/>
  <c r="Q888" i="5"/>
  <c r="Q889" i="5"/>
  <c r="Q890" i="5"/>
  <c r="Q891" i="5"/>
  <c r="Q892" i="5"/>
  <c r="Q893" i="5"/>
  <c r="Q894" i="5"/>
  <c r="Q895" i="5"/>
  <c r="Q896" i="5"/>
  <c r="Q897" i="5"/>
  <c r="Q898" i="5"/>
  <c r="Q899" i="5"/>
  <c r="Q900" i="5"/>
  <c r="Q901" i="5"/>
  <c r="Q902" i="5"/>
  <c r="Q903" i="5"/>
  <c r="Q904" i="5"/>
  <c r="Q905" i="5"/>
  <c r="Q906" i="5"/>
  <c r="Q907" i="5"/>
  <c r="Q908" i="5"/>
  <c r="Q909" i="5"/>
  <c r="Q910" i="5"/>
  <c r="Q911" i="5"/>
  <c r="Q912" i="5"/>
  <c r="Q913" i="5"/>
  <c r="Q914" i="5"/>
  <c r="Q915" i="5"/>
  <c r="Q916" i="5"/>
  <c r="Q917" i="5"/>
  <c r="Q918" i="5"/>
  <c r="Q919" i="5"/>
  <c r="Q920" i="5"/>
  <c r="Q921" i="5"/>
  <c r="Q922" i="5"/>
  <c r="Q923" i="5"/>
  <c r="Q924" i="5"/>
  <c r="Q925" i="5"/>
  <c r="Q926" i="5"/>
  <c r="Q927" i="5"/>
  <c r="Q928" i="5"/>
  <c r="Q929" i="5"/>
  <c r="Q930" i="5"/>
  <c r="Q931" i="5"/>
  <c r="Q932" i="5"/>
  <c r="Q933" i="5"/>
  <c r="Q934" i="5"/>
  <c r="Q935" i="5"/>
  <c r="Q936" i="5"/>
  <c r="Q937" i="5"/>
  <c r="Q938" i="5"/>
  <c r="Q939" i="5"/>
  <c r="Q940" i="5"/>
  <c r="Q941" i="5"/>
  <c r="Q942" i="5"/>
  <c r="Q943" i="5"/>
  <c r="Q944" i="5"/>
  <c r="Q945" i="5"/>
  <c r="Q946" i="5"/>
  <c r="Q947" i="5"/>
  <c r="Q948" i="5"/>
  <c r="Q949" i="5"/>
  <c r="Q950" i="5"/>
  <c r="Q951" i="5"/>
  <c r="Q952" i="5"/>
  <c r="Q953" i="5"/>
  <c r="Q954" i="5"/>
  <c r="Q955" i="5"/>
  <c r="Q956" i="5"/>
  <c r="Q957" i="5"/>
  <c r="Q958" i="5"/>
  <c r="Q959" i="5"/>
  <c r="Q960" i="5"/>
  <c r="Q961" i="5"/>
  <c r="Q962" i="5"/>
  <c r="Q963" i="5"/>
  <c r="Q964" i="5"/>
  <c r="Q965" i="5"/>
  <c r="Q966" i="5"/>
  <c r="Q967" i="5"/>
  <c r="Q968" i="5"/>
  <c r="Q969" i="5"/>
  <c r="Q970" i="5"/>
  <c r="Q971" i="5"/>
  <c r="Q972" i="5"/>
  <c r="Q973" i="5"/>
  <c r="Q974" i="5"/>
  <c r="Q975" i="5"/>
  <c r="Q976" i="5"/>
  <c r="Q977" i="5"/>
  <c r="Q978" i="5"/>
  <c r="Q979" i="5"/>
  <c r="Q980" i="5"/>
  <c r="Q981" i="5"/>
  <c r="Q982" i="5"/>
  <c r="Q983" i="5"/>
  <c r="Q984" i="5"/>
  <c r="Q985" i="5"/>
  <c r="Q986" i="5"/>
  <c r="Q987" i="5"/>
  <c r="Q988" i="5"/>
  <c r="Q989" i="5"/>
  <c r="Q990" i="5"/>
  <c r="Q991" i="5"/>
  <c r="Q992" i="5"/>
  <c r="Q993" i="5"/>
  <c r="Q994" i="5"/>
  <c r="Q995" i="5"/>
  <c r="Q996" i="5"/>
  <c r="Q997" i="5"/>
  <c r="Q998" i="5"/>
  <c r="Q999" i="5"/>
  <c r="Q1000" i="5"/>
  <c r="Q1001" i="5"/>
  <c r="Q1002" i="5"/>
  <c r="Q1003" i="5"/>
  <c r="Q1004" i="5"/>
  <c r="Q1005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54CF697-C254-48B7-AB24-E83D18F13519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<sst xmlns="http://schemas.openxmlformats.org/spreadsheetml/2006/main" count="12098" uniqueCount="2980">
  <si>
    <t>Row ID</t>
  </si>
  <si>
    <t>Order ID</t>
  </si>
  <si>
    <t>Ship Mode</t>
  </si>
  <si>
    <t>Customer ID</t>
  </si>
  <si>
    <t>Customer Name</t>
  </si>
  <si>
    <t>Segment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</si>
  <si>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</si>
  <si>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</si>
  <si>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</si>
  <si>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</si>
  <si>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</si>
  <si>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</si>
  <si>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</si>
  <si>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</si>
  <si>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</si>
  <si>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</si>
  <si>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CA-2020-152156</t>
  </si>
  <si>
    <t>Second Class</t>
  </si>
  <si>
    <t>CG-12520</t>
  </si>
  <si>
    <t>Consumer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</si>
  <si>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</si>
  <si>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</si>
  <si>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</si>
  <si>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</si>
  <si>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</si>
  <si>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</si>
  <si>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</si>
  <si>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</si>
  <si>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CA-2020-138688</t>
  </si>
  <si>
    <t>DV-13045</t>
  </si>
  <si>
    <t>Corporate</t>
  </si>
  <si>
    <t>West</t>
  </si>
  <si>
    <t>OFF-LA-10000240</t>
  </si>
  <si>
    <t>Office Supplies</t>
  </si>
  <si>
    <t>Labels</t>
  </si>
  <si>
    <t>Self-Adhesive Address Labels for Typewriters by Universal</t>
  </si>
  <si>
    <t>US-2019-108966</t>
  </si>
  <si>
    <t>Standard Class</t>
  </si>
  <si>
    <t>SO-20335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</si>
  <si>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</si>
  <si>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</si>
  <si>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</si>
  <si>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</si>
  <si>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</si>
  <si>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</si>
  <si>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CA-2018-115812</t>
  </si>
  <si>
    <t>BH-11710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</si>
  <si>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</si>
  <si>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</si>
  <si>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</si>
  <si>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</si>
  <si>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</si>
  <si>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</si>
  <si>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</si>
  <si>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</si>
  <si>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</si>
  <si>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</si>
  <si>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</si>
  <si>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</si>
  <si>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</si>
  <si>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</si>
  <si>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</si>
  <si>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</si>
  <si>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</si>
  <si>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</si>
  <si>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</si>
  <si>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</si>
  <si>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CA-2021-114412</t>
  </si>
  <si>
    <t>AA-10480</t>
  </si>
  <si>
    <t>OFF-PA-10002365</t>
  </si>
  <si>
    <t>Paper</t>
  </si>
  <si>
    <t>Xerox 1967</t>
  </si>
  <si>
    <t>CA-2020-161389</t>
  </si>
  <si>
    <t>IM-15070</t>
  </si>
  <si>
    <t>OFF-BI-10003656</t>
  </si>
  <si>
    <t>Fellowes PB200 Plastic Comb Binding Machine</t>
  </si>
  <si>
    <t>US-2019-118983</t>
  </si>
  <si>
    <t>HP-14815</t>
  </si>
  <si>
    <t>Home Office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</si>
  <si>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</si>
  <si>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</si>
  <si>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</si>
  <si>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</si>
  <si>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</si>
  <si>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CA-2018-105893</t>
  </si>
  <si>
    <t>PK-19075</t>
  </si>
  <si>
    <t>OFF-ST-10004186</t>
  </si>
  <si>
    <t>Stur-D-Stor Shelving, Vertical 5-Shelf: 72"H x 36"W x 18 1/2"D</t>
  </si>
  <si>
    <t>CA-2018-167164</t>
  </si>
  <si>
    <t>AG-10270</t>
  </si>
  <si>
    <t>OFF-ST-10000107</t>
  </si>
  <si>
    <t>Fellowes Super Stor/Drawer</t>
  </si>
  <si>
    <t>CA-2018-143336</t>
  </si>
  <si>
    <t>ZD-21925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</si>
  <si>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</si>
  <si>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</si>
  <si>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</si>
  <si>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</si>
  <si>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</si>
  <si>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</si>
  <si>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CA-2020-137330</t>
  </si>
  <si>
    <t>KB-16585</t>
  </si>
  <si>
    <t>OFF-AR-10000246</t>
  </si>
  <si>
    <t>Newell 318</t>
  </si>
  <si>
    <t>OFF-AP-10001492</t>
  </si>
  <si>
    <t>Acco Six-Outlet Power Strip, 4' Cord Length</t>
  </si>
  <si>
    <t>US-2021-156909</t>
  </si>
  <si>
    <t>SF-20065</t>
  </si>
  <si>
    <t>East</t>
  </si>
  <si>
    <t>FUR-CH-10002774</t>
  </si>
  <si>
    <t>Global Deluxe Stacking Chair, Gray</t>
  </si>
  <si>
    <t>CA-2019-106320</t>
  </si>
  <si>
    <t>EB-13870</t>
  </si>
  <si>
    <t>CA-2020-121755</t>
  </si>
  <si>
    <t>EH-13945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</si>
  <si>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</si>
  <si>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</si>
  <si>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</si>
  <si>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</si>
  <si>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</si>
  <si>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US-2019-150630</t>
  </si>
  <si>
    <t>TB-21520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</si>
  <si>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</si>
  <si>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</si>
  <si>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</si>
  <si>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</si>
  <si>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</si>
  <si>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</si>
  <si>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</si>
  <si>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</si>
  <si>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</si>
  <si>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</si>
  <si>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</si>
  <si>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</si>
  <si>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</si>
  <si>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</si>
  <si>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</si>
  <si>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CA-2021-107727</t>
  </si>
  <si>
    <t>MA-17560</t>
  </si>
  <si>
    <t>OFF-PA-10000249</t>
  </si>
  <si>
    <t>Easy-staple paper</t>
  </si>
  <si>
    <t>CA-2020-117590</t>
  </si>
  <si>
    <t>First Class</t>
  </si>
  <si>
    <t>GH-14485</t>
  </si>
  <si>
    <t>TEC-PH-10004977</t>
  </si>
  <si>
    <t>GE 30524EE4</t>
  </si>
  <si>
    <t>FUR-FU-10003664</t>
  </si>
  <si>
    <t>Electrix Architect's Clamp-On Swing Arm Lamp, Black</t>
  </si>
  <si>
    <t>CA-2019-117415</t>
  </si>
  <si>
    <t>SN-20710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</si>
  <si>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</si>
  <si>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</si>
  <si>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</si>
  <si>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</si>
  <si>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</si>
  <si>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</si>
  <si>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</si>
  <si>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</si>
  <si>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CA-2021-120999</t>
  </si>
  <si>
    <t>LC-16930</t>
  </si>
  <si>
    <t>TEC-PH-10004093</t>
  </si>
  <si>
    <t>Panasonic Kx-TS550</t>
  </si>
  <si>
    <t>CA-2020-101343</t>
  </si>
  <si>
    <t>RA-19885</t>
  </si>
  <si>
    <t>OFF-ST-10003479</t>
  </si>
  <si>
    <t>Eldon Base for stackable storage shelf, platinum</t>
  </si>
  <si>
    <t>CA-2021-139619</t>
  </si>
  <si>
    <t>ES-14080</t>
  </si>
  <si>
    <t>OFF-ST-10003282</t>
  </si>
  <si>
    <t>Advantus 10-Drawer Portable Organizer, Chrome Metal Frame, Smoke Drawers</t>
  </si>
  <si>
    <t>CA-2020-118255</t>
  </si>
  <si>
    <t>ON-18715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</si>
  <si>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</si>
  <si>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</si>
  <si>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</si>
  <si>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</si>
  <si>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CA-2018-146703</t>
  </si>
  <si>
    <t>PO-18865</t>
  </si>
  <si>
    <t>OFF-ST-10001713</t>
  </si>
  <si>
    <t>Gould Plastics 9-Pocket Panel Bin, 18-3/8w x 5-1/4d x 20-1/2h, Black</t>
  </si>
  <si>
    <t>CA-2020-169194</t>
  </si>
  <si>
    <t>LH-16900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</si>
  <si>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</si>
  <si>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</si>
  <si>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</si>
  <si>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</si>
  <si>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CA-2019-115742</t>
  </si>
  <si>
    <t>DP-13000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</si>
  <si>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</si>
  <si>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</si>
  <si>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</si>
  <si>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</si>
  <si>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</si>
  <si>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</si>
  <si>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</si>
  <si>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</si>
  <si>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CA-2020-105816</t>
  </si>
  <si>
    <t>JM-15265</t>
  </si>
  <si>
    <t>OFF-FA-10000304</t>
  </si>
  <si>
    <t>Fasteners</t>
  </si>
  <si>
    <t>Advantus Push Pins</t>
  </si>
  <si>
    <t>TEC-PH-10002447</t>
  </si>
  <si>
    <t>AT&amp;T CL83451 4-Handset Telephone</t>
  </si>
  <si>
    <t>CA-2020-111682</t>
  </si>
  <si>
    <t>TB-21055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</si>
  <si>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</si>
  <si>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</si>
  <si>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</si>
  <si>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</si>
  <si>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</si>
  <si>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</si>
  <si>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</si>
  <si>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</si>
  <si>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</si>
  <si>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</si>
  <si>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</si>
  <si>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</si>
  <si>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CA-2019-135545</t>
  </si>
  <si>
    <t>KM-16720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</si>
  <si>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</si>
  <si>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</si>
  <si>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</si>
  <si>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</si>
  <si>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</si>
  <si>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</si>
  <si>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</si>
  <si>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</si>
  <si>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US-2019-164175</t>
  </si>
  <si>
    <t>PS-18970</t>
  </si>
  <si>
    <t>FUR-CH-10001146</t>
  </si>
  <si>
    <t>Global Value Mid-Back Manager's Chair, Gray</t>
  </si>
  <si>
    <t>CA-2018-106376</t>
  </si>
  <si>
    <t>BS-11590</t>
  </si>
  <si>
    <t>OFF-AR-10002671</t>
  </si>
  <si>
    <t>Hunt BOSTON Model 1606 High-Volume Electric Pencil Sharpener, Beige</t>
  </si>
  <si>
    <t>TEC-PH-10002726</t>
  </si>
  <si>
    <t>netTALK DUO VoIP Telephone Service</t>
  </si>
  <si>
    <t>CA-2020-119823</t>
  </si>
  <si>
    <t>KD-16270</t>
  </si>
  <si>
    <t>OFF-PA-10000482</t>
  </si>
  <si>
    <t>Snap-A-Way Black Print Carbonless Ruled Speed Letter, Triplicate</t>
  </si>
  <si>
    <t>CA-2020-106075</t>
  </si>
  <si>
    <t>HM-14980</t>
  </si>
  <si>
    <t>OFF-BI-10004654</t>
  </si>
  <si>
    <t>Avery Binding System Hidden Tab Executive Style Index Sets</t>
  </si>
  <si>
    <t>CA-2021-114440</t>
  </si>
  <si>
    <t>OFF-PA-10004675</t>
  </si>
  <si>
    <t>Telephone Message Books with Fax/Mobile Section, 5 1/2" x 3 3/16"</t>
  </si>
  <si>
    <t>US-2019-134026</t>
  </si>
  <si>
    <t>JE-15745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</si>
  <si>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</si>
  <si>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</si>
  <si>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</si>
  <si>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</si>
  <si>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</si>
  <si>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</si>
  <si>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US-2021-118038</t>
  </si>
  <si>
    <t>KB-16600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</si>
  <si>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</si>
  <si>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</si>
  <si>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</si>
  <si>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</si>
  <si>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</si>
  <si>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</si>
  <si>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US-2018-147606</t>
  </si>
  <si>
    <t>FUR-FU-10003194</t>
  </si>
  <si>
    <t>Eldon Expressions Desk Accessory, Wood Pencil Holder, Oak</t>
  </si>
  <si>
    <t>CA-2020-127208</t>
  </si>
  <si>
    <t>SC-20770</t>
  </si>
  <si>
    <t>OFF-AP-10002118</t>
  </si>
  <si>
    <t>1.7 Cubic Foot Compact "Cube" Office Refrigerators</t>
  </si>
  <si>
    <t>OFF-BI-10002309</t>
  </si>
  <si>
    <t>CA-2018-139451</t>
  </si>
  <si>
    <t>DN-13690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</si>
  <si>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</si>
  <si>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</si>
  <si>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</si>
  <si>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</si>
  <si>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CA-2019-149734</t>
  </si>
  <si>
    <t>JC-16105</t>
  </si>
  <si>
    <t>OFF-EN-10000927</t>
  </si>
  <si>
    <t>Jet-Pak Recycled Peel 'N' Seal Padded Mailers</t>
  </si>
  <si>
    <t>US-2021-119662</t>
  </si>
  <si>
    <t>CS-12400</t>
  </si>
  <si>
    <t>OFF-ST-10003656</t>
  </si>
  <si>
    <t>Safco Industrial Wire Shelving</t>
  </si>
  <si>
    <t>CA-2021-140088</t>
  </si>
  <si>
    <t>FUR-CH-10000863</t>
  </si>
  <si>
    <t>Novimex Swivel Fabric Task Chair</t>
  </si>
  <si>
    <t>CA-2021-155558</t>
  </si>
  <si>
    <t>PG-18895</t>
  </si>
  <si>
    <t>TEC-AC-10001998</t>
  </si>
  <si>
    <t>Logitech LS21 Speaker System - PC Multimedia - 2.1-CH - Wired</t>
  </si>
  <si>
    <t>OFF-LA-10000134</t>
  </si>
  <si>
    <t>Avery 511</t>
  </si>
  <si>
    <t>CA-2020-159695</t>
  </si>
  <si>
    <t>GM-14455</t>
  </si>
  <si>
    <t>OFF-ST-10003442</t>
  </si>
  <si>
    <t>Eldon Portable Mobile Manager</t>
  </si>
  <si>
    <t>CA-2020-109806</t>
  </si>
  <si>
    <t>JS-15685</t>
  </si>
  <si>
    <t>OFF-AR-10004930</t>
  </si>
  <si>
    <t>Turquoise Lead Holder with Pocket Clip</t>
  </si>
  <si>
    <t>OFF-PA-10000304</t>
  </si>
  <si>
    <t>Xerox 1995</t>
  </si>
  <si>
    <t>CA-2019-149587</t>
  </si>
  <si>
    <t>KB-16315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</si>
  <si>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</si>
  <si>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</si>
  <si>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</si>
  <si>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</si>
  <si>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</si>
  <si>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</si>
  <si>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US-2021-109484</t>
  </si>
  <si>
    <t>RB-19705</t>
  </si>
  <si>
    <t>OFF-BI-10004738</t>
  </si>
  <si>
    <t>Flexible Leather- Look Classic Collection Ring Binder</t>
  </si>
  <si>
    <t>CA-2021-161018</t>
  </si>
  <si>
    <t>PN-18775</t>
  </si>
  <si>
    <t>FUR-FU-10000629</t>
  </si>
  <si>
    <t>9-3/4 Diameter Round Wall Clock</t>
  </si>
  <si>
    <t>CA-2021-157833</t>
  </si>
  <si>
    <t>KD-16345</t>
  </si>
  <si>
    <t>OFF-BI-10001721</t>
  </si>
  <si>
    <t>Trimflex Flexible Post Binders</t>
  </si>
  <si>
    <t>CA-2020-149223</t>
  </si>
  <si>
    <t>ER-13855</t>
  </si>
  <si>
    <t>OFF-AP-10000358</t>
  </si>
  <si>
    <t>Fellowes Basic Home/Office Series Surge Protectors</t>
  </si>
  <si>
    <t>CA-2020-158568</t>
  </si>
  <si>
    <t>RB-19465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</si>
  <si>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</si>
  <si>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</si>
  <si>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</si>
  <si>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</si>
  <si>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</si>
  <si>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</si>
  <si>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CA-2020-129903</t>
  </si>
  <si>
    <t>GZ-14470</t>
  </si>
  <si>
    <t>OFF-PA-10004040</t>
  </si>
  <si>
    <t>Universal Premium White Copier/Laser Paper (20Lb. and 87 Bright)</t>
  </si>
  <si>
    <t>US-2019-156867</t>
  </si>
  <si>
    <t>LC-16870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</si>
  <si>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</si>
  <si>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</si>
  <si>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</si>
  <si>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</si>
  <si>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</si>
  <si>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</si>
  <si>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CA-2021-119004</t>
  </si>
  <si>
    <t>JM-15250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</si>
  <si>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</si>
  <si>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</si>
  <si>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</si>
  <si>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</si>
  <si>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</si>
  <si>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</si>
  <si>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CA-2019-129476</t>
  </si>
  <si>
    <t>PA-19060</t>
  </si>
  <si>
    <t>TEC-AC-10000844</t>
  </si>
  <si>
    <t>Logitech Gaming G510s - Keyboard</t>
  </si>
  <si>
    <t>CA-2021-146780</t>
  </si>
  <si>
    <t>CV-12805</t>
  </si>
  <si>
    <t>FUR-FU-10001934</t>
  </si>
  <si>
    <t>Magnifier Swing Arm Lamp</t>
  </si>
  <si>
    <t>CA-2020-128867</t>
  </si>
  <si>
    <t>CL-12565</t>
  </si>
  <si>
    <t>OFF-AR-10000380</t>
  </si>
  <si>
    <t>Hunt PowerHouse Electric Pencil Sharpener, Blue</t>
  </si>
  <si>
    <t>OFF-BI-10003981</t>
  </si>
  <si>
    <t>Avery Durable Plastic 1" Binders</t>
  </si>
  <si>
    <t>CA-2018-115259</t>
  </si>
  <si>
    <t>RC-19960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</si>
  <si>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</si>
  <si>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</si>
  <si>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</si>
  <si>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</si>
  <si>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</si>
  <si>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</si>
  <si>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</si>
  <si>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CA-2019-110457</t>
  </si>
  <si>
    <t>DK-13090</t>
  </si>
  <si>
    <t>FUR-TA-10001768</t>
  </si>
  <si>
    <t>Hon Racetrack Conference Tables</t>
  </si>
  <si>
    <t>US-2019-136476</t>
  </si>
  <si>
    <t>GG-14650</t>
  </si>
  <si>
    <t>OFF-BI-10003650</t>
  </si>
  <si>
    <t>GBC DocuBind 300 Electric Binding Machine</t>
  </si>
  <si>
    <t>CA-2020-103730</t>
  </si>
  <si>
    <t>SC-20725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</si>
  <si>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</si>
  <si>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</si>
  <si>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</si>
  <si>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</si>
  <si>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</si>
  <si>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</si>
  <si>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</si>
  <si>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</si>
  <si>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US-2018-152030</t>
  </si>
  <si>
    <t>AD-10180</t>
  </si>
  <si>
    <t>FUR-CH-10004063</t>
  </si>
  <si>
    <t>Global Deluxe High-Back Manager's Chair</t>
  </si>
  <si>
    <t>US-2018-134614</t>
  </si>
  <si>
    <t>PF-19165</t>
  </si>
  <si>
    <t>FUR-TA-10004534</t>
  </si>
  <si>
    <t>Bevis 44 x 96 Conference Tables</t>
  </si>
  <si>
    <t>US-2021-107272</t>
  </si>
  <si>
    <t>TS-21610</t>
  </si>
  <si>
    <t>OFF-BI-10003274</t>
  </si>
  <si>
    <t>Avery Durable Slant Ring Binders, No Labels</t>
  </si>
  <si>
    <t>OFF-ST-10002974</t>
  </si>
  <si>
    <t>Trav-L-File Heavy-Duty Shuttle II, Black</t>
  </si>
  <si>
    <t>US-2020-125969</t>
  </si>
  <si>
    <t>LS-16975</t>
  </si>
  <si>
    <t>Global Task Chair, Black</t>
  </si>
  <si>
    <t>FUR-FU-10003773</t>
  </si>
  <si>
    <t>Eldon Cleatmat Plus Chair Mats for High Pile Carpets</t>
  </si>
  <si>
    <t>US-2021-164147</t>
  </si>
  <si>
    <t>DW-13585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</si>
  <si>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</si>
  <si>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</si>
  <si>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</si>
  <si>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</si>
  <si>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</si>
  <si>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</si>
  <si>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CA-2020-145583</t>
  </si>
  <si>
    <t>LC-16885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</si>
  <si>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</si>
  <si>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</si>
  <si>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</si>
  <si>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</si>
  <si>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</si>
  <si>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</si>
  <si>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</si>
  <si>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</si>
  <si>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</si>
  <si>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</si>
  <si>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</si>
  <si>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</si>
  <si>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</si>
  <si>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CA-2020-110366</t>
  </si>
  <si>
    <t>JD-15895</t>
  </si>
  <si>
    <t>CA-2021-106180</t>
  </si>
  <si>
    <t>SH-19975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</si>
  <si>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</si>
  <si>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</si>
  <si>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</si>
  <si>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</si>
  <si>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</si>
  <si>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</si>
  <si>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CA-2021-155376</t>
  </si>
  <si>
    <t>SG-20080</t>
  </si>
  <si>
    <t>OFF-AP-10001058</t>
  </si>
  <si>
    <t>Sanyo 2.5 Cubic Foot Mid-Size Office Refrigerators</t>
  </si>
  <si>
    <t>CA-2019-110744</t>
  </si>
  <si>
    <t>HA-14920</t>
  </si>
  <si>
    <t>CA-2018-110072</t>
  </si>
  <si>
    <t>MG-17680</t>
  </si>
  <si>
    <t>FUR-FU-10000521</t>
  </si>
  <si>
    <t>Seth Thomas 14" Putty-Colored Wall Clock</t>
  </si>
  <si>
    <t>CA-2020-114489</t>
  </si>
  <si>
    <t>JE-16165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</si>
  <si>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</si>
  <si>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</si>
  <si>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</si>
  <si>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</si>
  <si>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</si>
  <si>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</si>
  <si>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CA-2020-158834</t>
  </si>
  <si>
    <t>TW-21025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</si>
  <si>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</si>
  <si>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</si>
  <si>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</si>
  <si>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</si>
  <si>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CA-2019-124919</t>
  </si>
  <si>
    <t>SP-20650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</si>
  <si>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</si>
  <si>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</si>
  <si>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</si>
  <si>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</si>
  <si>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</si>
  <si>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</si>
  <si>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CA-2019-118948</t>
  </si>
  <si>
    <t>NK-18490</t>
  </si>
  <si>
    <t>OFF-AR-10001547</t>
  </si>
  <si>
    <t>Newell 311</t>
  </si>
  <si>
    <t>CA-2018-104269</t>
  </si>
  <si>
    <t>DB-13060</t>
  </si>
  <si>
    <t>CA-2020-114104</t>
  </si>
  <si>
    <t>NP-18670</t>
  </si>
  <si>
    <t>OFF-LA-10002475</t>
  </si>
  <si>
    <t>Avery 519</t>
  </si>
  <si>
    <t>TEC-PH-10004536</t>
  </si>
  <si>
    <t>Avaya 5420 Digital phone</t>
  </si>
  <si>
    <t>CA-2020-162733</t>
  </si>
  <si>
    <t>TT-21070</t>
  </si>
  <si>
    <t>OFF-PA-10002751</t>
  </si>
  <si>
    <t>Xerox 1920</t>
  </si>
  <si>
    <t>CA-2019-119697</t>
  </si>
  <si>
    <t>EM-13960</t>
  </si>
  <si>
    <t>TEC-AC-10003657</t>
  </si>
  <si>
    <t>Lenovo 17-Key USB Numeric Keypad</t>
  </si>
  <si>
    <t>CA-2020-154508</t>
  </si>
  <si>
    <t>RD-19900</t>
  </si>
  <si>
    <t>OFF-EN-10001990</t>
  </si>
  <si>
    <t>Staple envelope</t>
  </si>
  <si>
    <t>CA-2020-113817</t>
  </si>
  <si>
    <t>MJ-17740</t>
  </si>
  <si>
    <t>OFF-BI-10004002</t>
  </si>
  <si>
    <t>Wilson Jones International Size A4 Ring Binders</t>
  </si>
  <si>
    <t>CA-2018-139892</t>
  </si>
  <si>
    <t>BM-11140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</si>
  <si>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</si>
  <si>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</si>
  <si>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</si>
  <si>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</si>
  <si>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</si>
  <si>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</si>
  <si>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</si>
  <si>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</si>
  <si>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</si>
  <si>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</si>
  <si>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</si>
  <si>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</si>
  <si>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</si>
  <si>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</si>
  <si>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</si>
  <si>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CA-2018-118962</t>
  </si>
  <si>
    <t>CS-12130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</si>
  <si>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</si>
  <si>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</si>
  <si>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</si>
  <si>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</si>
  <si>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</si>
  <si>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</si>
  <si>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US-2018-100853</t>
  </si>
  <si>
    <t>JB-15400</t>
  </si>
  <si>
    <t>OFF-AP-10000891</t>
  </si>
  <si>
    <t>Kensington 7 Outlet MasterPiece HOMEOFFICE Power Control Center</t>
  </si>
  <si>
    <t>OFF-LA-10003148</t>
  </si>
  <si>
    <t>Avery 51</t>
  </si>
  <si>
    <t>US-2021-152366</t>
  </si>
  <si>
    <t>SJ-20500</t>
  </si>
  <si>
    <t>OFF-AP-10002684</t>
  </si>
  <si>
    <t>Acco 7-Outlet Masterpiece Power Center, Wihtout Fax/Phone Line Protection</t>
  </si>
  <si>
    <t>US-2019-101511</t>
  </si>
  <si>
    <t>FUR-CH-10004698</t>
  </si>
  <si>
    <t>Padded Folding Chairs, Black, 4/Carton</t>
  </si>
  <si>
    <t>OFF-SU-10002189</t>
  </si>
  <si>
    <t>Acme Rosewood Handle Letter Opener</t>
  </si>
  <si>
    <t>CA-2019-137225</t>
  </si>
  <si>
    <t>JK-15640</t>
  </si>
  <si>
    <t>OFF-AR-10001940</t>
  </si>
  <si>
    <t>Sanford Colorific Eraseable Coloring Pencils, 12 Count</t>
  </si>
  <si>
    <t>CA-2018-166191</t>
  </si>
  <si>
    <t>DK-13150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</si>
  <si>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</si>
  <si>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</si>
  <si>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</si>
  <si>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</si>
  <si>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CA-2018-158274</t>
  </si>
  <si>
    <t>RM-19675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</si>
  <si>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</si>
  <si>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</si>
  <si>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</si>
  <si>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</si>
  <si>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</si>
  <si>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</si>
  <si>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CA-2020-105018</t>
  </si>
  <si>
    <t>SK-19990</t>
  </si>
  <si>
    <t>OFF-BI-10001890</t>
  </si>
  <si>
    <t>Avery Poly Binder Pockets</t>
  </si>
  <si>
    <t>CA-2018-123260</t>
  </si>
  <si>
    <t>FM-14290</t>
  </si>
  <si>
    <t>TEC-AC-10002323</t>
  </si>
  <si>
    <t>SanDisk Ultra 32 GB MicroSDHC Class 10 Memory Card</t>
  </si>
  <si>
    <t>CA-2020-157000</t>
  </si>
  <si>
    <t>AM-10360</t>
  </si>
  <si>
    <t>OFF-ST-10001328</t>
  </si>
  <si>
    <t>Personal Filing Tote with Lid, Black/Gray</t>
  </si>
  <si>
    <t>CA-2019-102281</t>
  </si>
  <si>
    <t>MP-17470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</si>
  <si>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</si>
  <si>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</si>
  <si>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</si>
  <si>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</si>
  <si>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</si>
  <si>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</si>
  <si>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</si>
  <si>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</si>
  <si>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CA-2019-131457</t>
  </si>
  <si>
    <t>MZ-17515</t>
  </si>
  <si>
    <t>CA-2018-140004</t>
  </si>
  <si>
    <t>CB-12025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</si>
  <si>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</si>
  <si>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</si>
  <si>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</si>
  <si>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</si>
  <si>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CA-2021-107720</t>
  </si>
  <si>
    <t>VM-21685</t>
  </si>
  <si>
    <t>OFF-ST-10001414</t>
  </si>
  <si>
    <t>Decoflex Hanging Personal Folder File</t>
  </si>
  <si>
    <t>US-2021-124303</t>
  </si>
  <si>
    <t>FH-14365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</si>
  <si>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</si>
  <si>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</si>
  <si>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</si>
  <si>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</si>
  <si>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CA-2021-105074</t>
  </si>
  <si>
    <t>MB-17305</t>
  </si>
  <si>
    <t>OFF-PA-10002666</t>
  </si>
  <si>
    <t>Southworth 25% Cotton Linen-Finish Paper &amp; Envelopes</t>
  </si>
  <si>
    <t>CA-2018-133690</t>
  </si>
  <si>
    <t>BS-11755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</si>
  <si>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</si>
  <si>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</si>
  <si>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</si>
  <si>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</si>
  <si>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US-2021-116701</t>
  </si>
  <si>
    <t>LC-17140</t>
  </si>
  <si>
    <t>OFF-AP-10003217</t>
  </si>
  <si>
    <t>CA-2021-126382</t>
  </si>
  <si>
    <t>HK-14890</t>
  </si>
  <si>
    <t>FUR-FU-10002960</t>
  </si>
  <si>
    <t>Eldon 200 Class Desk Accessories, Burgundy</t>
  </si>
  <si>
    <t>CA-2021-108329</t>
  </si>
  <si>
    <t>LE-16810</t>
  </si>
  <si>
    <t>TEC-PH-10001918</t>
  </si>
  <si>
    <t>Nortel Business Series Terminal T7208 Digital phone</t>
  </si>
  <si>
    <t>CA-2021-135860</t>
  </si>
  <si>
    <t>JH-15985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</si>
  <si>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</si>
  <si>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</si>
  <si>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</si>
  <si>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</si>
  <si>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</si>
  <si>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</si>
  <si>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</si>
  <si>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</si>
  <si>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CA-2019-101007</t>
  </si>
  <si>
    <t>MS-17980</t>
  </si>
  <si>
    <t>TEC-AC-10001266</t>
  </si>
  <si>
    <t>Memorex Micro Travel Drive 8 GB</t>
  </si>
  <si>
    <t>CA-2019-146262</t>
  </si>
  <si>
    <t>VW-21775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</si>
  <si>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</si>
  <si>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</si>
  <si>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</si>
  <si>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</si>
  <si>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</si>
  <si>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</si>
  <si>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</si>
  <si>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</si>
  <si>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CA-2020-130162</t>
  </si>
  <si>
    <t>JH-15910</t>
  </si>
  <si>
    <t>TEC-PH-10002563</t>
  </si>
  <si>
    <t>Adtran 1202752G1</t>
  </si>
  <si>
    <t>CA-2019-169397</t>
  </si>
  <si>
    <t>JB-15925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</si>
  <si>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</si>
  <si>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</si>
  <si>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</si>
  <si>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</si>
  <si>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</si>
  <si>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</si>
  <si>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</si>
  <si>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</si>
  <si>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</si>
  <si>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</si>
  <si>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CA-2019-163055</t>
  </si>
  <si>
    <t>DS-13180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</si>
  <si>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</si>
  <si>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</si>
  <si>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</si>
  <si>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</si>
  <si>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</si>
  <si>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</si>
  <si>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US-2019-145436</t>
  </si>
  <si>
    <t>VD-21670</t>
  </si>
  <si>
    <t>FUR-CH-10004860</t>
  </si>
  <si>
    <t>Global Low Back Tilter Chair</t>
  </si>
  <si>
    <t>FUR-CH-10004477</t>
  </si>
  <si>
    <t>Global Push Button Manager's Chair, Indigo</t>
  </si>
  <si>
    <t>US-2018-156216</t>
  </si>
  <si>
    <t>EA-14035</t>
  </si>
  <si>
    <t>OFF-BI-10001679</t>
  </si>
  <si>
    <t>GBC Instant Index System for Binding Systems</t>
  </si>
  <si>
    <t>US-2021-100930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</si>
  <si>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</si>
  <si>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</si>
  <si>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</si>
  <si>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</si>
  <si>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</si>
  <si>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</si>
  <si>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</si>
  <si>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</si>
  <si>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CA-2021-160514</t>
  </si>
  <si>
    <t>DB-13120</t>
  </si>
  <si>
    <t>OFF-PA-10002479</t>
  </si>
  <si>
    <t>Xerox 4200 Series MultiUse Premium Copy Paper (20Lb. and 84 Bright)</t>
  </si>
  <si>
    <t>CA-2020-157749</t>
  </si>
  <si>
    <t>KL-16645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</si>
  <si>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</si>
  <si>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</si>
  <si>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</si>
  <si>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</si>
  <si>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</si>
  <si>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</si>
  <si>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</si>
  <si>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</si>
  <si>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</si>
  <si>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</si>
  <si>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</si>
  <si>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</si>
  <si>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CA-2018-131926</t>
  </si>
  <si>
    <t>DW-13480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</si>
  <si>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</si>
  <si>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</si>
  <si>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</si>
  <si>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</si>
  <si>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</si>
  <si>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</si>
  <si>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CA-2020-154739</t>
  </si>
  <si>
    <t>LH-17155</t>
  </si>
  <si>
    <t>FUR-CH-10002965</t>
  </si>
  <si>
    <t>Global Leather Highback Executive Chair with Pneumatic Height Adjustment, Black</t>
  </si>
  <si>
    <t>CA-2020-145625</t>
  </si>
  <si>
    <t>KC-16540</t>
  </si>
  <si>
    <t>OFF-PA-10004569</t>
  </si>
  <si>
    <t>Wirebound Message Books, Two 4 1/4" x 5" Forms per Page</t>
  </si>
  <si>
    <t>CA-2020-146941</t>
  </si>
  <si>
    <t>DL-13315</t>
  </si>
  <si>
    <t>OFF-ST-10001228</t>
  </si>
  <si>
    <t>Fellowes Personal Hanging Folder Files, Navy</t>
  </si>
  <si>
    <t>OFF-EN-10003296</t>
  </si>
  <si>
    <t>Tyvek Side-Opening Peel &amp; Seel Expanding Envelopes</t>
  </si>
  <si>
    <t>US-2019-159982</t>
  </si>
  <si>
    <t>DR-12880</t>
  </si>
  <si>
    <t>OFF-ST-10004804</t>
  </si>
  <si>
    <t>Belkin 19" Vented Equipment Shelf, Black</t>
  </si>
  <si>
    <t>TEC-PH-10001580</t>
  </si>
  <si>
    <t>Logitech Mobile Speakerphone P710e - speaker phone</t>
  </si>
  <si>
    <t>CA-2021-163139</t>
  </si>
  <si>
    <t>CC-12670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</si>
  <si>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</si>
  <si>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</si>
  <si>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</si>
  <si>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</si>
  <si>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</si>
  <si>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</si>
  <si>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US-2021-155299</t>
  </si>
  <si>
    <t>Dl-13600</t>
  </si>
  <si>
    <t>OFF-AP-10002203</t>
  </si>
  <si>
    <t>Eureka Disposable Bags for Sanitaire Vibra Groomer I Upright Vac</t>
  </si>
  <si>
    <t>US-2018-106992</t>
  </si>
  <si>
    <t>SB-20290</t>
  </si>
  <si>
    <t>TEC-MA-10003353</t>
  </si>
  <si>
    <t>Xerox WorkCentre 6505DN Laser Multifunction Printer</t>
  </si>
  <si>
    <t>CA-2020-125318</t>
  </si>
  <si>
    <t>RC-19825</t>
  </si>
  <si>
    <t>TEC-PH-10001433</t>
  </si>
  <si>
    <t>Cisco Small Business SPA 502G VoIP phone</t>
  </si>
  <si>
    <t>CA-2019-155040</t>
  </si>
  <si>
    <t>AH-10210</t>
  </si>
  <si>
    <t>TEC-AC-10004469</t>
  </si>
  <si>
    <t>Microsoft Sculpt Comfort Mouse</t>
  </si>
  <si>
    <t>CA-2021-136826</t>
  </si>
  <si>
    <t>CB-12535</t>
  </si>
  <si>
    <t>OFF-AR-10003602</t>
  </si>
  <si>
    <t>Quartet Omega Colored Chalk, 12/Pack</t>
  </si>
  <si>
    <t>CA-2020-111010</t>
  </si>
  <si>
    <t>OFF-FA-10003472</t>
  </si>
  <si>
    <t>Bagged Rubber Bands</t>
  </si>
  <si>
    <t>US-2021-145366</t>
  </si>
  <si>
    <t>CA-12310</t>
  </si>
  <si>
    <t>OFF-ST-10004180</t>
  </si>
  <si>
    <t>Safco Commercial Shelving</t>
  </si>
  <si>
    <t>OFF-EN-10004386</t>
  </si>
  <si>
    <t>Recycled Interoffice Envelopes with String and Button Closure, 10 x 13</t>
  </si>
  <si>
    <t>CA-2021-163979</t>
  </si>
  <si>
    <t>KH-16690</t>
  </si>
  <si>
    <t>OFF-ST-10003208</t>
  </si>
  <si>
    <t>Adjustable Depth Letter/Legal Cart</t>
  </si>
  <si>
    <t>CA-2019-155334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</si>
  <si>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</si>
  <si>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</si>
  <si>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</si>
  <si>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</si>
  <si>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</si>
  <si>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</si>
  <si>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CA-2021-118136</t>
  </si>
  <si>
    <t>BB-10990</t>
  </si>
  <si>
    <t>OFF-PA-10002615</t>
  </si>
  <si>
    <t>Ampad Gold Fibre Wirebound Steno Books, 6" x 9", Gregg Ruled</t>
  </si>
  <si>
    <t>OFF-AR-10001427</t>
  </si>
  <si>
    <t>Newell 330</t>
  </si>
  <si>
    <t>CA-2021-132976</t>
  </si>
  <si>
    <t>AG-10495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</si>
  <si>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</si>
  <si>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</si>
  <si>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</si>
  <si>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</si>
  <si>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</si>
  <si>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</si>
  <si>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</si>
  <si>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</si>
  <si>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US-2019-161991</t>
  </si>
  <si>
    <t>OFF-BI-10004967</t>
  </si>
  <si>
    <t>Round Ring Binders</t>
  </si>
  <si>
    <t>TEC-PH-10001760</t>
  </si>
  <si>
    <t>Bose SoundLink Bluetooth Speaker</t>
  </si>
  <si>
    <t>CA-2019-130890</t>
  </si>
  <si>
    <t>JO-15280</t>
  </si>
  <si>
    <t>FUR-TA-10002903</t>
  </si>
  <si>
    <t>Bevis Round Bullnose 29" High Table Top</t>
  </si>
  <si>
    <t>CA-2019-130883</t>
  </si>
  <si>
    <t>OFF-PA-10000474</t>
  </si>
  <si>
    <t>TEC-AC-10001956</t>
  </si>
  <si>
    <t>Microsoft Arc Touch Mouse</t>
  </si>
  <si>
    <t>OFF-PA-10004100</t>
  </si>
  <si>
    <t>Xerox 216</t>
  </si>
  <si>
    <t>CA-2020-112697</t>
  </si>
  <si>
    <t>AH-10195</t>
  </si>
  <si>
    <t>OFF-BI-10000778</t>
  </si>
  <si>
    <t>GBC VeloBinder Electric Binding Machine</t>
  </si>
  <si>
    <t>OFF-SU-10000646</t>
  </si>
  <si>
    <t>Premier Automatic Letter Opener</t>
  </si>
  <si>
    <t>CA-2020-110772</t>
  </si>
  <si>
    <t>NZ-18565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</si>
  <si>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</si>
  <si>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</si>
  <si>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</si>
  <si>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</si>
  <si>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</si>
  <si>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</si>
  <si>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</si>
  <si>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</si>
  <si>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CA-2018-111451</t>
  </si>
  <si>
    <t>KL-16555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</si>
  <si>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</si>
  <si>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</si>
  <si>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</si>
  <si>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</si>
  <si>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</si>
  <si>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</si>
  <si>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</si>
  <si>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</si>
  <si>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</si>
  <si>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</si>
  <si>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CA-2020-142545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</si>
  <si>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</si>
  <si>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</si>
  <si>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</si>
  <si>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</si>
  <si>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</si>
  <si>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</si>
  <si>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</si>
  <si>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</si>
  <si>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</si>
  <si>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</si>
  <si>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US-2021-152380</t>
  </si>
  <si>
    <t>FUR-TA-10002533</t>
  </si>
  <si>
    <t>BPI Conference Tables</t>
  </si>
  <si>
    <t>CA-2019-144253</t>
  </si>
  <si>
    <t>AS-10225</t>
  </si>
  <si>
    <t>FUR-FU-10002671</t>
  </si>
  <si>
    <t>Electrix 20W Halogen Replacement Bulb for Zoom-In Desk Lamp</t>
  </si>
  <si>
    <t>CA-2018-130960</t>
  </si>
  <si>
    <t>OFF-AR-10003651</t>
  </si>
  <si>
    <t>Newell 350</t>
  </si>
  <si>
    <t>CA-2018-111003</t>
  </si>
  <si>
    <t>CR-12625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</si>
  <si>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</si>
  <si>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</si>
  <si>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</si>
  <si>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</si>
  <si>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CA-2021-126774</t>
  </si>
  <si>
    <t>SH-20395</t>
  </si>
  <si>
    <t>OFF-AR-10002804</t>
  </si>
  <si>
    <t>Faber Castell Col-Erase Pencils</t>
  </si>
  <si>
    <t>CA-2020-142902</t>
  </si>
  <si>
    <t>BP-11185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</si>
  <si>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</si>
  <si>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</si>
  <si>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</si>
  <si>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</si>
  <si>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</si>
  <si>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</si>
  <si>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</si>
  <si>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</si>
  <si>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CA-2018-120887</t>
  </si>
  <si>
    <t>TS-21205</t>
  </si>
  <si>
    <t>FUR-FU-10001588</t>
  </si>
  <si>
    <t>Deflect-o SuperTray Unbreakable Stackable Tray, Letter, Black</t>
  </si>
  <si>
    <t>CA-2018-167850</t>
  </si>
  <si>
    <t>AG-10525</t>
  </si>
  <si>
    <t>TEC-PH-10002398</t>
  </si>
  <si>
    <t>AT&amp;T 1070 Corded Phone</t>
  </si>
  <si>
    <t>OFF-PA-10001937</t>
  </si>
  <si>
    <t>Xerox 21</t>
  </si>
  <si>
    <t>CA-2018-164259</t>
  </si>
  <si>
    <t>SP-20860</t>
  </si>
  <si>
    <t>OFF-AR-10003373</t>
  </si>
  <si>
    <t>Boston School Pro Electric Pencil Sharpener, 1670</t>
  </si>
  <si>
    <t>CA-2018-164973</t>
  </si>
  <si>
    <t>NM-18445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</si>
  <si>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</si>
  <si>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</si>
  <si>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</si>
  <si>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</si>
  <si>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</si>
  <si>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</si>
  <si>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CA-2018-156601</t>
  </si>
  <si>
    <t>FA-14230</t>
  </si>
  <si>
    <t>OFF-FA-10000624</t>
  </si>
  <si>
    <t>OIC Binder Clips</t>
  </si>
  <si>
    <t>CA-2020-162138</t>
  </si>
  <si>
    <t>GK-14620</t>
  </si>
  <si>
    <t>TEC-AC-10001908</t>
  </si>
  <si>
    <t>Logitech Wireless Headset h800</t>
  </si>
  <si>
    <t>CA-2021-153339</t>
  </si>
  <si>
    <t>DJ-13510</t>
  </si>
  <si>
    <t>FUR-FU-10001967</t>
  </si>
  <si>
    <t>Telescoping Adjustable Floor Lamp</t>
  </si>
  <si>
    <t>US-2020-141544</t>
  </si>
  <si>
    <t>PO-18850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</si>
  <si>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</si>
  <si>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</si>
  <si>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</si>
  <si>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</si>
  <si>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</si>
  <si>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</si>
  <si>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</si>
  <si>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</si>
  <si>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</si>
  <si>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</si>
  <si>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US-2020-150147</t>
  </si>
  <si>
    <t>JL-15850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</si>
  <si>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</si>
  <si>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</si>
  <si>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</si>
  <si>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</si>
  <si>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</si>
  <si>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</si>
  <si>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CA-2019-137946</t>
  </si>
  <si>
    <t>DB-13615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</si>
  <si>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</si>
  <si>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</si>
  <si>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</si>
  <si>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</si>
  <si>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</si>
  <si>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</si>
  <si>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</si>
  <si>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CA-2018-129924</t>
  </si>
  <si>
    <t>AC-10420</t>
  </si>
  <si>
    <t>OFF-BI-10003314</t>
  </si>
  <si>
    <t>Tuff Stuff Recycled Round Ring Binders</t>
  </si>
  <si>
    <t>FUR-TA-10004575</t>
  </si>
  <si>
    <t>Hon 5100 Series Wood Tables</t>
  </si>
  <si>
    <t>CA-2019-128167</t>
  </si>
  <si>
    <t>OFF-FA-10000490</t>
  </si>
  <si>
    <t>OIC Binder Clips, Mini, 1/4" Capacity, Black</t>
  </si>
  <si>
    <t>CA-2018-122336</t>
  </si>
  <si>
    <t>OFF-AR-10000122</t>
  </si>
  <si>
    <t>Newell 314</t>
  </si>
  <si>
    <t>TEC-PH-10000702</t>
  </si>
  <si>
    <t>Square Credit Card Reader, 4 1/2" x 4 1/2" x 1", White</t>
  </si>
  <si>
    <t>US-2019-120712</t>
  </si>
  <si>
    <t>CA-2021-169901</t>
  </si>
  <si>
    <t>CC-12550</t>
  </si>
  <si>
    <t>CA-2021-134306</t>
  </si>
  <si>
    <t>TD-20995</t>
  </si>
  <si>
    <t>OFF-AR-10001374</t>
  </si>
  <si>
    <t>BIC Brite Liner Highlighters, Chisel Tip</t>
  </si>
  <si>
    <t>CA-2020-129714</t>
  </si>
  <si>
    <t>AB-10060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</si>
  <si>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</si>
  <si>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</si>
  <si>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</si>
  <si>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</si>
  <si>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</si>
  <si>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</si>
  <si>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CA-2020-138520</t>
  </si>
  <si>
    <t>JL-15505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</si>
  <si>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</si>
  <si>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</si>
  <si>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</si>
  <si>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</si>
  <si>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</si>
  <si>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</si>
  <si>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</si>
  <si>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</si>
  <si>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CA-2020-130001</t>
  </si>
  <si>
    <t>CA-2021-155698</t>
  </si>
  <si>
    <t>VB-21745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</si>
  <si>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</si>
  <si>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</si>
  <si>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</si>
  <si>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</si>
  <si>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CA-2021-144904</t>
  </si>
  <si>
    <t>KW-16435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</si>
  <si>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</si>
  <si>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</si>
  <si>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</si>
  <si>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</si>
  <si>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</si>
  <si>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</si>
  <si>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CA-2018-123344</t>
  </si>
  <si>
    <t>JD-16060</t>
  </si>
  <si>
    <t>CA-2020-155516</t>
  </si>
  <si>
    <t>Same Day</t>
  </si>
  <si>
    <t>MK-17905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</si>
  <si>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</si>
  <si>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</si>
  <si>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</si>
  <si>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</si>
  <si>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</si>
  <si>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</si>
  <si>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CA-2021-104745</t>
  </si>
  <si>
    <t>GT-14755</t>
  </si>
  <si>
    <t>OFF-PA-10002036</t>
  </si>
  <si>
    <t>Xerox 1930</t>
  </si>
  <si>
    <t>OFF-ST-10002205</t>
  </si>
  <si>
    <t>File Shuttle I and Handi-File</t>
  </si>
  <si>
    <t>US-2018-119137</t>
  </si>
  <si>
    <t>AG-10900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</si>
  <si>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</si>
  <si>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</si>
  <si>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</si>
  <si>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</si>
  <si>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</si>
  <si>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</si>
  <si>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US-2020-134656</t>
  </si>
  <si>
    <t>MM-18280</t>
  </si>
  <si>
    <t>OFF-PA-10003039</t>
  </si>
  <si>
    <t>Xerox 1960</t>
  </si>
  <si>
    <t>US-2021-134481</t>
  </si>
  <si>
    <t>AR-10405</t>
  </si>
  <si>
    <t>FUR-TA-10004915</t>
  </si>
  <si>
    <t>Office Impressions End Table, 20-1/2"H x 24"W x 20"D</t>
  </si>
  <si>
    <t>CA-2019-130792</t>
  </si>
  <si>
    <t>RA-19915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</si>
  <si>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</si>
  <si>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</si>
  <si>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</si>
  <si>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</si>
  <si>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</si>
  <si>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</si>
  <si>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CA-2020-134775</t>
  </si>
  <si>
    <t>AS-10285</t>
  </si>
  <si>
    <t>OFF-PA-10004734</t>
  </si>
  <si>
    <t>Southworth Structures Collection</t>
  </si>
  <si>
    <t>OFF-BI-10002225</t>
  </si>
  <si>
    <t>Square Ring Data Binders, Rigid 75 Pt. Covers, 11" x 14-7/8"</t>
  </si>
  <si>
    <t>CA-2019-125395</t>
  </si>
  <si>
    <t>LA-16780</t>
  </si>
  <si>
    <t>TEC-AC-10004708</t>
  </si>
  <si>
    <t>Sony 32GB Class 10 Micro SDHC R40 Memory Card</t>
  </si>
  <si>
    <t>US-2019-168935</t>
  </si>
  <si>
    <t>DO-13435</t>
  </si>
  <si>
    <t>FUR-TA-10000617</t>
  </si>
  <si>
    <t>Hon Practical Foundations 30 x 60 Training Table, Light Gray/Charcoal</t>
  </si>
  <si>
    <t>TEC-AC-10002335</t>
  </si>
  <si>
    <t>Logitech Media Keyboard K200</t>
  </si>
  <si>
    <t>CA-2019-122756</t>
  </si>
  <si>
    <t>DK-13225</t>
  </si>
  <si>
    <t>TEC-MA-10001681</t>
  </si>
  <si>
    <t>Lexmark MarkNet N8150 Wireless Print Server</t>
  </si>
  <si>
    <t>FUR-FU-10001935</t>
  </si>
  <si>
    <t>3M Hangers With Command Adhesive</t>
  </si>
  <si>
    <t>CA-2018-115973</t>
  </si>
  <si>
    <t>NG-18430</t>
  </si>
  <si>
    <t>OFF-AR-10004757</t>
  </si>
  <si>
    <t>Crayola Colored Pencils</t>
  </si>
  <si>
    <t>CA-2021-101798</t>
  </si>
  <si>
    <t>MV-18190</t>
  </si>
  <si>
    <t>OFF-BI-10000050</t>
  </si>
  <si>
    <t>Angle-D Binders with Locking Rings, Label Holders</t>
  </si>
  <si>
    <t>US-2018-135972</t>
  </si>
  <si>
    <t>JG-15115</t>
  </si>
  <si>
    <t>TEC-PH-10003012</t>
  </si>
  <si>
    <t>Nortel Meridian M3904 Professional Digital phone</t>
  </si>
  <si>
    <t>TEC-CO-10002313</t>
  </si>
  <si>
    <t>Canon PC1080F Personal Copier</t>
  </si>
  <si>
    <t>US-2018-134971</t>
  </si>
  <si>
    <t>BP-11095</t>
  </si>
  <si>
    <t>OFF-BI-10003982</t>
  </si>
  <si>
    <t>Wilson Jones Century Plastic Molded Ring Binders</t>
  </si>
  <si>
    <t>CA-2021-102946</t>
  </si>
  <si>
    <t>VP-21730</t>
  </si>
  <si>
    <t>OFF-BI-10004492</t>
  </si>
  <si>
    <t>Tuf-Vin Binders</t>
  </si>
  <si>
    <t>CA-2021-165603</t>
  </si>
  <si>
    <t>SS-20140</t>
  </si>
  <si>
    <t>OFF-ST-10000798</t>
  </si>
  <si>
    <t>2300 Heavy-Duty Transfer File Systems by Perma</t>
  </si>
  <si>
    <t>OFF-PA-10002552</t>
  </si>
  <si>
    <t>Xerox 1958</t>
  </si>
  <si>
    <t>CA-2019-122259</t>
  </si>
  <si>
    <t>OFF-SU-10002573</t>
  </si>
  <si>
    <t>Acme 10" Easy Grip Assistive Scissors</t>
  </si>
  <si>
    <t>CA-2020-108987</t>
  </si>
  <si>
    <t>AG-10675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</si>
  <si>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</si>
  <si>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</si>
  <si>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</si>
  <si>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</si>
  <si>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</si>
  <si>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</si>
  <si>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CA-2018-113166</t>
  </si>
  <si>
    <t>LF-17185</t>
  </si>
  <si>
    <t>OFF-PA-10001947</t>
  </si>
  <si>
    <t>Xerox 1974</t>
  </si>
  <si>
    <t>CA-2018-155208</t>
  </si>
  <si>
    <t>OFF-AR-10003478</t>
  </si>
  <si>
    <t>Avery Hi-Liter EverBold Pen Style Fluorescent Highlighters, 4/Pack</t>
  </si>
  <si>
    <t>CA-2021-117933</t>
  </si>
  <si>
    <t>RF-19840</t>
  </si>
  <si>
    <t>OFF-AP-10004249</t>
  </si>
  <si>
    <t>Staple holder</t>
  </si>
  <si>
    <t>CA-2021-117457</t>
  </si>
  <si>
    <t>KH-16510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</si>
  <si>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</si>
  <si>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</si>
  <si>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</si>
  <si>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</si>
  <si>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</si>
  <si>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</si>
  <si>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</si>
  <si>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</si>
  <si>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</si>
  <si>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</si>
  <si>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</si>
  <si>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</si>
  <si>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</si>
  <si>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</si>
  <si>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</si>
  <si>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CA-2021-142636</t>
  </si>
  <si>
    <t>KC-16675</t>
  </si>
  <si>
    <t>OFF-PA-10000157</t>
  </si>
  <si>
    <t>Xerox 191</t>
  </si>
  <si>
    <t>CA-2021-122105</t>
  </si>
  <si>
    <t>CJ-12010</t>
  </si>
  <si>
    <t>OFF-AR-10004344</t>
  </si>
  <si>
    <t>Bulldog Vacuum Base Pencil Sharpener</t>
  </si>
  <si>
    <t>CA-2020-148796</t>
  </si>
  <si>
    <t>PB-19150</t>
  </si>
  <si>
    <t>FUR-CH-10004886</t>
  </si>
  <si>
    <t>Bevis Steel Folding Chairs</t>
  </si>
  <si>
    <t>CA-2021-154816</t>
  </si>
  <si>
    <t>OFF-PA-10003845</t>
  </si>
  <si>
    <t>Xerox 1987</t>
  </si>
  <si>
    <t>CA-2021-110478</t>
  </si>
  <si>
    <t>OFF-AR-10001573</t>
  </si>
  <si>
    <t>American Pencil</t>
  </si>
  <si>
    <t>OFF-EN-10000483</t>
  </si>
  <si>
    <t>White Envelopes, White Envelopes with Clear Poly Window</t>
  </si>
  <si>
    <t>CA-2018-142048</t>
  </si>
  <si>
    <t>TEC-AC-10004114</t>
  </si>
  <si>
    <t>KeyTronic 6101 Series - Keyboard - Black</t>
  </si>
  <si>
    <t>CA-2021-125388</t>
  </si>
  <si>
    <t>MP-17965</t>
  </si>
  <si>
    <t>FUR-FU-10004712</t>
  </si>
  <si>
    <t>Westinghouse Mesh Shade Clip-On Gooseneck Lamp, Black</t>
  </si>
  <si>
    <t>OFF-ST-10000918</t>
  </si>
  <si>
    <t>Crate-A-Files</t>
  </si>
  <si>
    <t>CA-2021-155705</t>
  </si>
  <si>
    <t>NF-18385</t>
  </si>
  <si>
    <t>FUR-CH-10000015</t>
  </si>
  <si>
    <t>Hon Multipurpose Stacking Arm Chairs</t>
  </si>
  <si>
    <t>CA-2021-149160</t>
  </si>
  <si>
    <t>FUR-FU-10003347</t>
  </si>
  <si>
    <t>Coloredge Poster Frame</t>
  </si>
  <si>
    <t>OFF-BI-10001543</t>
  </si>
  <si>
    <t>GBC VeloBinder Manual Binding System</t>
  </si>
  <si>
    <t>CA-2018-101476</t>
  </si>
  <si>
    <t>SD-20485</t>
  </si>
  <si>
    <t>TEC-MA-10000029</t>
  </si>
  <si>
    <t>Epson WorkForce WF-2530 All-in-One Printer, Copier Scanner</t>
  </si>
  <si>
    <t>CA-2021-152275</t>
  </si>
  <si>
    <t>KH-16630</t>
  </si>
  <si>
    <t>OFF-AR-10000369</t>
  </si>
  <si>
    <t>Design Ebony Sketching Pencil</t>
  </si>
  <si>
    <t>US-2020-123750</t>
  </si>
  <si>
    <t>RB-19795</t>
  </si>
  <si>
    <t>OFF-BI-10004584</t>
  </si>
  <si>
    <t>GBC ProClick 150 Presentation Binding System</t>
  </si>
  <si>
    <t>OFF-ST-10000617</t>
  </si>
  <si>
    <t>Woodgrain Magazine Files by Perma</t>
  </si>
  <si>
    <t>CA-2020-127369</t>
  </si>
  <si>
    <t>OFF-ST-10003306</t>
  </si>
  <si>
    <t>Letter Size Cart</t>
  </si>
  <si>
    <t>US-2018-150574</t>
  </si>
  <si>
    <t>MK-18160</t>
  </si>
  <si>
    <t>OFF-BI-10000773</t>
  </si>
  <si>
    <t>Insertable Tab Post Binder Dividers</t>
  </si>
  <si>
    <t>TEC-AC-10002600</t>
  </si>
  <si>
    <t>Belkin QODE FastFit Bluetooth Keyboard</t>
  </si>
  <si>
    <t>CA-2020-147375</t>
  </si>
  <si>
    <t>PO-19180</t>
  </si>
  <si>
    <t>TEC-MA-10002937</t>
  </si>
  <si>
    <t>Canon Color ImageCLASS MF8580Cdw Wireless Laser All-In-One Printer, Copier, Scanner</t>
  </si>
  <si>
    <t>CA-2021-130043</t>
  </si>
  <si>
    <t>BB-11545</t>
  </si>
  <si>
    <t>OFF-PA-10002230</t>
  </si>
  <si>
    <t>Xerox 1897</t>
  </si>
  <si>
    <t>CA-2021-157252</t>
  </si>
  <si>
    <t>FUR-CH-10003396</t>
  </si>
  <si>
    <t>Global Deluxe Steno Chair</t>
  </si>
  <si>
    <t>CA-2020-115756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</si>
  <si>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</si>
  <si>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</si>
  <si>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</si>
  <si>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</si>
  <si>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</si>
  <si>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</si>
  <si>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</si>
  <si>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</si>
  <si>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</si>
  <si>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</si>
  <si>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</si>
  <si>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CA-2021-154214</t>
  </si>
  <si>
    <t>TB-21595</t>
  </si>
  <si>
    <t>FUR-FU-10000206</t>
  </si>
  <si>
    <t>GE General Purpose, Extra Long Life, Showcase &amp; Floodlight Incandescent Bulbs</t>
  </si>
  <si>
    <t>CA-2020-166674</t>
  </si>
  <si>
    <t>RB-19360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</si>
  <si>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</si>
  <si>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</si>
  <si>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</si>
  <si>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</si>
  <si>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</si>
  <si>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</si>
  <si>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</si>
  <si>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</si>
  <si>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</si>
  <si>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</si>
  <si>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</si>
  <si>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</si>
  <si>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CA-2021-147277</t>
  </si>
  <si>
    <t>EB-13705</t>
  </si>
  <si>
    <t>OFF-ST-10000142</t>
  </si>
  <si>
    <t>Deluxe Rollaway Locking File with Drawer</t>
  </si>
  <si>
    <t>CA-2020-100153</t>
  </si>
  <si>
    <t>TEC-AC-10001772</t>
  </si>
  <si>
    <t>Memorex Mini Travel Drive 16 GB USB 2.0 Flash Drive</t>
  </si>
  <si>
    <t>US-2018-110674</t>
  </si>
  <si>
    <t>SC-20095</t>
  </si>
  <si>
    <t>FUR-CH-10000225</t>
  </si>
  <si>
    <t>Global Geo Office Task Chair, Gray</t>
  </si>
  <si>
    <t>US-2020-157945</t>
  </si>
  <si>
    <t>FUR-CH-10002331</t>
  </si>
  <si>
    <t>Hon 4700 Series Mobuis Mid-Back Task Chairs with Adjustable Arms</t>
  </si>
  <si>
    <t>OFF-EN-10001415</t>
  </si>
  <si>
    <t>CA-2019-109638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</si>
  <si>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</si>
  <si>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</si>
  <si>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</si>
  <si>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</si>
  <si>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</si>
  <si>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</si>
  <si>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CA-2020-109869</t>
  </si>
  <si>
    <t>TN-21040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</si>
  <si>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</si>
  <si>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</si>
  <si>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</si>
  <si>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</si>
  <si>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</si>
  <si>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</si>
  <si>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</si>
  <si>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</si>
  <si>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US-2019-101399</t>
  </si>
  <si>
    <t>JS-15940</t>
  </si>
  <si>
    <t>CA-2021-154907</t>
  </si>
  <si>
    <t>FUR-BO-10002824</t>
  </si>
  <si>
    <t>Bush Mission Pointe Library</t>
  </si>
  <si>
    <t>US-2020-100419</t>
  </si>
  <si>
    <t>OFF-BI-10002194</t>
  </si>
  <si>
    <t>Cardinal Hold-It CD Pocket</t>
  </si>
  <si>
    <t>CA-2019-154144</t>
  </si>
  <si>
    <t>MH-17785</t>
  </si>
  <si>
    <t>OFF-PA-10004071</t>
  </si>
  <si>
    <t>Eaton Premium Continuous-Feed Paper, 25% Cotton, Letter Size, White, 1000 Shts/Box</t>
  </si>
  <si>
    <t>CA-2018-144666</t>
  </si>
  <si>
    <t>JP-15520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</si>
  <si>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</si>
  <si>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</si>
  <si>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</si>
  <si>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</si>
  <si>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</si>
  <si>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</si>
  <si>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</si>
  <si>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</si>
  <si>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</si>
  <si>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</si>
  <si>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</si>
  <si>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</si>
  <si>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CA-2020-103891</t>
  </si>
  <si>
    <t>TEC-PH-10000149</t>
  </si>
  <si>
    <t>Cisco SPA525G2 IP Phone - Wireless</t>
  </si>
  <si>
    <t>CA-2020-152632</t>
  </si>
  <si>
    <t>JE-15475</t>
  </si>
  <si>
    <t>CA-2020-100790</t>
  </si>
  <si>
    <t>JG-15805</t>
  </si>
  <si>
    <t>OFF-AR-10003045</t>
  </si>
  <si>
    <t>Prang Colored Pencils</t>
  </si>
  <si>
    <t>OFF-ST-10000689</t>
  </si>
  <si>
    <t>Fellowes Strictly Business Drawer File, Letter/Legal Size</t>
  </si>
  <si>
    <t>CA-2018-134677</t>
  </si>
  <si>
    <t>XP-21865</t>
  </si>
  <si>
    <t>TEC-AC-10001445</t>
  </si>
  <si>
    <t>Imation USB 2.0 Swivel Flash Drive USB flash drive - 4 GB - Pink</t>
  </si>
  <si>
    <t>CA-2018-127691</t>
  </si>
  <si>
    <t>EM-14065</t>
  </si>
  <si>
    <t>TEC-AC-10002567</t>
  </si>
  <si>
    <t>Logitech G602 Wireless Gaming Mouse</t>
  </si>
  <si>
    <t>CA-2021-140963</t>
  </si>
  <si>
    <t>MT-18070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</si>
  <si>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</si>
  <si>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</si>
  <si>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</si>
  <si>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</si>
  <si>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</si>
  <si>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</si>
  <si>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CA-2018-154627</t>
  </si>
  <si>
    <t>SA-20830</t>
  </si>
  <si>
    <t>TEC-PH-10001363</t>
  </si>
  <si>
    <t>Apple iPhone 5S</t>
  </si>
  <si>
    <t>CA-2018-133753</t>
  </si>
  <si>
    <t>CW-11905</t>
  </si>
  <si>
    <t>TEC-PH-10000376</t>
  </si>
  <si>
    <t>Square Credit Card Reader</t>
  </si>
  <si>
    <t>TEC-AC-10000303</t>
  </si>
  <si>
    <t>Logitech M510 Wireless Mouse</t>
  </si>
  <si>
    <t>CA-2018-113362</t>
  </si>
  <si>
    <t>AJ-10960</t>
  </si>
  <si>
    <t>OFF-ST-10001809</t>
  </si>
  <si>
    <t>Fellowes Officeware Wire Shelving</t>
  </si>
  <si>
    <t>OFF-EN-10003845</t>
  </si>
  <si>
    <t>Colored Envelopes</t>
  </si>
  <si>
    <t>CA-2020-169166</t>
  </si>
  <si>
    <t>SS-20590</t>
  </si>
  <si>
    <t>TEC-AC-10000991</t>
  </si>
  <si>
    <t>Sony Micro Vault Click 8 GB USB 2.0 Flash Drive</t>
  </si>
  <si>
    <t>US-2020-120929</t>
  </si>
  <si>
    <t>RO-19780</t>
  </si>
  <si>
    <t>FUR-TA-10001857</t>
  </si>
  <si>
    <t>Balt Solid Wood Rectangular Table</t>
  </si>
  <si>
    <t>CA-2019-134782</t>
  </si>
  <si>
    <t>MD-17350</t>
  </si>
  <si>
    <t>OFF-EN-10001434</t>
  </si>
  <si>
    <t>Strathmore #10 Envelopes, Ultimate White</t>
  </si>
  <si>
    <t>CA-2020-126158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</si>
  <si>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</si>
  <si>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</si>
  <si>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</si>
  <si>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</si>
  <si>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</si>
  <si>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</si>
  <si>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US-2020-105578</t>
  </si>
  <si>
    <t>MY-17380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</si>
  <si>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</si>
  <si>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</si>
  <si>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</si>
  <si>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</si>
  <si>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</si>
  <si>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</si>
  <si>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</si>
  <si>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</si>
  <si>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</si>
  <si>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</si>
  <si>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CA-2021-134978</t>
  </si>
  <si>
    <t>CA-2019-145352</t>
  </si>
  <si>
    <t>CM-12385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</si>
  <si>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</si>
  <si>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</si>
  <si>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</si>
  <si>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</si>
  <si>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</si>
  <si>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</si>
  <si>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</si>
  <si>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CA-2021-135307</t>
  </si>
  <si>
    <t>LS-17245</t>
  </si>
  <si>
    <t>FUR-FU-10001290</t>
  </si>
  <si>
    <t>Executive Impressions Supervisor Wall Clock</t>
  </si>
  <si>
    <t>TEC-AC-10002399</t>
  </si>
  <si>
    <t>SanDisk Cruzer 32 GB USB Flash Drive</t>
  </si>
  <si>
    <t>CA-2020-106341</t>
  </si>
  <si>
    <t>CA-2021-163405</t>
  </si>
  <si>
    <t>BN-11515</t>
  </si>
  <si>
    <t>OFF-AR-10003811</t>
  </si>
  <si>
    <t>Newell 327</t>
  </si>
  <si>
    <t>OFF-AR-10001246</t>
  </si>
  <si>
    <t>Newell 317</t>
  </si>
  <si>
    <t>CA-2021-127432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</si>
  <si>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</si>
  <si>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</si>
  <si>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</si>
  <si>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</si>
  <si>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</si>
  <si>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</si>
  <si>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</si>
  <si>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</si>
  <si>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CA-2019-157812</t>
  </si>
  <si>
    <t>DB-13210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</si>
  <si>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</si>
  <si>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</si>
  <si>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</si>
  <si>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</si>
  <si>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CA-2021-145142</t>
  </si>
  <si>
    <t>MC-17605</t>
  </si>
  <si>
    <t>US-2020-139486</t>
  </si>
  <si>
    <t>TEC-PH-10003555</t>
  </si>
  <si>
    <t>Motorola HK250 Universal Bluetooth Headset</t>
  </si>
  <si>
    <t>Imation 16GB Mini TravelDrive USB 2.0 Flash Drive</t>
  </si>
  <si>
    <t>CA-2019-158792</t>
  </si>
  <si>
    <t>BD-11605</t>
  </si>
  <si>
    <t>OFF-FA-10002815</t>
  </si>
  <si>
    <t>CA-2021-113558</t>
  </si>
  <si>
    <t>PH-18790</t>
  </si>
  <si>
    <t>FUR-CH-10003379</t>
  </si>
  <si>
    <t>Global Commerce Series High-Back Swivel/Tilt Chairs</t>
  </si>
  <si>
    <t>US-2019-138303</t>
  </si>
  <si>
    <t>MG-18145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</si>
  <si>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</si>
  <si>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</si>
  <si>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</si>
  <si>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</si>
  <si>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</si>
  <si>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</si>
  <si>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CA-2019-102848</t>
  </si>
  <si>
    <t>KB-16240</t>
  </si>
  <si>
    <t>FUR-CH-10000595</t>
  </si>
  <si>
    <t>Safco Contoured Stacking Chairs</t>
  </si>
  <si>
    <t>US-2021-129441</t>
  </si>
  <si>
    <t>JC-15340</t>
  </si>
  <si>
    <t>FUR-FU-10000448</t>
  </si>
  <si>
    <t>Tenex Chairmats For Use With Carpeted Floors</t>
  </si>
  <si>
    <t>CA-2020-168753</t>
  </si>
  <si>
    <t>RL-19615</t>
  </si>
  <si>
    <t>TEC-PH-10000984</t>
  </si>
  <si>
    <t>Panasonic KX-TG9471B</t>
  </si>
  <si>
    <t>CA-2020-126613</t>
  </si>
  <si>
    <t>AA-10375</t>
  </si>
  <si>
    <t>OFF-ST-10001325</t>
  </si>
  <si>
    <t>Sterilite Officeware Hinged File Box</t>
  </si>
  <si>
    <t>US-2021-122637</t>
  </si>
  <si>
    <t>EP-13915</t>
  </si>
  <si>
    <t>OFF-BI-10002429</t>
  </si>
  <si>
    <t>Premier Elliptical Ring Binder, Black</t>
  </si>
  <si>
    <t>CA-2019-147851</t>
  </si>
  <si>
    <t>OFF-BI-10004528</t>
  </si>
  <si>
    <t>Cardinal Poly Pocket Divider Pockets for Ring Binders</t>
  </si>
  <si>
    <t>CA-2019-134894</t>
  </si>
  <si>
    <t>DK-12985</t>
  </si>
  <si>
    <t>OFF-AP-10001271</t>
  </si>
  <si>
    <t>Eureka The Boss Cordless Rechargeable Stick Vac</t>
  </si>
  <si>
    <t>FUR-CH-10002647</t>
  </si>
  <si>
    <t>Situations Contoured Folding Chairs, 4/Set</t>
  </si>
  <si>
    <t>CA-2018-140795</t>
  </si>
  <si>
    <t>BD-11500</t>
  </si>
  <si>
    <t>TEC-AC-10001432</t>
  </si>
  <si>
    <t>Enermax Aurora Lite Keyboard</t>
  </si>
  <si>
    <t>CA-2020-136924</t>
  </si>
  <si>
    <t>TEC-PH-10002262</t>
  </si>
  <si>
    <t>LG Electronics Tone+ HBS-730 Bluetooth Headset</t>
  </si>
  <si>
    <t>US-2019-120161</t>
  </si>
  <si>
    <t>LM-17065</t>
  </si>
  <si>
    <t>CA-2018-103849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</si>
  <si>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</si>
  <si>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</si>
  <si>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</si>
  <si>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</si>
  <si>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</si>
  <si>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</si>
  <si>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CA-2021-162929</t>
  </si>
  <si>
    <t>AS-10135</t>
  </si>
  <si>
    <t>OFF-BI-10000404</t>
  </si>
  <si>
    <t>Avery Printable Repositionable Plastic Tabs</t>
  </si>
  <si>
    <t>OFF-PA-10002986</t>
  </si>
  <si>
    <t>Xerox 1898</t>
  </si>
  <si>
    <t>CA-2019-113173</t>
  </si>
  <si>
    <t>OFF-SU-10001935</t>
  </si>
  <si>
    <t>CA-2020-136406</t>
  </si>
  <si>
    <t>BD-11320</t>
  </si>
  <si>
    <t>FUR-CH-10002024</t>
  </si>
  <si>
    <t>HON 5400 Series Task Chairs for Big and Tall</t>
  </si>
  <si>
    <t>CA-2021-112774</t>
  </si>
  <si>
    <t>FUR-FU-10003039</t>
  </si>
  <si>
    <t>Howard Miller 11-1/2" Diameter Grantwood Wall Clock</t>
  </si>
  <si>
    <t>CA-2021-101945</t>
  </si>
  <si>
    <t>GT-14710</t>
  </si>
  <si>
    <t>OFF-FA-10004248</t>
  </si>
  <si>
    <t>Advantus T-Pin Paper Clips</t>
  </si>
  <si>
    <t>CA-2021-100650</t>
  </si>
  <si>
    <t>OFF-ST-10001780</t>
  </si>
  <si>
    <t>Tennsco 16-Compartment Lockers with Coat Rack</t>
  </si>
  <si>
    <t>CA-2018-155852</t>
  </si>
  <si>
    <t>AJ-10945</t>
  </si>
  <si>
    <t>OFF-AR-10003560</t>
  </si>
  <si>
    <t>Zebra Zazzle Fluorescent Highlighters</t>
  </si>
  <si>
    <t>CA-2020-113243</t>
  </si>
  <si>
    <t>OT-18730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</si>
  <si>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</si>
  <si>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</si>
  <si>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</si>
  <si>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</si>
  <si>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</si>
  <si>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</si>
  <si>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CA-2021-118731</t>
  </si>
  <si>
    <t>LP-17080</t>
  </si>
  <si>
    <t>OFF-BI-10000069</t>
  </si>
  <si>
    <t>GBC Prepunched Paper, 19-Hole, for Binding Systems, 24-lb</t>
  </si>
  <si>
    <t>CA-2018-145576</t>
  </si>
  <si>
    <t>CA-12775</t>
  </si>
  <si>
    <t>OFF-AP-10003914</t>
  </si>
  <si>
    <t>Sanitaire Vibra Groomer IR Commercial Upright Vacuum, Replacement Belts</t>
  </si>
  <si>
    <t>FUR-FU-10004020</t>
  </si>
  <si>
    <t>Advantus Panel Wall Acrylic Frame</t>
  </si>
  <si>
    <t>CA-2019-130736</t>
  </si>
  <si>
    <t>JF-15490</t>
  </si>
  <si>
    <t>OFF-FA-10003467</t>
  </si>
  <si>
    <t>Alliance Big Bands Rubber Bands, 12/Pack</t>
  </si>
  <si>
    <t>CA-2021-137099</t>
  </si>
  <si>
    <t>FP-14320</t>
  </si>
  <si>
    <t>TEC-PH-10002496</t>
  </si>
  <si>
    <t>Cisco SPA301</t>
  </si>
  <si>
    <t>CA-2021-156951</t>
  </si>
  <si>
    <t>EB-13840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</si>
  <si>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</si>
  <si>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</si>
  <si>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</si>
  <si>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</si>
  <si>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</si>
  <si>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</si>
  <si>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</si>
  <si>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</si>
  <si>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CA-2021-164826</t>
  </si>
  <si>
    <t>JF-15415</t>
  </si>
  <si>
    <t>TEC-PH-10000347</t>
  </si>
  <si>
    <t>Cush Cases Heavy Duty Rugged Cover Case for Samsung Galaxy S5 - Purple</t>
  </si>
  <si>
    <t>CA-2020-127250</t>
  </si>
  <si>
    <t>SF-20200</t>
  </si>
  <si>
    <t>OFF-AR-10003394</t>
  </si>
  <si>
    <t>Newell 332</t>
  </si>
  <si>
    <t>CA-2019-149713</t>
  </si>
  <si>
    <t>TG-21640</t>
  </si>
  <si>
    <t>OFF-PA-10001450</t>
  </si>
  <si>
    <t>Rediform S.O.S. Phone Message Books</t>
  </si>
  <si>
    <t>OFF-SU-10001574</t>
  </si>
  <si>
    <t>Acme Value Line Scissors</t>
  </si>
  <si>
    <t>CA-2021-118640</t>
  </si>
  <si>
    <t>CS-11950</t>
  </si>
  <si>
    <t>FUR-FU-10001475</t>
  </si>
  <si>
    <t>Contract Clock, 14", Brown</t>
  </si>
  <si>
    <t>CA-2019-132906</t>
  </si>
  <si>
    <t>CC-12145</t>
  </si>
  <si>
    <t>OFF-SU-10004498</t>
  </si>
  <si>
    <t>Martin-Yale Premier Letter Opener</t>
  </si>
  <si>
    <t>CA-2021-145233</t>
  </si>
  <si>
    <t>DV-13465</t>
  </si>
  <si>
    <t>TEC-PH-10000586</t>
  </si>
  <si>
    <t>AT&amp;T SB67148 SynJ</t>
  </si>
  <si>
    <t>OFF-BI-10002764</t>
  </si>
  <si>
    <t>Recycled Pressboard Report Cover with Reinforced Top Hinge</t>
  </si>
  <si>
    <t>CA-2019-128139</t>
  </si>
  <si>
    <t>BD-11725</t>
  </si>
  <si>
    <t>OFF-LA-10003930</t>
  </si>
  <si>
    <t>Dot Matrix Printer Tape Reel Labels, White, 5000/Box</t>
  </si>
  <si>
    <t>US-2020-156986</t>
  </si>
  <si>
    <t>ZC-21910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</si>
  <si>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</si>
  <si>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</si>
  <si>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</si>
  <si>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</si>
  <si>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</si>
  <si>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</si>
  <si>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CA-2018-135405</t>
  </si>
  <si>
    <t>MS-17830</t>
  </si>
  <si>
    <t>OFF-AR-10004078</t>
  </si>
  <si>
    <t>Newell 312</t>
  </si>
  <si>
    <t>CA-2018-131450</t>
  </si>
  <si>
    <t>LR-16915</t>
  </si>
  <si>
    <t>OFF-AP-10004708</t>
  </si>
  <si>
    <t>Fellowes Superior 10 Outlet Split Surge Protector</t>
  </si>
  <si>
    <t>FUR-FU-10001979</t>
  </si>
  <si>
    <t>Dana Halogen Swing-Arm Architect Lamp</t>
  </si>
  <si>
    <t>CA-2020-120180</t>
  </si>
  <si>
    <t>TP-21130</t>
  </si>
  <si>
    <t>OFF-SU-10004115</t>
  </si>
  <si>
    <t>Acme Stainless Steel Office Snips</t>
  </si>
  <si>
    <t>US-2020-100720</t>
  </si>
  <si>
    <t>CK-12205</t>
  </si>
  <si>
    <t>TEC-PH-10001425</t>
  </si>
  <si>
    <t>Mophie Juice Pack Helium for iPhone</t>
  </si>
  <si>
    <t>TEC-PH-10003963</t>
  </si>
  <si>
    <t>GE 2-Jack Phone Line Splitter</t>
  </si>
  <si>
    <t>CA-2018-149958</t>
  </si>
  <si>
    <t>AS-10240</t>
  </si>
  <si>
    <t>OFF-ST-10001490</t>
  </si>
  <si>
    <t>Hot File 7-Pocket, Floor Stand</t>
  </si>
  <si>
    <t>OFF-PA-10002120</t>
  </si>
  <si>
    <t>Xerox 1889</t>
  </si>
  <si>
    <t>US-2018-105767</t>
  </si>
  <si>
    <t>AR-10510</t>
  </si>
  <si>
    <t>OFF-BI-10000848</t>
  </si>
  <si>
    <t>Angle-D Ring Binders</t>
  </si>
  <si>
    <t>TEC-PH-10003092</t>
  </si>
  <si>
    <t>Motorola L804</t>
  </si>
  <si>
    <t>CA-2020-161816</t>
  </si>
  <si>
    <t>NB-18655</t>
  </si>
  <si>
    <t>OFF-LA-10004345</t>
  </si>
  <si>
    <t>Avery 493</t>
  </si>
  <si>
    <t>CA-2020-121223</t>
  </si>
  <si>
    <t>GD-14590</t>
  </si>
  <si>
    <t>OFF-PA-10001204</t>
  </si>
  <si>
    <t>Xerox 1972</t>
  </si>
  <si>
    <t>TEC-PH-10004667</t>
  </si>
  <si>
    <t>Cisco 8x8 Inc. 6753i IP Business Phone System</t>
  </si>
  <si>
    <t>CA-2021-138611</t>
  </si>
  <si>
    <t>CK-12595</t>
  </si>
  <si>
    <t>OFF-BI-10002949</t>
  </si>
  <si>
    <t>Prestige Round Ring Binders</t>
  </si>
  <si>
    <t>CA-2021-117947</t>
  </si>
  <si>
    <t>NG-18355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</si>
  <si>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</si>
  <si>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</si>
  <si>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</si>
  <si>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</si>
  <si>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</si>
  <si>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</si>
  <si>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</si>
  <si>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</si>
  <si>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US-2018-111171</t>
  </si>
  <si>
    <t>CA-12265</t>
  </si>
  <si>
    <t>OFF-BI-10002103</t>
  </si>
  <si>
    <t>Cardinal Slant-D Ring Binder, Heavy Gauge Vinyl</t>
  </si>
  <si>
    <t>CA-2019-138009</t>
  </si>
  <si>
    <t>SF-20965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</si>
  <si>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</si>
  <si>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</si>
  <si>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</si>
  <si>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</si>
  <si>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</si>
  <si>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</si>
  <si>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CA-2021-163020</t>
  </si>
  <si>
    <t>MO-17800</t>
  </si>
  <si>
    <t>FUR-FU-10000221</t>
  </si>
  <si>
    <t>Master Caster Door Stop, Brown</t>
  </si>
  <si>
    <t>CA-2021-153787</t>
  </si>
  <si>
    <t>AT-10735</t>
  </si>
  <si>
    <t>OFF-AP-10001563</t>
  </si>
  <si>
    <t>Belkin Premiere Surge Master II 8-outlet surge protector</t>
  </si>
  <si>
    <t>CA-2021-133431</t>
  </si>
  <si>
    <t>OFF-BI-10000605</t>
  </si>
  <si>
    <t>Acco Pressboard Covers with Storage Hooks, 9 1/2" x 11", Executive Red</t>
  </si>
  <si>
    <t>US-2020-135720</t>
  </si>
  <si>
    <t>FM-14380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</si>
  <si>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</si>
  <si>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</si>
  <si>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</si>
  <si>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</si>
  <si>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</si>
  <si>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</si>
  <si>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CA-2021-144694</t>
  </si>
  <si>
    <t>TEC-AC-10002857</t>
  </si>
  <si>
    <t>Verbatim 25 GB 6x Blu-ray Single Layer Recordable Disc, 1/Pack</t>
  </si>
  <si>
    <t>CA-2019-168004</t>
  </si>
  <si>
    <t>DJ-13420</t>
  </si>
  <si>
    <t>FUR-CH-10001482</t>
  </si>
  <si>
    <t>Office Star - Mesh Screen back chair with Vinyl seat</t>
  </si>
  <si>
    <t>US-2020-123470</t>
  </si>
  <si>
    <t>ME-17725</t>
  </si>
  <si>
    <t>OFF-BI-10001989</t>
  </si>
  <si>
    <t>Premium Transparent Presentation Covers by GBC</t>
  </si>
  <si>
    <t>OFF-AP-10003287</t>
  </si>
  <si>
    <t>Tripp Lite TLP810NET Broadband Surge for Modem/Fax</t>
  </si>
  <si>
    <t>CA-2020-115917</t>
  </si>
  <si>
    <t>OFF-BI-10004728</t>
  </si>
  <si>
    <t>Wilson Jones Turn Tabs Binder Tool for Ring Binders</t>
  </si>
  <si>
    <t>CA-2020-147067</t>
  </si>
  <si>
    <t>JD-16150</t>
  </si>
  <si>
    <t>FUR-FU-10000732</t>
  </si>
  <si>
    <t>Eldon 200 Class Desk Accessories</t>
  </si>
  <si>
    <t>CA-2021-167913</t>
  </si>
  <si>
    <t>JL-15835</t>
  </si>
  <si>
    <t>OFF-ST-10000585</t>
  </si>
  <si>
    <t>Economy Rollaway Files</t>
  </si>
  <si>
    <t>OFF-LA-10002787</t>
  </si>
  <si>
    <t>Avery 480</t>
  </si>
  <si>
    <t>CA-2021-106103</t>
  </si>
  <si>
    <t>SC-20305</t>
  </si>
  <si>
    <t>US-2021-127719</t>
  </si>
  <si>
    <t>OFF-PA-10001934</t>
  </si>
  <si>
    <t>Xerox 1993</t>
  </si>
  <si>
    <t>CA-2021-126221</t>
  </si>
  <si>
    <t>CC-12430</t>
  </si>
  <si>
    <t>OFF-AP-10002457</t>
  </si>
  <si>
    <t>Eureka The Boss Plus 12-Amp Hard Box Upright Vacuum, Red</t>
  </si>
  <si>
    <t>CA-2020-103947</t>
  </si>
  <si>
    <t>OFF-FA-10003112</t>
  </si>
  <si>
    <t>OFF-AP-10002350</t>
  </si>
  <si>
    <t>Belkin F9H710-06 7 Outlet SurgeMaster Surge Protector</t>
  </si>
  <si>
    <t>CA-2020-160745</t>
  </si>
  <si>
    <t>AR-10825</t>
  </si>
  <si>
    <t>TEC-AC-10001142</t>
  </si>
  <si>
    <t>First Data FD10 PIN Pad</t>
  </si>
  <si>
    <t>CA-2020-132661</t>
  </si>
  <si>
    <t>SR-20740</t>
  </si>
  <si>
    <t>CA-2021-140844</t>
  </si>
  <si>
    <t>TEC-AC-10001101</t>
  </si>
  <si>
    <t>Sony 16GB Class 10 Micro SDHC R40 Memory Card</t>
  </si>
  <si>
    <t>CA-2020-137239</t>
  </si>
  <si>
    <t>CR-12730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</si>
  <si>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</si>
  <si>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</si>
  <si>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</si>
  <si>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</si>
  <si>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</si>
  <si>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</si>
  <si>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US-2020-156097</t>
  </si>
  <si>
    <t>EH-14125</t>
  </si>
  <si>
    <t>CA-2019-146563</t>
  </si>
  <si>
    <t>OFF-ST-10001511</t>
  </si>
  <si>
    <t>Space Solutions Commercial Steel Shelving</t>
  </si>
  <si>
    <t>CA-2020-123666</t>
  </si>
  <si>
    <t>SP-20545</t>
  </si>
  <si>
    <t>CA-2020-143308</t>
  </si>
  <si>
    <t>CA-2021-132682</t>
  </si>
  <si>
    <t>TH-21235</t>
  </si>
  <si>
    <t>OFF-SU-10004231</t>
  </si>
  <si>
    <t>Acme Tagit Stainless Steel Antibacterial Scissors</t>
  </si>
  <si>
    <t>TEC-PH-10004042</t>
  </si>
  <si>
    <t>ClearOne Communications CHAT 70 OC Speaker Phone</t>
  </si>
  <si>
    <t>CA-2018-156314</t>
  </si>
  <si>
    <t>RP-19390</t>
  </si>
  <si>
    <t>FUR-FU-10003096</t>
  </si>
  <si>
    <t>Master Giant Foot Doorstop, Safety Yellow</t>
  </si>
  <si>
    <t>US-2021-106663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</si>
  <si>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</si>
  <si>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</si>
  <si>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</si>
  <si>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</si>
  <si>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</si>
  <si>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CA-2021-111178</t>
  </si>
  <si>
    <t>OFF-AR-10001954</t>
  </si>
  <si>
    <t>Newell 331</t>
  </si>
  <si>
    <t>CA-2021-130351</t>
  </si>
  <si>
    <t>RB-19570</t>
  </si>
  <si>
    <t>OFF-AP-10004532</t>
  </si>
  <si>
    <t>Kensington 6 Outlet Guardian Standard Surge Protector</t>
  </si>
  <si>
    <t>OFF-PA-10002137</t>
  </si>
  <si>
    <t>Southworth 100% Résumé Paper, 24lb.</t>
  </si>
  <si>
    <t>US-2021-119438</t>
  </si>
  <si>
    <t>CD-11980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</si>
  <si>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</si>
  <si>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</si>
  <si>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</si>
  <si>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</si>
  <si>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</si>
  <si>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</si>
  <si>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</si>
  <si>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</si>
  <si>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CA-2020-164511</t>
  </si>
  <si>
    <t>DJ-13630</t>
  </si>
  <si>
    <t>OFF-BI-10003305</t>
  </si>
  <si>
    <t>Avery Hanging File Binders</t>
  </si>
  <si>
    <t>OFF-ST-10002583</t>
  </si>
  <si>
    <t>Fellowes Neat Ideas Storage Cubes</t>
  </si>
  <si>
    <t>US-2021-168116</t>
  </si>
  <si>
    <t>GT-14635</t>
  </si>
  <si>
    <t>TEC-MA-10004125</t>
  </si>
  <si>
    <t>Cubify CubeX 3D Printer Triple Head Print</t>
  </si>
  <si>
    <t>CA-2018-157784</t>
  </si>
  <si>
    <t>MC-17845</t>
  </si>
  <si>
    <t>OFF-LA-10001934</t>
  </si>
  <si>
    <t>Avery 516</t>
  </si>
  <si>
    <t>CA-2021-161480</t>
  </si>
  <si>
    <t>RA-19285</t>
  </si>
  <si>
    <t>FUR-BO-10004015</t>
  </si>
  <si>
    <t>Bush Andora Bookcase, Maple/Graphite Gray Finish</t>
  </si>
  <si>
    <t>US-2018-117135</t>
  </si>
  <si>
    <t>NP-18325</t>
  </si>
  <si>
    <t>FUR-FU-10004071</t>
  </si>
  <si>
    <t>Luxo Professional Magnifying Clamp-On Fluorescent Lamps</t>
  </si>
  <si>
    <t>OFF-ST-10002444</t>
  </si>
  <si>
    <t>Recycled Eldon Regeneration Jumbo File</t>
  </si>
  <si>
    <t>CA-2019-131534</t>
  </si>
  <si>
    <t>AB-10165</t>
  </si>
  <si>
    <t>TEC-AC-10002253</t>
  </si>
  <si>
    <t>Imation Bio 8GB USB Flash Drive Imation Corp</t>
  </si>
  <si>
    <t>OFF-PA-10000743</t>
  </si>
  <si>
    <t>Xerox 1977</t>
  </si>
  <si>
    <t>CA-2019-119291</t>
  </si>
  <si>
    <t>JO-15550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</si>
  <si>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</si>
  <si>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</si>
  <si>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</si>
  <si>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</si>
  <si>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</si>
  <si>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</si>
  <si>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</si>
  <si>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</si>
  <si>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CA-2021-114552</t>
  </si>
  <si>
    <t>CA-2020-163755</t>
  </si>
  <si>
    <t>FUR-FU-10003394</t>
  </si>
  <si>
    <t>Tenex "The Solids" Textured Chair Mats</t>
  </si>
  <si>
    <t>CA-2019-142027</t>
  </si>
  <si>
    <t>JK-15370</t>
  </si>
  <si>
    <t>FUR-TA-10002774</t>
  </si>
  <si>
    <t>Laminate Occasional Tables</t>
  </si>
  <si>
    <t>CA-2018-138527</t>
  </si>
  <si>
    <t>BN-11470</t>
  </si>
  <si>
    <t>OFF-PA-10001800</t>
  </si>
  <si>
    <t>Xerox 220</t>
  </si>
  <si>
    <t>OFF-AP-10001469</t>
  </si>
  <si>
    <t>Fellowes 8 Outlet Superior Workstation Surge Protector</t>
  </si>
  <si>
    <t>CA-2018-112158</t>
  </si>
  <si>
    <t>DP-13165</t>
  </si>
  <si>
    <t>FUR-BO-10003272</t>
  </si>
  <si>
    <t>O'Sullivan Living Dimensions 5-Shelf Bookcases</t>
  </si>
  <si>
    <t>CA-2018-113887</t>
  </si>
  <si>
    <t>TH-21550</t>
  </si>
  <si>
    <t>CA-2021-146136</t>
  </si>
  <si>
    <t>AP-10915</t>
  </si>
  <si>
    <t>OFF-EN-10001219</t>
  </si>
  <si>
    <t>#10- 4 1/8" x 9 1/2" Security-Tint Envelopes</t>
  </si>
  <si>
    <t>US-2021-100048</t>
  </si>
  <si>
    <t>RS-19765</t>
  </si>
  <si>
    <t>OFF-AP-10001154</t>
  </si>
  <si>
    <t>Bionaire Personal Warm Mist Humidifier/Vaporizer</t>
  </si>
  <si>
    <t>TEC-AC-10001606</t>
  </si>
  <si>
    <t>Logitech Wireless Performance Mouse MX for PC and Mac</t>
  </si>
  <si>
    <t>CA-2018-153150</t>
  </si>
  <si>
    <t>OFF-BI-10003355</t>
  </si>
  <si>
    <t>Cardinal Holdit Business Card Pockets</t>
  </si>
  <si>
    <t>CA-2018-130092</t>
  </si>
  <si>
    <t>SV-20365</t>
  </si>
  <si>
    <t>CA-2021-108910</t>
  </si>
  <si>
    <t>FUR-FU-10002253</t>
  </si>
  <si>
    <t>Howard Miller 13" Diameter Pewter Finish Round Wall Clock</t>
  </si>
  <si>
    <t>CA-2018-104472</t>
  </si>
  <si>
    <t>CK-12325</t>
  </si>
  <si>
    <t>CA-2020-112942</t>
  </si>
  <si>
    <t>RD-19810</t>
  </si>
  <si>
    <t>OFF-PA-10004092</t>
  </si>
  <si>
    <t>Tops Green Bar Computer Printout Paper</t>
  </si>
  <si>
    <t>CA-2020-142335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</si>
  <si>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</si>
  <si>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</si>
  <si>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</si>
  <si>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</si>
  <si>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CA-2018-117429</t>
  </si>
  <si>
    <t>MR-17545</t>
  </si>
  <si>
    <t>FUR-FU-10000222</t>
  </si>
  <si>
    <t>Seth Thomas 16" Steel Case Clock</t>
  </si>
  <si>
    <t>CA-2020-114713</t>
  </si>
  <si>
    <t>SC-20695</t>
  </si>
  <si>
    <t>OFF-SU-10004664</t>
  </si>
  <si>
    <t>Acme Softgrip Scissors</t>
  </si>
  <si>
    <t>CA-2021-144113</t>
  </si>
  <si>
    <t>JF-15355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</si>
  <si>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</si>
  <si>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</si>
  <si>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</si>
  <si>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</si>
  <si>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US-2020-150861</t>
  </si>
  <si>
    <t>EG-13900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</si>
  <si>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</si>
  <si>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</si>
  <si>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</si>
  <si>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</si>
  <si>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</si>
  <si>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</si>
  <si>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CA-2021-131954</t>
  </si>
  <si>
    <t>DS-13030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</si>
  <si>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</si>
  <si>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</si>
  <si>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</si>
  <si>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</si>
  <si>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</si>
  <si>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</si>
  <si>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CA-2018-132500</t>
  </si>
  <si>
    <t>TEC-AC-10001383</t>
  </si>
  <si>
    <t>Logitech Wireless Touch Keyboard K400</t>
  </si>
  <si>
    <t>CA-2018-112326</t>
  </si>
  <si>
    <t>PO-19195</t>
  </si>
  <si>
    <t>OFF-LA-10003223</t>
  </si>
  <si>
    <t>Avery 508</t>
  </si>
  <si>
    <t>OFF-BI-10004094</t>
  </si>
  <si>
    <t>GBC Standard Plastic Binding Systems Combs</t>
  </si>
  <si>
    <t>US-2020-146710</t>
  </si>
  <si>
    <t>SS-20875</t>
  </si>
  <si>
    <t>OFF-PA-10004971</t>
  </si>
  <si>
    <t>Xerox 196</t>
  </si>
  <si>
    <t>OFF-SU-10004261</t>
  </si>
  <si>
    <t>Fiskars 8" Scissors, 2/Pack</t>
  </si>
  <si>
    <t>CA-2018-124429</t>
  </si>
  <si>
    <t>CA-2020-150889</t>
  </si>
  <si>
    <t>PB-19105</t>
  </si>
  <si>
    <t>TEC-PH-10000004</t>
  </si>
  <si>
    <t>Belkin iPhone and iPad Lightning Cable</t>
  </si>
  <si>
    <t>CA-2021-126074</t>
  </si>
  <si>
    <t>RF-19735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</si>
  <si>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</si>
  <si>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</si>
  <si>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</si>
  <si>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</si>
  <si>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</si>
  <si>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</si>
  <si>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CA-2020-110499</t>
  </si>
  <si>
    <t>YC-21895</t>
  </si>
  <si>
    <t>TEC-CO-10002095</t>
  </si>
  <si>
    <t>Hewlett Packard 610 Color Digital Copier / Printer</t>
  </si>
  <si>
    <t>CA-2019-135272</t>
  </si>
  <si>
    <t>CA-2020-140928</t>
  </si>
  <si>
    <t>FUR-TA-10001095</t>
  </si>
  <si>
    <t>Chromcraft Round Conference Tables</t>
  </si>
  <si>
    <t>CA-2018-106803</t>
  </si>
  <si>
    <t>DC-13285</t>
  </si>
  <si>
    <t>CA-2021-117240</t>
  </si>
  <si>
    <t>CP-12340</t>
  </si>
  <si>
    <t>CA-2021-133333</t>
  </si>
  <si>
    <t>BF-11020</t>
  </si>
  <si>
    <t>CA-2019-112319</t>
  </si>
  <si>
    <t>CA-2021-126046</t>
  </si>
  <si>
    <t>OFF-LA-10004484</t>
  </si>
  <si>
    <t>Avery 476</t>
  </si>
  <si>
    <t>CA-2019-114923</t>
  </si>
  <si>
    <t>LH-17020</t>
  </si>
  <si>
    <t>CA-2018-162775</t>
  </si>
  <si>
    <t>CS-12250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</si>
  <si>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</si>
  <si>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</si>
  <si>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</si>
  <si>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</si>
  <si>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</si>
  <si>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</si>
  <si>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</si>
  <si>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</si>
  <si>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CA-2018-106810</t>
  </si>
  <si>
    <t>AJ-10795</t>
  </si>
  <si>
    <t>FUR-FU-10004306</t>
  </si>
  <si>
    <t>Electrix Halogen Magnifier Lamp</t>
  </si>
  <si>
    <t>CA-2020-157245</t>
  </si>
  <si>
    <t>FUR-CH-10003746</t>
  </si>
  <si>
    <t>Hon 4070 Series Pagoda Round Back Stacking Chairs</t>
  </si>
  <si>
    <t>CA-2021-104220</t>
  </si>
  <si>
    <t>BV-11245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</si>
  <si>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</si>
  <si>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</si>
  <si>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</si>
  <si>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</si>
  <si>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</si>
  <si>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</si>
  <si>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</si>
  <si>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</si>
  <si>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CA-2018-165974</t>
  </si>
  <si>
    <t>DL-12865</t>
  </si>
  <si>
    <t>OFF-AR-10003405</t>
  </si>
  <si>
    <t>Dixon My First Ticonderoga Pencil, #2</t>
  </si>
  <si>
    <t>CA-2019-144267</t>
  </si>
  <si>
    <t>FUR-CH-10002335</t>
  </si>
  <si>
    <t>Hon GuestStacker Chair</t>
  </si>
  <si>
    <t>OFF-PA-10003657</t>
  </si>
  <si>
    <t>Xerox 1927</t>
  </si>
  <si>
    <t>US-2019-157014</t>
  </si>
  <si>
    <t>BM-11785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</si>
  <si>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</si>
  <si>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</si>
  <si>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</si>
  <si>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</si>
  <si>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CA-2019-154921</t>
  </si>
  <si>
    <t>OFF-EN-10000056</t>
  </si>
  <si>
    <t>Cameo Buff Policy Envelopes</t>
  </si>
  <si>
    <t>CA-2021-129567</t>
  </si>
  <si>
    <t>OFF-BI-10000014</t>
  </si>
  <si>
    <t>Heavy-Duty E-Z-D Binders</t>
  </si>
  <si>
    <t>CA-2019-154620</t>
  </si>
  <si>
    <t>LT-17110</t>
  </si>
  <si>
    <t>FUR-CH-10004675</t>
  </si>
  <si>
    <t>Lifetime Advantage Folding Chairs, 4/Carton</t>
  </si>
  <si>
    <t>CA-2019-115938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</si>
  <si>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</si>
  <si>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</si>
  <si>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</si>
  <si>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</si>
  <si>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CA-2020-105256</t>
  </si>
  <si>
    <t>JK-15730</t>
  </si>
  <si>
    <t>TEC-PH-10001530</t>
  </si>
  <si>
    <t>Cisco Unified IP Phone 7945G VoIP phone</t>
  </si>
  <si>
    <t>CA-2018-156433</t>
  </si>
  <si>
    <t>ES-14020</t>
  </si>
  <si>
    <t>OFF-LA-10001569</t>
  </si>
  <si>
    <t>Avery 499</t>
  </si>
  <si>
    <t>CA-2021-151428</t>
  </si>
  <si>
    <t>RH-19495</t>
  </si>
  <si>
    <t>CA-2019-124653</t>
  </si>
  <si>
    <t>OFF-PA-10000176</t>
  </si>
  <si>
    <t>Xerox 1887</t>
  </si>
  <si>
    <t>OFF-LA-10002271</t>
  </si>
  <si>
    <t>Smead Alpha-Z Color-Coded Second Alphabetical Labels and Starter Set</t>
  </si>
  <si>
    <t>CA-2019-101910</t>
  </si>
  <si>
    <t>CD-11920</t>
  </si>
  <si>
    <t>CA-2021-105809</t>
  </si>
  <si>
    <t>HW-14935</t>
  </si>
  <si>
    <t>FUR-FU-10004090</t>
  </si>
  <si>
    <t>Executive Impressions 14" Contract Wall Clock</t>
  </si>
  <si>
    <t>CA-2020-136133</t>
  </si>
  <si>
    <t>OFF-AP-10000576</t>
  </si>
  <si>
    <t>Belkin 7 Outlet SurgeMaster II</t>
  </si>
  <si>
    <t>CA-2020-115504</t>
  </si>
  <si>
    <t>MC-18130</t>
  </si>
  <si>
    <t>OFF-PA-10003953</t>
  </si>
  <si>
    <t>Xerox 218</t>
  </si>
  <si>
    <t>CA-2021-135783</t>
  </si>
  <si>
    <t>GM-14440</t>
  </si>
  <si>
    <t>FUR-FU-10000794</t>
  </si>
  <si>
    <t>Eldon Stackable Tray, Side-Load, Legal, Smoke</t>
  </si>
  <si>
    <t>CA-2018-134313</t>
  </si>
  <si>
    <t>OFF-AR-10001897</t>
  </si>
  <si>
    <t>Model L Table or Wall-Mount Pencil Sharpener</t>
  </si>
  <si>
    <t>TEC-PH-10001795</t>
  </si>
  <si>
    <t>ClearOne CHATAttach 160 - speaker phone</t>
  </si>
  <si>
    <t>CA-2019-140921</t>
  </si>
  <si>
    <t>TEC-AC-10004901</t>
  </si>
  <si>
    <t>Kensington SlimBlade Notebook Wireless Mouse with Nano Receiver</t>
  </si>
  <si>
    <t>CA-2018-151995</t>
  </si>
  <si>
    <t>OFF-AR-10003190</t>
  </si>
  <si>
    <t>Newell 32</t>
  </si>
  <si>
    <t>OFF-AP-10000240</t>
  </si>
  <si>
    <t>Belkin F9G930V10-GRY 9 Outlet Surge</t>
  </si>
  <si>
    <t>CA-2021-143686</t>
  </si>
  <si>
    <t>PJ-19015</t>
  </si>
  <si>
    <t>TEC-AC-10001838</t>
  </si>
  <si>
    <t>Razer Tiamat Over Ear 7.1 Surround Sound PC Gaming Headset</t>
  </si>
  <si>
    <t>CA-2019-106565</t>
  </si>
  <si>
    <t>BW-11110</t>
  </si>
  <si>
    <t>CA-2020-149370</t>
  </si>
  <si>
    <t>OFF-PA-10003651</t>
  </si>
  <si>
    <t>Xerox 1968</t>
  </si>
  <si>
    <t>CA-2018-140858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</si>
  <si>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</si>
  <si>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</si>
  <si>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</si>
  <si>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</si>
  <si>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</si>
  <si>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</si>
  <si>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</si>
  <si>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</si>
  <si>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CA-2021-101434</t>
  </si>
  <si>
    <t>TR-21325</t>
  </si>
  <si>
    <t>TEC-AC-10002402</t>
  </si>
  <si>
    <t>Razer Kraken PRO Over Ear PC and Music Headset</t>
  </si>
  <si>
    <t>US-2018-102071</t>
  </si>
  <si>
    <t>PG-18820</t>
  </si>
  <si>
    <t>TEC-AC-10003441</t>
  </si>
  <si>
    <t>Kingston Digital DataTraveler 32GB USB 2.0</t>
  </si>
  <si>
    <t>CA-2021-126956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</si>
  <si>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</si>
  <si>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</si>
  <si>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</si>
  <si>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</si>
  <si>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</si>
  <si>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</si>
  <si>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CA-2021-129462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</si>
  <si>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</si>
  <si>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</si>
  <si>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</si>
  <si>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</si>
  <si>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</si>
  <si>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</si>
  <si>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</si>
  <si>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</si>
  <si>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CA-2020-165316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</si>
  <si>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</si>
  <si>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</si>
  <si>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</si>
  <si>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</si>
  <si>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</si>
  <si>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</si>
  <si>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US-2018-115987</t>
  </si>
  <si>
    <t>OFF-BI-10001071</t>
  </si>
  <si>
    <t>GBC ProClick Punch Binding System</t>
  </si>
  <si>
    <t>US-2021-156083</t>
  </si>
  <si>
    <t>JL-15175</t>
  </si>
  <si>
    <t>OFF-PA-10001560</t>
  </si>
  <si>
    <t>Adams Telephone Message Books, 5 1/4” x 11”</t>
  </si>
  <si>
    <t>US-2020-137547</t>
  </si>
  <si>
    <t>CA-2019-100454</t>
  </si>
  <si>
    <t>BM-11650</t>
  </si>
  <si>
    <t>OFF-AR-10002578</t>
  </si>
  <si>
    <t>Newell 335</t>
  </si>
  <si>
    <t>FUR-BO-10001519</t>
  </si>
  <si>
    <t>O'Sullivan 3-Shelf Heavy-Duty Bookcases</t>
  </si>
  <si>
    <t>CA-2020-161669</t>
  </si>
  <si>
    <t>EM-14095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</si>
  <si>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</si>
  <si>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</si>
  <si>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</si>
  <si>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</si>
  <si>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</si>
  <si>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</si>
  <si>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</si>
  <si>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</si>
  <si>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CA-2019-114300</t>
  </si>
  <si>
    <t>AF-10885</t>
  </si>
  <si>
    <t>CA-2021-107503</t>
  </si>
  <si>
    <t>GA-14725</t>
  </si>
  <si>
    <t>FUR-FU-10003878</t>
  </si>
  <si>
    <t>Linden 10" Round Wall Clock, Black</t>
  </si>
  <si>
    <t>CA-2018-107755</t>
  </si>
  <si>
    <t>CK-12760</t>
  </si>
  <si>
    <t>TEC-AC-10000710</t>
  </si>
  <si>
    <t>Maxell DVD-RAM Discs</t>
  </si>
  <si>
    <t>CA-2020-152534</t>
  </si>
  <si>
    <t>DP-13105</t>
  </si>
  <si>
    <t>OFF-AR-10002335</t>
  </si>
  <si>
    <t>DIXON Oriole Pencils</t>
  </si>
  <si>
    <t>OFF-PA-10001870</t>
  </si>
  <si>
    <t>Xerox 202</t>
  </si>
  <si>
    <t>CA-2020-113747</t>
  </si>
  <si>
    <t>CA-2020-123274</t>
  </si>
  <si>
    <t>CA-2018-125612</t>
  </si>
  <si>
    <t>BK-11260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</si>
  <si>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</si>
  <si>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</si>
  <si>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</si>
  <si>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</si>
  <si>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</si>
  <si>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</si>
  <si>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CA-2021-161984</t>
  </si>
  <si>
    <t>SJ-20125</t>
  </si>
  <si>
    <t>CA-2018-133851</t>
  </si>
  <si>
    <t>CM-12445</t>
  </si>
  <si>
    <t>OFF-AR-10003752</t>
  </si>
  <si>
    <t>Deluxe Chalkboard Eraser Cleaner</t>
  </si>
  <si>
    <t>CA-2020-134474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</si>
  <si>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</si>
  <si>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</si>
  <si>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</si>
  <si>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</si>
  <si>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</si>
  <si>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</si>
  <si>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CA-2018-149020</t>
  </si>
  <si>
    <t>AJ-10780</t>
  </si>
  <si>
    <t>OFF-LA-10004272</t>
  </si>
  <si>
    <t>Avery 482</t>
  </si>
  <si>
    <t>FUR-FU-10000965</t>
  </si>
  <si>
    <t>Howard Miller 11-1/2" Diameter Ridgewood Wall Clock</t>
  </si>
  <si>
    <t>CA-2020-134362</t>
  </si>
  <si>
    <t>LS-16945</t>
  </si>
  <si>
    <t>OFF-LA-10004853</t>
  </si>
  <si>
    <t>Avery 483</t>
  </si>
  <si>
    <t>CA-2018-136742</t>
  </si>
  <si>
    <t>GP-14740</t>
  </si>
  <si>
    <t>OFF-BI-10003719</t>
  </si>
  <si>
    <t>Large Capacity Hanging Post Binders</t>
  </si>
  <si>
    <t>CA-2020-158099</t>
  </si>
  <si>
    <t>PK-18910</t>
  </si>
  <si>
    <t>OFF-BI-10000545</t>
  </si>
  <si>
    <t>GBC Ibimaster 500 Manual ProClick Binding System</t>
  </si>
  <si>
    <t>CA-2019-131128</t>
  </si>
  <si>
    <t>OFF-PA-10003591</t>
  </si>
  <si>
    <t>Southworth 100% Cotton The Best Paper</t>
  </si>
  <si>
    <t>CA-2018-148488</t>
  </si>
  <si>
    <t>SM-20005</t>
  </si>
  <si>
    <t>CA-2021-114636</t>
  </si>
  <si>
    <t>OFF-PA-10001790</t>
  </si>
  <si>
    <t>Xerox 1910</t>
  </si>
  <si>
    <t>CA-2020-116736</t>
  </si>
  <si>
    <t>TEC-AC-10002049</t>
  </si>
  <si>
    <t>Logitech G19 Programmable Gaming Keyboard</t>
  </si>
  <si>
    <t>US-2018-158638</t>
  </si>
  <si>
    <t>AG-10765</t>
  </si>
  <si>
    <t>OFF-BI-10003712</t>
  </si>
  <si>
    <t>Acco Pressboard Covers with Storage Hooks, 14 7/8" x 11", Light Blue</t>
  </si>
  <si>
    <t>CA-2021-111689</t>
  </si>
  <si>
    <t>OFF-BI-10003984</t>
  </si>
  <si>
    <t>Lock-Up Easel 'Spel-Binder'</t>
  </si>
  <si>
    <t>CA-2019-129098</t>
  </si>
  <si>
    <t>US-2021-123463</t>
  </si>
  <si>
    <t>CA-2020-165148</t>
  </si>
  <si>
    <t>PM-19135</t>
  </si>
  <si>
    <t>CA-2018-134061</t>
  </si>
  <si>
    <t>LL-16840</t>
  </si>
  <si>
    <t>FUR-FU-10001424</t>
  </si>
  <si>
    <t>Dax Clear Box Frame</t>
  </si>
  <si>
    <t>CA-2019-143602</t>
  </si>
  <si>
    <t>JS-15595</t>
  </si>
  <si>
    <t>OFF-BI-10002071</t>
  </si>
  <si>
    <t>Fellowes Black Plastic Comb Bindings</t>
  </si>
  <si>
    <t>CA-2021-115364</t>
  </si>
  <si>
    <t>OFF-ST-10002486</t>
  </si>
  <si>
    <t>Eldon Shelf Savers Cubes and Bins</t>
  </si>
  <si>
    <t>CA-2021-150707</t>
  </si>
  <si>
    <t>EL-13735</t>
  </si>
  <si>
    <t>CA-2018-104976</t>
  </si>
  <si>
    <t>CA-2021-132934</t>
  </si>
  <si>
    <t>TEC-AC-10000927</t>
  </si>
  <si>
    <t>Anker Ultrathin Bluetooth Wireless Keyboard Aluminum Cover with Stand</t>
  </si>
  <si>
    <t>CA-2021-133256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</si>
  <si>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</si>
  <si>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</si>
  <si>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</si>
  <si>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</si>
  <si>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</si>
  <si>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</si>
  <si>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CA-2020-105494</t>
  </si>
  <si>
    <t>PC-18745</t>
  </si>
  <si>
    <t>OFF-BI-10003364</t>
  </si>
  <si>
    <t>Binding Machine Supplies</t>
  </si>
  <si>
    <t>CA-2020-140634</t>
  </si>
  <si>
    <t>HL-15040</t>
  </si>
  <si>
    <t>OFF-EN-10001099</t>
  </si>
  <si>
    <t>CA-2018-144407</t>
  </si>
  <si>
    <t>MS-17365</t>
  </si>
  <si>
    <t>CA-2021-160983</t>
  </si>
  <si>
    <t>GB-14530</t>
  </si>
  <si>
    <t>OFF-PA-10002250</t>
  </si>
  <si>
    <t>Things To Do Today Pad</t>
  </si>
  <si>
    <t>US-2020-114622</t>
  </si>
  <si>
    <t>JR-16210</t>
  </si>
  <si>
    <t>OFF-BI-10004716</t>
  </si>
  <si>
    <t>Wilson Jones Hanging Recycled Pressboard Data Binders</t>
  </si>
  <si>
    <t>CA-2021-150959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</si>
  <si>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</si>
  <si>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</si>
  <si>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</si>
  <si>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</si>
  <si>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CA-2021-132353</t>
  </si>
  <si>
    <t>CA-2020-130477</t>
  </si>
  <si>
    <t>OFF-PA-10002947</t>
  </si>
  <si>
    <t>Xerox 1923</t>
  </si>
  <si>
    <t>OFF-PA-10000019</t>
  </si>
  <si>
    <t>Xerox 1931</t>
  </si>
  <si>
    <t>CA-2021-143259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</si>
  <si>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</si>
  <si>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</si>
  <si>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</si>
  <si>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</si>
  <si>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</si>
  <si>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</si>
  <si>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CA-2021-137596</t>
  </si>
  <si>
    <t>BE-11335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</si>
  <si>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</si>
  <si>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</si>
  <si>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</si>
  <si>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</si>
  <si>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</si>
  <si>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</si>
  <si>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CA-2019-133627</t>
  </si>
  <si>
    <t>SC-20050</t>
  </si>
  <si>
    <t>CA-2021-102519</t>
  </si>
  <si>
    <t>US-2018-141215</t>
  </si>
  <si>
    <t>FUR-TA-10001520</t>
  </si>
  <si>
    <t>Lesro Sheffield Collection Coffee Table, End Table, Center Table, Corner Table</t>
  </si>
  <si>
    <t>CA-2020-165218</t>
  </si>
  <si>
    <t>RW-19630</t>
  </si>
  <si>
    <t>OFF-ST-10001558</t>
  </si>
  <si>
    <t>Acco Perma 4000 Stacking Storage Drawers</t>
  </si>
  <si>
    <t>CA-2018-138296</t>
  </si>
  <si>
    <t>CA-2019-111164</t>
  </si>
  <si>
    <t>SE-20110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</si>
  <si>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</si>
  <si>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</si>
  <si>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</si>
  <si>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</si>
  <si>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</si>
  <si>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</si>
  <si>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CA-2020-149797</t>
  </si>
  <si>
    <t>AH-10075</t>
  </si>
  <si>
    <t>CA-2018-132962</t>
  </si>
  <si>
    <t>JM-15535</t>
  </si>
  <si>
    <t>OFF-PA-10003543</t>
  </si>
  <si>
    <t>Xerox 1985</t>
  </si>
  <si>
    <t>TEC-AC-10004353</t>
  </si>
  <si>
    <t>Hypercom P1300 Pinpad</t>
  </si>
  <si>
    <t>CA-2019-115091</t>
  </si>
  <si>
    <t>JJ-15760</t>
  </si>
  <si>
    <t>CA-2021-144932</t>
  </si>
  <si>
    <t>OFF-AR-10001468</t>
  </si>
  <si>
    <t>Sanford Prismacolor Professional Thick Lead Art Pencils, 36-Color Set</t>
  </si>
  <si>
    <t>CA-2021-114216</t>
  </si>
  <si>
    <t>RK-19300</t>
  </si>
  <si>
    <t>OFF-PA-10002195</t>
  </si>
  <si>
    <t>RSVP Cards &amp; Envelopes, Blank White, 8-1/2" X 11", 24 Cards/25 Envelopes/Set</t>
  </si>
  <si>
    <t>CA-2020-140081</t>
  </si>
  <si>
    <t>CG-12040</t>
  </si>
  <si>
    <t>OFF-PA-10001745</t>
  </si>
  <si>
    <t>Wirebound Message Books, 2 7/8" x 5", 3 Forms per Page</t>
  </si>
  <si>
    <t>OFF-BI-10004826</t>
  </si>
  <si>
    <t>JM Magazine Binder</t>
  </si>
  <si>
    <t>US-2021-111745</t>
  </si>
  <si>
    <t>CA-2019-148250</t>
  </si>
  <si>
    <t>RP-19270</t>
  </si>
  <si>
    <t>OFF-PA-10000289</t>
  </si>
  <si>
    <t>Xerox 213</t>
  </si>
  <si>
    <t>OFF-AP-10003040</t>
  </si>
  <si>
    <t>Fellowes 8 Outlet Superior Workstation Surge Protector w/o Phone/Fax/Modem Protection</t>
  </si>
  <si>
    <t>CA-2020-105760</t>
  </si>
  <si>
    <t>KC-16255</t>
  </si>
  <si>
    <t>OFF-PA-10000350</t>
  </si>
  <si>
    <t>Message Book, Standard Line "While You Were Out", 5 1/2" X 4", 200 Sets/Book</t>
  </si>
  <si>
    <t>CA-2020-142958</t>
  </si>
  <si>
    <t>OFF-BI-10001759</t>
  </si>
  <si>
    <t>Acco Pressboard Covers with Storage Hooks, 14 7/8" x 11", Dark Blue</t>
  </si>
  <si>
    <t>CA-2019-120880</t>
  </si>
  <si>
    <t>OFF-ST-10001496</t>
  </si>
  <si>
    <t>Standard Rollaway File with Lock</t>
  </si>
  <si>
    <t>OFF-BI-10002931</t>
  </si>
  <si>
    <t>Avery Trapezoid Extra Heavy Duty 4" Binders</t>
  </si>
  <si>
    <t>US-2019-140200</t>
  </si>
  <si>
    <t>FUR-TA-10002356</t>
  </si>
  <si>
    <t>Bevis Boat-Shaped Conference Table</t>
  </si>
  <si>
    <t>US-2021-110576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</si>
  <si>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</si>
  <si>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</si>
  <si>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</si>
  <si>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</si>
  <si>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</si>
  <si>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</si>
  <si>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CA-2021-131156</t>
  </si>
  <si>
    <t>KH-16360</t>
  </si>
  <si>
    <t>FUR-FU-10001940</t>
  </si>
  <si>
    <t>CA-2021-136539</t>
  </si>
  <si>
    <t>GH-14665</t>
  </si>
  <si>
    <t>CA-2021-119305</t>
  </si>
  <si>
    <t>SW-20275</t>
  </si>
  <si>
    <t>CA-2021-102414</t>
  </si>
  <si>
    <t>JA-15970</t>
  </si>
  <si>
    <t>OFF-BI-10004465</t>
  </si>
  <si>
    <t>Avery Durable Slant Ring Binders</t>
  </si>
  <si>
    <t>OFF-PA-10002333</t>
  </si>
  <si>
    <t>Universal Ultra Bright White Copier/Laser Paper, 8 1/2" x 11", Ream</t>
  </si>
  <si>
    <t>CA-2019-112571</t>
  </si>
  <si>
    <t>DL-12925</t>
  </si>
  <si>
    <t>FUR-FU-10004188</t>
  </si>
  <si>
    <t>Luxo Professional Combination Clamp-On Lamps</t>
  </si>
  <si>
    <t>CA-2021-152142</t>
  </si>
  <si>
    <t>LW-16990</t>
  </si>
  <si>
    <t>CA-2019-160059</t>
  </si>
  <si>
    <t>TB-21190</t>
  </si>
  <si>
    <t>OFF-BI-10000145</t>
  </si>
  <si>
    <t>Zipper Ring Binder Pockets</t>
  </si>
  <si>
    <t>CA-2020-120859</t>
  </si>
  <si>
    <t>CA-2018-127488</t>
  </si>
  <si>
    <t>OFF-LA-10001613</t>
  </si>
  <si>
    <t>Avery File Folder Labels</t>
  </si>
  <si>
    <t>CA-2021-135279</t>
  </si>
  <si>
    <t>BS-11800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</si>
  <si>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</si>
  <si>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</si>
  <si>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</si>
  <si>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</si>
  <si>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</si>
  <si>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</si>
  <si>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</si>
  <si>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</si>
  <si>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CA-2018-115791</t>
  </si>
  <si>
    <t>FUR-FU-10001095</t>
  </si>
  <si>
    <t>DAX Black Cherry Wood-Tone Poster Frame</t>
  </si>
  <si>
    <t>US-2021-103247</t>
  </si>
  <si>
    <t>US-2021-100209</t>
  </si>
  <si>
    <t>OFF-BI-10002012</t>
  </si>
  <si>
    <t>Wilson Jones Easy Flow II Sheet Lifters</t>
  </si>
  <si>
    <t>CA-2021-159366</t>
  </si>
  <si>
    <t>CA-2020-145499</t>
  </si>
  <si>
    <t>RW-19690</t>
  </si>
  <si>
    <t>CA-2019-157035</t>
  </si>
  <si>
    <t>OFF-PA-10004156</t>
  </si>
  <si>
    <t>Xerox 188</t>
  </si>
  <si>
    <t>CA-2020-144939</t>
  </si>
  <si>
    <t>CA-2018-163419</t>
  </si>
  <si>
    <t>TZ-21580</t>
  </si>
  <si>
    <t>OFF-AR-10000034</t>
  </si>
  <si>
    <t>BIC Brite Liner Grip Highlighters, Assorted, 5/Pack</t>
  </si>
  <si>
    <t>TEC-PH-10000560</t>
  </si>
  <si>
    <t>Samsung Galaxy S III - 16GB - pebble blue (T-Mobile)</t>
  </si>
  <si>
    <t>CA-2021-100314</t>
  </si>
  <si>
    <t>AS-10630</t>
  </si>
  <si>
    <t>OFF-EN-10000461</t>
  </si>
  <si>
    <t>#10- 4 1/8" x 9 1/2" Recycled Envelopes</t>
  </si>
  <si>
    <t>TEC-MA-10003066</t>
  </si>
  <si>
    <t>Wasp CCD Handheld Bar Code Reader</t>
  </si>
  <si>
    <t>CA-2019-146829</t>
  </si>
  <si>
    <t>TS-21340</t>
  </si>
  <si>
    <t>OFF-BI-10004022</t>
  </si>
  <si>
    <t>Acco Suede Grain Vinyl Round Ring Binder</t>
  </si>
  <si>
    <t>CA-2021-167899</t>
  </si>
  <si>
    <t>OFF-AR-10001988</t>
  </si>
  <si>
    <t>Bulldog Table or Wall-Mount Pencil Sharpener</t>
  </si>
  <si>
    <t>CA-2019-153549</t>
  </si>
  <si>
    <t>SL-20155</t>
  </si>
  <si>
    <t>CA-2020-110023</t>
  </si>
  <si>
    <t>CA-2020-105585</t>
  </si>
  <si>
    <t>OFF-PA-10003625</t>
  </si>
  <si>
    <t>Xerox 1979</t>
  </si>
  <si>
    <t>CA-2018-117639</t>
  </si>
  <si>
    <t>MW-18235</t>
  </si>
  <si>
    <t>OFF-BI-10003925</t>
  </si>
  <si>
    <t>Fellowes PB300 Plastic Comb Binding Machine</t>
  </si>
  <si>
    <t>Plantronics Voyager Pro Legend</t>
  </si>
  <si>
    <t>CA-2019-162537</t>
  </si>
  <si>
    <t>RD-19585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</si>
  <si>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</si>
  <si>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</si>
  <si>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</si>
  <si>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</si>
  <si>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</si>
  <si>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</si>
  <si>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Day</t>
  </si>
  <si>
    <t>Month</t>
  </si>
  <si>
    <t>Year</t>
  </si>
  <si>
    <t>United States-Kentucky-Henderson</t>
  </si>
  <si>
    <t>United States-California-Los Angeles</t>
  </si>
  <si>
    <t>United States-Florida-Fort Lauderdale</t>
  </si>
  <si>
    <t>United States-North Carolina-Concord</t>
  </si>
  <si>
    <t>United States-Washington-Seattle</t>
  </si>
  <si>
    <t>United States-Texas-Fort Worth</t>
  </si>
  <si>
    <t>United States-Wisconsin-Madison</t>
  </si>
  <si>
    <t>United States-Utah-West Jordan</t>
  </si>
  <si>
    <t>United States-California-San Francisco</t>
  </si>
  <si>
    <t>United States-Nebraska-Fremont</t>
  </si>
  <si>
    <t>United States-Pennsylvania-Philadelphia</t>
  </si>
  <si>
    <t>United States-Utah-Orem</t>
  </si>
  <si>
    <t>United States-Texas-Houston</t>
  </si>
  <si>
    <t>United States-Texas-Richardson</t>
  </si>
  <si>
    <t>United States-Illinois-Naperville</t>
  </si>
  <si>
    <t>United States-Florida-Melbourne</t>
  </si>
  <si>
    <t>United States-Minnesota-Eagan</t>
  </si>
  <si>
    <t>United States-Michigan-Westland</t>
  </si>
  <si>
    <t>United States-Delaware-Dover</t>
  </si>
  <si>
    <t>United States-Indiana-New Albany</t>
  </si>
  <si>
    <t>United States-New York-New York City</t>
  </si>
  <si>
    <t>United States-New York-Troy</t>
  </si>
  <si>
    <t>United States-Illinois-Chicago</t>
  </si>
  <si>
    <t>United States-Arizona-Gilbert</t>
  </si>
  <si>
    <t>United States-Virginia-Springfield</t>
  </si>
  <si>
    <t>United States-Michigan-Jackson</t>
  </si>
  <si>
    <t>United States-Tennessee-Memphis</t>
  </si>
  <si>
    <t>United States-Alabama-Decatur</t>
  </si>
  <si>
    <t>United States-North Carolina-Durham</t>
  </si>
  <si>
    <t>United States-South Carolina-Columbia</t>
  </si>
  <si>
    <t>United States-Minnesota-Rochester</t>
  </si>
  <si>
    <t>United States-Minnesota-Minneapolis</t>
  </si>
  <si>
    <t>United States-Oregon-Portland</t>
  </si>
  <si>
    <t>United States-Minnesota-Saint Paul</t>
  </si>
  <si>
    <t>United States-Colorado-Aurora</t>
  </si>
  <si>
    <t>United States-North Carolina-Charlotte</t>
  </si>
  <si>
    <t>United States-Illinois-Orland Park</t>
  </si>
  <si>
    <t>United States-Iowa-Urbandale</t>
  </si>
  <si>
    <t>United States-Ohio-Columbus</t>
  </si>
  <si>
    <t>United States-Tennessee-Bristol</t>
  </si>
  <si>
    <t>United States-Delaware-Wilmington</t>
  </si>
  <si>
    <t>United States-Illinois-Bloomington</t>
  </si>
  <si>
    <t>United States-Arizona-Phoenix</t>
  </si>
  <si>
    <t>United States-California-Roseville</t>
  </si>
  <si>
    <t>United States-Missouri-Independence</t>
  </si>
  <si>
    <t>United States-California-Pasadena</t>
  </si>
  <si>
    <t>United States-Ohio-Newark</t>
  </si>
  <si>
    <t>United States-Wisconsin-Franklin</t>
  </si>
  <si>
    <t>United States-Arizona-Scottsdale</t>
  </si>
  <si>
    <t>United States-California-San Jose</t>
  </si>
  <si>
    <t>United States-Oklahoma-Edmond</t>
  </si>
  <si>
    <t>United States-New Mexico-Carlsbad</t>
  </si>
  <si>
    <t>United States-Texas-San Antonio</t>
  </si>
  <si>
    <t>United States-Illinois-Decatur</t>
  </si>
  <si>
    <t>United States-Louisiana-Monroe</t>
  </si>
  <si>
    <t>United States-Connecticut-Fairfield</t>
  </si>
  <si>
    <t>United States-Texas-Grand Prairie</t>
  </si>
  <si>
    <t>United States-California-Redlands</t>
  </si>
  <si>
    <t>United States-Ohio-Hamilton</t>
  </si>
  <si>
    <t>United States-New Jersey-Westfield</t>
  </si>
  <si>
    <t>United States-Ohio-Akron</t>
  </si>
  <si>
    <t>United States-Colorado-Denver</t>
  </si>
  <si>
    <t>United States-Texas-Dallas</t>
  </si>
  <si>
    <t>United States-Tennessee-Franklin</t>
  </si>
  <si>
    <t>United States-California-Whittier</t>
  </si>
  <si>
    <t>United States-Michigan-Saginaw</t>
  </si>
  <si>
    <t>United States-Ohio-Medina</t>
  </si>
  <si>
    <t>United States-Ohio-Dublin</t>
  </si>
  <si>
    <t>United States-Michigan-Detroit</t>
  </si>
  <si>
    <t>United States-Tennessee-Columbia</t>
  </si>
  <si>
    <t>United States-Florida-Tampa</t>
  </si>
  <si>
    <t>United States-California-Santa Clara</t>
  </si>
  <si>
    <t>United States-Minnesota-Lakeville</t>
  </si>
  <si>
    <t>United States-California-San Diego</t>
  </si>
  <si>
    <t>United States-Texas-Pasadena</t>
  </si>
  <si>
    <t>United States-California-Brentwood</t>
  </si>
  <si>
    <t>United States-North Carolina-Chapel Hill</t>
  </si>
  <si>
    <t>United States-New Jersey-Morristown</t>
  </si>
  <si>
    <t>United States-Ohio-Cincinnati</t>
  </si>
  <si>
    <t>United States-California-Inglewood</t>
  </si>
  <si>
    <t>United States-Florida-Tamarac</t>
  </si>
  <si>
    <t>United States-Colorado-Colorado Springs</t>
  </si>
  <si>
    <t>United States-New Jersey-Belleville</t>
  </si>
  <si>
    <t>United States-Michigan-Taylor</t>
  </si>
  <si>
    <t>United States-New Jersey-Lakewood</t>
  </si>
  <si>
    <t>United States-Virginia-Arlington</t>
  </si>
  <si>
    <t>United States-Colorado-Arvada</t>
  </si>
  <si>
    <t>United States-New Jersey-Hackensack</t>
  </si>
  <si>
    <t>United States-Florida-Saint Petersburg</t>
  </si>
  <si>
    <t>United States-California-Long Beach</t>
  </si>
  <si>
    <t>United States-California-Hesperia</t>
  </si>
  <si>
    <t>United States-Tennessee-Murfreesboro</t>
  </si>
  <si>
    <t>United States-Utah-Layton</t>
  </si>
  <si>
    <t>United States-Texas-Austin</t>
  </si>
  <si>
    <t>United States-Massachusetts-Lowell</t>
  </si>
  <si>
    <t>United States-Georgia-Columbus</t>
  </si>
  <si>
    <t>United States-Connecticut-Manchester</t>
  </si>
  <si>
    <t>United States-Texas-Harlingen</t>
  </si>
  <si>
    <t>United States-Arizona-Tucson</t>
  </si>
  <si>
    <t>United States-Illinois-Quincy</t>
  </si>
  <si>
    <t>United States-Massachusetts-Franklin</t>
  </si>
  <si>
    <t>United States-Florida-Pembroke Pines</t>
  </si>
  <si>
    <t>United States-Washington-Des Moines</t>
  </si>
  <si>
    <t>United States-Illinois-Peoria</t>
  </si>
  <si>
    <t>United States-Nevada-Las Vegas</t>
  </si>
  <si>
    <t>United States-Rhode Island-Warwick</t>
  </si>
  <si>
    <t>United States-Florida-Miami</t>
  </si>
  <si>
    <t>United States-North Carolina-Wilmington</t>
  </si>
  <si>
    <t>United States-California-Huntington Beach</t>
  </si>
  <si>
    <t>United States-Kentucky-Richmond</t>
  </si>
  <si>
    <t>United States-Colorado-Louisville</t>
  </si>
  <si>
    <t>United States-Massachusetts-Lawrence</t>
  </si>
  <si>
    <t>United States-Mississippi-Jackson</t>
  </si>
  <si>
    <t>United States-Michigan-Canton</t>
  </si>
  <si>
    <t>United States-New York-New Rochelle</t>
  </si>
  <si>
    <t>United States-North Carolina-Gastonia</t>
  </si>
  <si>
    <t>United States-Florida-Jacksonville</t>
  </si>
  <si>
    <t>United States-Indiana-Columbus</t>
  </si>
  <si>
    <t>United States-New York-Auburn</t>
  </si>
  <si>
    <t>United States-Oklahoma-Norman</t>
  </si>
  <si>
    <t>United States-California-Concord</t>
  </si>
  <si>
    <t>United States-Illinois-Park Ridge</t>
  </si>
  <si>
    <t>United States-Texas-Amarillo</t>
  </si>
  <si>
    <t>United States-New York-Lindenhurst</t>
  </si>
  <si>
    <t>United States-Texas-Huntsville</t>
  </si>
  <si>
    <t>United States-New York-Rochester</t>
  </si>
  <si>
    <t>United States-Arkansas-Fayetteville</t>
  </si>
  <si>
    <t>United States-California-Costa Mesa</t>
  </si>
  <si>
    <t>United States-Colorado-Parker</t>
  </si>
  <si>
    <t>United States-Georgia-Atlanta</t>
  </si>
  <si>
    <t>United States-Missouri-Gladstone</t>
  </si>
  <si>
    <t>United States-Montana-Great Falls</t>
  </si>
  <si>
    <t>United States-Florida-Lakeland</t>
  </si>
  <si>
    <t>United States-Alabama-Montgomery</t>
  </si>
  <si>
    <t>United States-Arizona-Mesa</t>
  </si>
  <si>
    <t>United States-Wisconsin-Green Bay</t>
  </si>
  <si>
    <t>United States-Ohio-Springfield</t>
  </si>
  <si>
    <t>United States-California-Anaheim</t>
  </si>
  <si>
    <t>United States-Washington-Marysville</t>
  </si>
  <si>
    <t>United States-Oregon-Salem</t>
  </si>
  <si>
    <t>United States-Texas-Laredo</t>
  </si>
  <si>
    <t>United States-Ohio-Grove City</t>
  </si>
  <si>
    <t>United States-Michigan-Dearborn</t>
  </si>
  <si>
    <t>United States-Georgia-Warner Robins</t>
  </si>
  <si>
    <t>United States-California-Vallejo</t>
  </si>
  <si>
    <t>United States-California-Mission Viejo</t>
  </si>
  <si>
    <t>United States-Michigan-Rochester Hills</t>
  </si>
  <si>
    <t>United States-New Jersey-Plainfield</t>
  </si>
  <si>
    <t>United States-Arizona-Sierra Vista</t>
  </si>
  <si>
    <t>United States-Washington-Vancouver</t>
  </si>
  <si>
    <t>United States-Illinois-Aurora</t>
  </si>
  <si>
    <t>United States-Texas-Arlington</t>
  </si>
  <si>
    <t>United States-Kentucky-Louisville</t>
  </si>
  <si>
    <t>United States-Ohio-Cleveland</t>
  </si>
  <si>
    <t>United States-Texas-Tyler</t>
  </si>
  <si>
    <t>United States-North Carolina-Burlington</t>
  </si>
  <si>
    <t>United States-Virginia-Waynesboro</t>
  </si>
  <si>
    <t>United States-Pennsylvania-Chester</t>
  </si>
  <si>
    <t>United States-North Carolina-Cary</t>
  </si>
  <si>
    <t>United States-Florida-Palm Coast</t>
  </si>
  <si>
    <t>United States-New York-Mount Vernon</t>
  </si>
  <si>
    <t>United States-Florida-Hialeah</t>
  </si>
  <si>
    <t>United States-New York-Oceanside</t>
  </si>
  <si>
    <t>United States-Illinois-Evanston</t>
  </si>
  <si>
    <t>United States-Michigan-Trenton</t>
  </si>
  <si>
    <t>United States-Minnesota-Cottage Grove</t>
  </si>
  <si>
    <t>United States-Louisiana-Bossier City</t>
  </si>
  <si>
    <t>United States-Iowa-Des Moines</t>
  </si>
  <si>
    <t>United States-California-Lancaster</t>
  </si>
  <si>
    <t>United States-Virginia-Richmond</t>
  </si>
  <si>
    <t>United States-North Carolina-Asheville</t>
  </si>
  <si>
    <t>United States-California-Lake Elsinore</t>
  </si>
  <si>
    <t>United States-Nebraska-Omaha</t>
  </si>
  <si>
    <t>United States-Washington-Edmonds</t>
  </si>
  <si>
    <t>United States-California-Santa Ana</t>
  </si>
  <si>
    <t>United States-Wisconsin-Milwaukee</t>
  </si>
  <si>
    <t>United States-Kentucky-Florence</t>
  </si>
  <si>
    <t>United States-Ohio-Lorain</t>
  </si>
  <si>
    <t>United States-New Jersey-Linden</t>
  </si>
  <si>
    <t>United States-California-Salinas</t>
  </si>
  <si>
    <t>United States-New Jersey-New Brunswick</t>
  </si>
  <si>
    <t>United States-Pennsylvania-Lancaster</t>
  </si>
  <si>
    <t>United States-New Hampshire-Concord</t>
  </si>
  <si>
    <t>United States-Maryland-Columbia</t>
  </si>
  <si>
    <t>United States-Texas-Garland</t>
  </si>
  <si>
    <t>United States-Connecticut-Norwich</t>
  </si>
  <si>
    <t>United States-Virginia-Alexandria</t>
  </si>
  <si>
    <t>United States-Ohio-Toledo</t>
  </si>
  <si>
    <t>United States-New Mexico-Farmington</t>
  </si>
  <si>
    <t>United States-California-Riverside</t>
  </si>
  <si>
    <t>United States-California-Torrance</t>
  </si>
  <si>
    <t>United States-Texas-Round Rock</t>
  </si>
  <si>
    <t>United States-California-Oceanside</t>
  </si>
  <si>
    <t>United States-Florida-Boca Raton</t>
  </si>
  <si>
    <t>United States-Virginia-Virginia Beach</t>
  </si>
  <si>
    <t>claire gute</t>
  </si>
  <si>
    <t>darrin van huff</t>
  </si>
  <si>
    <t>sean o'donnell</t>
  </si>
  <si>
    <t>brosina hoffman</t>
  </si>
  <si>
    <t>andrew allen</t>
  </si>
  <si>
    <t>irene maddox</t>
  </si>
  <si>
    <t>harold pawlan</t>
  </si>
  <si>
    <t>pete kriz</t>
  </si>
  <si>
    <t>alejandro grove</t>
  </si>
  <si>
    <t>zuschuss donatelli</t>
  </si>
  <si>
    <t>ken black</t>
  </si>
  <si>
    <t>sandra flanagan</t>
  </si>
  <si>
    <t>emily burns</t>
  </si>
  <si>
    <t>eric hoffmann</t>
  </si>
  <si>
    <t>tracy blumstein</t>
  </si>
  <si>
    <t>matt abelman</t>
  </si>
  <si>
    <t>gene hale</t>
  </si>
  <si>
    <t>steve nguyen</t>
  </si>
  <si>
    <t>linda cazamias</t>
  </si>
  <si>
    <t>ruben ausman</t>
  </si>
  <si>
    <t>erin smith</t>
  </si>
  <si>
    <t>odella nelson</t>
  </si>
  <si>
    <t>patrick o'donnell</t>
  </si>
  <si>
    <t>lena hernandez</t>
  </si>
  <si>
    <t>darren powers</t>
  </si>
  <si>
    <t>janet molinari</t>
  </si>
  <si>
    <t>ted butterfield</t>
  </si>
  <si>
    <t>kunst miller</t>
  </si>
  <si>
    <t>paul stevenson</t>
  </si>
  <si>
    <t>brendan sweed</t>
  </si>
  <si>
    <t>karen daniels</t>
  </si>
  <si>
    <t>henry macallister</t>
  </si>
  <si>
    <t>joel eaton</t>
  </si>
  <si>
    <t>ken brennan</t>
  </si>
  <si>
    <t>stewart carmichael</t>
  </si>
  <si>
    <t>duane noonan</t>
  </si>
  <si>
    <t>julie creighton</t>
  </si>
  <si>
    <t>christopher schild</t>
  </si>
  <si>
    <t>paul gonzalez</t>
  </si>
  <si>
    <t>gary mitchum</t>
  </si>
  <si>
    <t>jim sink</t>
  </si>
  <si>
    <t>karl braun</t>
  </si>
  <si>
    <t>roger barcio</t>
  </si>
  <si>
    <t>parhena norris</t>
  </si>
  <si>
    <t>katherine ducich</t>
  </si>
  <si>
    <t>elpida rittenbach</t>
  </si>
  <si>
    <t>rick bensley</t>
  </si>
  <si>
    <t>null</t>
  </si>
  <si>
    <t>gary zandusky</t>
  </si>
  <si>
    <t>lena cacioppo</t>
  </si>
  <si>
    <t>janet martin</t>
  </si>
  <si>
    <t>pete armstrong</t>
  </si>
  <si>
    <t>cynthia voltz</t>
  </si>
  <si>
    <t>clay ludtke</t>
  </si>
  <si>
    <t>ryan crowe</t>
  </si>
  <si>
    <t>dave kipp</t>
  </si>
  <si>
    <t>greg guthrie</t>
  </si>
  <si>
    <t>steven cartwright</t>
  </si>
  <si>
    <t>alan dominguez</t>
  </si>
  <si>
    <t>philip fox</t>
  </si>
  <si>
    <t>troy staebel</t>
  </si>
  <si>
    <t>lindsay shagiari</t>
  </si>
  <si>
    <t>dorothy wardle</t>
  </si>
  <si>
    <t>lena creighton</t>
  </si>
  <si>
    <t>jonathan doherty</t>
  </si>
  <si>
    <t>sally hughsby</t>
  </si>
  <si>
    <t>sandra glassco</t>
  </si>
  <si>
    <t>helen andreada</t>
  </si>
  <si>
    <t>maureen gastineau</t>
  </si>
  <si>
    <t>justin ellison</t>
  </si>
  <si>
    <t>tamara willingham</t>
  </si>
  <si>
    <t>stephanie phelps</t>
  </si>
  <si>
    <t>neil knudson</t>
  </si>
  <si>
    <t>dave brooks</t>
  </si>
  <si>
    <t>nora paige</t>
  </si>
  <si>
    <t>ted trevino</t>
  </si>
  <si>
    <t>eric murdock</t>
  </si>
  <si>
    <t>ruben dartt</t>
  </si>
  <si>
    <t>max jones</t>
  </si>
  <si>
    <t>becky martin</t>
  </si>
  <si>
    <t>chad sievert</t>
  </si>
  <si>
    <t>jennifer braxton</t>
  </si>
  <si>
    <t>shirley jackson</t>
  </si>
  <si>
    <t>jim kriz</t>
  </si>
  <si>
    <t>david kendrick</t>
  </si>
  <si>
    <t>robert marley</t>
  </si>
  <si>
    <t>sally knutson</t>
  </si>
  <si>
    <t>frank merwin</t>
  </si>
  <si>
    <t>alice mccarthy</t>
  </si>
  <si>
    <t>mark packer</t>
  </si>
  <si>
    <t>mary zewe</t>
  </si>
  <si>
    <t>cassandra brandow</t>
  </si>
  <si>
    <t>valerie mitchum</t>
  </si>
  <si>
    <t>fred hopkins</t>
  </si>
  <si>
    <t>maria bertelson</t>
  </si>
  <si>
    <t>bruce stewart</t>
  </si>
  <si>
    <t>logan currie</t>
  </si>
  <si>
    <t>heather kirkland</t>
  </si>
  <si>
    <t>laurel elliston</t>
  </si>
  <si>
    <t>joseph holt</t>
  </si>
  <si>
    <t>michael stewart</t>
  </si>
  <si>
    <t>victoria wilson</t>
  </si>
  <si>
    <t>jonathan howell</t>
  </si>
  <si>
    <t>joni blumstein</t>
  </si>
  <si>
    <t>david smith</t>
  </si>
  <si>
    <t>valerie dominguez</t>
  </si>
  <si>
    <t>erin ashbrook</t>
  </si>
  <si>
    <t>david bremer</t>
  </si>
  <si>
    <t>ken lonsdale</t>
  </si>
  <si>
    <t>dianna wilson</t>
  </si>
  <si>
    <t>logan haushalter</t>
  </si>
  <si>
    <t>kelly collister</t>
  </si>
  <si>
    <t>delfina latchford</t>
  </si>
  <si>
    <t>dan reichenbach</t>
  </si>
  <si>
    <t>craig carreira</t>
  </si>
  <si>
    <t>dorris liebe</t>
  </si>
  <si>
    <t>sean braxton</t>
  </si>
  <si>
    <t>roy collins</t>
  </si>
  <si>
    <t>alan hwang</t>
  </si>
  <si>
    <t>claudia bergmann</t>
  </si>
  <si>
    <t>christine abelman</t>
  </si>
  <si>
    <t>kristen hastings</t>
  </si>
  <si>
    <t>barry blumstein</t>
  </si>
  <si>
    <t>andrew gjertsen</t>
  </si>
  <si>
    <t>jas o'carroll</t>
  </si>
  <si>
    <t>alan haines</t>
  </si>
  <si>
    <t>nick zandusky</t>
  </si>
  <si>
    <t>kelly lampkin</t>
  </si>
  <si>
    <t>alan schoenberger</t>
  </si>
  <si>
    <t>corey roper</t>
  </si>
  <si>
    <t>shahid hopkins</t>
  </si>
  <si>
    <t>ben peterman</t>
  </si>
  <si>
    <t>thomas seio</t>
  </si>
  <si>
    <t>andy gerbode</t>
  </si>
  <si>
    <t>sung pak</t>
  </si>
  <si>
    <t>nathan mautz</t>
  </si>
  <si>
    <t>frank atkinson</t>
  </si>
  <si>
    <t>grace kelly</t>
  </si>
  <si>
    <t>don jones</t>
  </si>
  <si>
    <t>patrick o'brill</t>
  </si>
  <si>
    <t>john lucas</t>
  </si>
  <si>
    <t>doug bickford</t>
  </si>
  <si>
    <t>alyssa crouse</t>
  </si>
  <si>
    <t>clay cheatham</t>
  </si>
  <si>
    <t>tamara dahlen</t>
  </si>
  <si>
    <t>adam bellavance</t>
  </si>
  <si>
    <t>jeremy lonsdale</t>
  </si>
  <si>
    <t>victoria brennan</t>
  </si>
  <si>
    <t>katrina willman</t>
  </si>
  <si>
    <t>julia dunbar</t>
  </si>
  <si>
    <t>michael kennedy</t>
  </si>
  <si>
    <t>guy thornton</t>
  </si>
  <si>
    <t>arthur gainer</t>
  </si>
  <si>
    <t>muhammed macintyre</t>
  </si>
  <si>
    <t>allen rosenblatt</t>
  </si>
  <si>
    <t>russell applegate</t>
  </si>
  <si>
    <t>alejandro savely</t>
  </si>
  <si>
    <t>laura armstrong</t>
  </si>
  <si>
    <t>denny ordway</t>
  </si>
  <si>
    <t>dean katz</t>
  </si>
  <si>
    <t>nathan gelder</t>
  </si>
  <si>
    <t>mike vittorini</t>
  </si>
  <si>
    <t>jack garza</t>
  </si>
  <si>
    <t>bart pistole</t>
  </si>
  <si>
    <t>victor preis</t>
  </si>
  <si>
    <t>saphhira shifley</t>
  </si>
  <si>
    <t>anna gayman</t>
  </si>
  <si>
    <t>luke foster</t>
  </si>
  <si>
    <t>roy französisch</t>
  </si>
  <si>
    <t>keith herrera</t>
  </si>
  <si>
    <t>kimberly carter</t>
  </si>
  <si>
    <t>caroline jumper</t>
  </si>
  <si>
    <t>philip brown</t>
  </si>
  <si>
    <t>michael paige</t>
  </si>
  <si>
    <t>natalie fritzler</t>
  </si>
  <si>
    <t>shirley daniels</t>
  </si>
  <si>
    <t>ken heidel</t>
  </si>
  <si>
    <t>ross baird</t>
  </si>
  <si>
    <t>mike kennedy</t>
  </si>
  <si>
    <t>philisse overcash</t>
  </si>
  <si>
    <t>brenda bowman</t>
  </si>
  <si>
    <t>troy blackwell</t>
  </si>
  <si>
    <t>raymond buch</t>
  </si>
  <si>
    <t>ed braxton</t>
  </si>
  <si>
    <t>sanjit chand</t>
  </si>
  <si>
    <t>tanja norvell</t>
  </si>
  <si>
    <t>joni sundaresam</t>
  </si>
  <si>
    <t>maya herman</t>
  </si>
  <si>
    <t>jeremy pistek</t>
  </si>
  <si>
    <t>jeremy ellison</t>
  </si>
  <si>
    <t>john grady</t>
  </si>
  <si>
    <t>xylona preis</t>
  </si>
  <si>
    <t>erin mull</t>
  </si>
  <si>
    <t>michelle tran</t>
  </si>
  <si>
    <t>sue ann reed</t>
  </si>
  <si>
    <t>carl weiss</t>
  </si>
  <si>
    <t>astrea jones</t>
  </si>
  <si>
    <t>sonia sunley</t>
  </si>
  <si>
    <t>rose o'brian</t>
  </si>
  <si>
    <t>maribeth dona</t>
  </si>
  <si>
    <t>maribeth yedwab</t>
  </si>
  <si>
    <t>christopher martinez</t>
  </si>
  <si>
    <t>lynn smith</t>
  </si>
  <si>
    <t>bradley nguyen</t>
  </si>
  <si>
    <t>dean braden</t>
  </si>
  <si>
    <t>matt connell</t>
  </si>
  <si>
    <t>brian dahlen</t>
  </si>
  <si>
    <t>patricia hirasaki</t>
  </si>
  <si>
    <t>mike gockenbach</t>
  </si>
  <si>
    <t>karen bern</t>
  </si>
  <si>
    <t>jasper cacioppo</t>
  </si>
  <si>
    <t>rob lucas</t>
  </si>
  <si>
    <t>allen armold</t>
  </si>
  <si>
    <t>emily phan</t>
  </si>
  <si>
    <t>darren koutras</t>
  </si>
  <si>
    <t>bradley drucker</t>
  </si>
  <si>
    <t>liz mackendrick</t>
  </si>
  <si>
    <t>adrian shami</t>
  </si>
  <si>
    <t>bill donatelli</t>
  </si>
  <si>
    <t>greg tran</t>
  </si>
  <si>
    <t>ashley jarboe</t>
  </si>
  <si>
    <t>olvera toch</t>
  </si>
  <si>
    <t>liz pelletier</t>
  </si>
  <si>
    <t>cynthia arntzen</t>
  </si>
  <si>
    <t>jeremy farry</t>
  </si>
  <si>
    <t>frank preis</t>
  </si>
  <si>
    <t>ellis ballard</t>
  </si>
  <si>
    <t>jennifer ferguson</t>
  </si>
  <si>
    <t>sarah foster</t>
  </si>
  <si>
    <t>trudy glocke</t>
  </si>
  <si>
    <t>carlos soltero</t>
  </si>
  <si>
    <t>charles crestani</t>
  </si>
  <si>
    <t>dianna vittorini</t>
  </si>
  <si>
    <t>bruce degenhardt</t>
  </si>
  <si>
    <t>zuschuss carroll</t>
  </si>
  <si>
    <t>melanie seite</t>
  </si>
  <si>
    <t>lena radford</t>
  </si>
  <si>
    <t>theone pippenger</t>
  </si>
  <si>
    <t>chloris kastensmidt</t>
  </si>
  <si>
    <t>alan shonely</t>
  </si>
  <si>
    <t>andrew roberts</t>
  </si>
  <si>
    <t>nona balk</t>
  </si>
  <si>
    <t>giulietta dortch</t>
  </si>
  <si>
    <t>clytie kelty</t>
  </si>
  <si>
    <t>nat gilpin</t>
  </si>
  <si>
    <t>christina anderson</t>
  </si>
  <si>
    <t>sylvia foulston</t>
  </si>
  <si>
    <t>meg o'connel</t>
  </si>
  <si>
    <t>annie thurman</t>
  </si>
  <si>
    <t>fred mcmath</t>
  </si>
  <si>
    <t>denny joy</t>
  </si>
  <si>
    <t>max engle</t>
  </si>
  <si>
    <t>justin deggeller</t>
  </si>
  <si>
    <t>john lee</t>
  </si>
  <si>
    <t>sean christensen</t>
  </si>
  <si>
    <t>chuck clark</t>
  </si>
  <si>
    <t>anthony rawles</t>
  </si>
  <si>
    <t>steven roelle</t>
  </si>
  <si>
    <t>craig reiter</t>
  </si>
  <si>
    <t>eugene hildebrand</t>
  </si>
  <si>
    <t>sibella parks</t>
  </si>
  <si>
    <t>tiffany house</t>
  </si>
  <si>
    <t>resi pölking</t>
  </si>
  <si>
    <t>rob beeghly</t>
  </si>
  <si>
    <t>carol darley</t>
  </si>
  <si>
    <t>doug jacobs</t>
  </si>
  <si>
    <t>grant thornton</t>
  </si>
  <si>
    <t>michael chen</t>
  </si>
  <si>
    <t>ralph arnett</t>
  </si>
  <si>
    <t>naresj patel</t>
  </si>
  <si>
    <t>alan barnes</t>
  </si>
  <si>
    <t>jesus ocampo</t>
  </si>
  <si>
    <t>jay kimmel</t>
  </si>
  <si>
    <t>brad norvell</t>
  </si>
  <si>
    <t>david philippe</t>
  </si>
  <si>
    <t>tracy hopkins</t>
  </si>
  <si>
    <t>arthur prichep</t>
  </si>
  <si>
    <t>roland schwarz</t>
  </si>
  <si>
    <t>seth vernon</t>
  </si>
  <si>
    <t>christine kargatis</t>
  </si>
  <si>
    <t>ross devincentis</t>
  </si>
  <si>
    <t>mathew reese</t>
  </si>
  <si>
    <t>steve chapman</t>
  </si>
  <si>
    <t>jay fein</t>
  </si>
  <si>
    <t>emily grady</t>
  </si>
  <si>
    <t>darrin sayre</t>
  </si>
  <si>
    <t>phillina ober</t>
  </si>
  <si>
    <t>sung shariari</t>
  </si>
  <si>
    <t>peter bühler</t>
  </si>
  <si>
    <t>roland fjeld</t>
  </si>
  <si>
    <t>yoseph carroll</t>
  </si>
  <si>
    <t>debra catini</t>
  </si>
  <si>
    <t>christine phan</t>
  </si>
  <si>
    <t>barry französisch</t>
  </si>
  <si>
    <t>lisa hazard</t>
  </si>
  <si>
    <t>chris selesnick</t>
  </si>
  <si>
    <t>anthony johnson</t>
  </si>
  <si>
    <t>benjamin venier</t>
  </si>
  <si>
    <t>dan lawera</t>
  </si>
  <si>
    <t>bryan mills</t>
  </si>
  <si>
    <t>liz thompson</t>
  </si>
  <si>
    <t>joe kamberova</t>
  </si>
  <si>
    <t>erica smith</t>
  </si>
  <si>
    <t>rick hansen</t>
  </si>
  <si>
    <t>carlos daly</t>
  </si>
  <si>
    <t>helen wasserman</t>
  </si>
  <si>
    <t>mike caudle</t>
  </si>
  <si>
    <t>gary mcgarr</t>
  </si>
  <si>
    <t>pauline johnson</t>
  </si>
  <si>
    <t>bart watters</t>
  </si>
  <si>
    <t>toby ritter</t>
  </si>
  <si>
    <t>patrick gardner</t>
  </si>
  <si>
    <t>james lanier</t>
  </si>
  <si>
    <t>brian moss</t>
  </si>
  <si>
    <t>eudokia martin</t>
  </si>
  <si>
    <t>art foster</t>
  </si>
  <si>
    <t>guy armstrong</t>
  </si>
  <si>
    <t>cyma kinney</t>
  </si>
  <si>
    <t>dave poirier</t>
  </si>
  <si>
    <t>berenike kampe</t>
  </si>
  <si>
    <t>sanjit jacobs</t>
  </si>
  <si>
    <t>chuck magee</t>
  </si>
  <si>
    <t>anthony jacobs</t>
  </si>
  <si>
    <t>linda southworth</t>
  </si>
  <si>
    <t>guy phonely</t>
  </si>
  <si>
    <t>paul knutson</t>
  </si>
  <si>
    <t>sally matthias</t>
  </si>
  <si>
    <t>anthony garverick</t>
  </si>
  <si>
    <t>peter mcvee</t>
  </si>
  <si>
    <t>lauren leatherbury</t>
  </si>
  <si>
    <t>jill stevenson</t>
  </si>
  <si>
    <t>ed ludwig</t>
  </si>
  <si>
    <t>pamela coakley</t>
  </si>
  <si>
    <t>hunter lopez</t>
  </si>
  <si>
    <t>maribeth schnelling</t>
  </si>
  <si>
    <t>george bell</t>
  </si>
  <si>
    <t>justin ritter</t>
  </si>
  <si>
    <t>bill eplett</t>
  </si>
  <si>
    <t>sample company a</t>
  </si>
  <si>
    <t>rob williams</t>
  </si>
  <si>
    <t>sanjit engle</t>
  </si>
  <si>
    <t>adam hart</t>
  </si>
  <si>
    <t>jessica myrick</t>
  </si>
  <si>
    <t>joel jenkins</t>
  </si>
  <si>
    <t>ralph kennedy</t>
  </si>
  <si>
    <t>catherine glotzbach</t>
  </si>
  <si>
    <t>rachel payne</t>
  </si>
  <si>
    <t>karen carlisle</t>
  </si>
  <si>
    <t>katherine hughes</t>
  </si>
  <si>
    <t>greg hansen</t>
  </si>
  <si>
    <t>scott williamson</t>
  </si>
  <si>
    <t>joseph airdo</t>
  </si>
  <si>
    <t>daniel lacy</t>
  </si>
  <si>
    <t>lindsay williams</t>
  </si>
  <si>
    <t>thomas brumley</t>
  </si>
  <si>
    <t>bryan spruell</t>
  </si>
  <si>
    <t>robert waldorf</t>
  </si>
  <si>
    <t>tracy zic</t>
  </si>
  <si>
    <t>ann steele</t>
  </si>
  <si>
    <t>toby swindell</t>
  </si>
  <si>
    <t>sara luxemburg</t>
  </si>
  <si>
    <t>mitch willingham</t>
  </si>
  <si>
    <t>rob dowd</t>
  </si>
  <si>
    <t>Avery Heavy-Duty EZD Binder With Locking Rings</t>
  </si>
  <si>
    <t>Tyvek Top-Opening Peel &amp; Seel Envelopes, Plain White</t>
  </si>
  <si>
    <t>Eureka Sanitaire Commercial Upright</t>
  </si>
  <si>
    <t>Eldon Mobile Mega Data Cart Mega Stackable Add-On Trays</t>
  </si>
  <si>
    <t>Country-State-City</t>
  </si>
  <si>
    <t>Row Labels</t>
  </si>
  <si>
    <t>Grand Total</t>
  </si>
  <si>
    <t>Count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</si>
</sst>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Report- for Hands-on Exercise 1.xlsx]Sheet1!PivotTable1</c:name>
    <c:fmtId val="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Sheet1!$A$4:$A$8</c:f>
              <c:strCache>
                <c:ptCount val="4"/>
                <c:pt idx="0">
                  <c:v>Furniture</c:v>
                </c:pt>
                <c:pt idx="1">
                  <c:v>null</c:v>
                </c:pt>
                <c:pt idx="2">
                  <c:v>Office Supplies</c:v>
                </c:pt>
                <c:pt idx="3">
                  <c:v>Technology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4"/>
                <c:pt idx="0">
                  <c:v>208</c:v>
                </c:pt>
                <c:pt idx="1">
                  <c:v>2</c:v>
                </c:pt>
                <c:pt idx="2">
                  <c:v>604</c:v>
                </c:pt>
                <c:pt idx="3">
                  <c:v>190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E2-4210-B06F-B6D01EE9DCB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393700</xdr:colOff>
      <xdr:row>2</xdr:row>
      <xdr:rowOff>114300</xdr:rowOff>
    </xdr:from>
    <xdr:to>
      <xdr:col>11</xdr:col>
      <xdr:colOff>88900</xdr:colOff>
      <xdr:row>19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414B68-D978-1C67-0271-541BB62BAF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151.377466203703" createdVersion="8" refreshedVersion="8" minRefreshableVersion="3" recordCount="1004" xr:uid="{7E01936E-4423-40DD-977F-04AD1E802626}">
  <cacheSource type="worksheet">
    <worksheetSource name="Table3"/>
  </cacheSource>
  <cacheFields count="20">
    <cacheField name="Row ID" numFmtId="0">
      <sharedItems containsMixedTypes="1" containsNumber="1" containsInteger="1" minValue="1" maxValue="1000"/>
    </cacheField>
    <cacheField name="Order ID" numFmtId="0">
      <sharedItems/>
    </cacheField>
    <cacheField name="Day" numFmtId="0">
      <sharedItems containsMixedTypes="1" containsNumber="1" containsInteger="1" minValue="1" maxValue="31"/>
    </cacheField>
    <cacheField name="Month" numFmtId="0">
      <sharedItems containsMixedTypes="1" containsNumber="1" containsInteger="1" minValue="1" maxValue="12"/>
    </cacheField>
    <cacheField name="Year" numFmtId="0">
      <sharedItems containsMixedTypes="1" containsNumber="1" containsInteger="1" minValue="2018" maxValue="2021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-State-City" numFmtId="0">
      <sharedItems/>
    </cacheField>
    <cacheField name="Region" numFmtId="0">
      <sharedItems/>
    </cacheField>
    <cacheField name="Postal Code" numFmtId="0">
      <sharedItems containsMixedTypes="1" containsNumber="1" containsInteger="1" minValue="1841" maxValue="98661"/>
    </cacheField>
    <cacheField name="Product ID" numFmtId="0">
      <sharedItems/>
    </cacheField>
    <cacheField name="Category" numFmtId="0">
      <sharedItems count="4">
        <s v="Furniture"/>
        <s v="Office Supplies"/>
        <s v="Technology"/>
        <s v="null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MixedTypes="1" containsNumber="1" minValue="1.08" maxValue="8159.9520000000002"/>
    </cacheField>
    <cacheField name="Quantity" numFmtId="0">
      <sharedItems containsMixedTypes="1" containsNumber="1" containsInteger="1" minValue="1" maxValue="14"/>
    </cacheField>
    <cacheField name="Discount" numFmtId="0">
      <sharedItems containsMixedTypes="1" containsNumber="1" minValue="0" maxValue="0.8"/>
    </cacheField>
    <cacheField name="Profit" numFmtId="0">
      <sharedItems containsMixedTypes="1" containsNumber="1" minValue="-3839.9904000000001" maxValue="3177.474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4">
  <r>
    <n v="1"/>
    <s v="CA-2020-152156"/>
    <n v="8"/>
    <n v="11"/>
    <n v="2020"/>
    <s v="Second Class"/>
    <s v="CG-12520"/>
    <s v="claire gute"/>
    <s v="Consumer"/>
    <s v="United States-Kentucky-Henderson"/>
    <s v="South"/>
    <n v="42420"/>
    <s v="FUR-BO-10001798"/>
    <x v="0"/>
    <s v="Bookcases"/>
    <s v="Bush Somerset Collection Bookcase"/>
    <n v="261.95999999999998"/>
    <n v="2"/>
    <n v="0"/>
    <n v="41.913600000000002"/>
  </r>
  <r>
    <n v="2"/>
    <s v="CA-2020-152156"/>
    <n v="8"/>
    <n v="11"/>
    <n v="2020"/>
    <s v="Second Class"/>
    <s v="CG-12520"/>
    <s v="claire gute"/>
    <s v="Consumer"/>
    <s v="United States-Kentucky-Henderson"/>
    <s v="South"/>
    <n v="42420"/>
    <s v="FUR-CH-10000454"/>
    <x v="0"/>
    <s v="Chairs"/>
    <s v="Hon Deluxe Fabric Upholstered Stacking Chairs, Rounded Back"/>
    <n v="731.94"/>
    <n v="3"/>
    <n v="0"/>
    <n v="219.58199999999999"/>
  </r>
  <r>
    <n v="3"/>
    <s v="CA-2020-138688"/>
    <n v="12"/>
    <n v="6"/>
    <n v="2020"/>
    <s v="Second Class"/>
    <s v="DV-13045"/>
    <s v="darrin van huff"/>
    <s v="Corporate"/>
    <s v="United States-California-Los Angeles"/>
    <s v="West"/>
    <n v="90036"/>
    <s v="OFF-LA-10000240"/>
    <x v="1"/>
    <s v="Labels"/>
    <s v="Self-Adhesive Address Labels for Typewriters by Universal"/>
    <n v="14.62"/>
    <n v="2"/>
    <n v="0"/>
    <n v="6.8714000000000004"/>
  </r>
  <r>
    <n v="4"/>
    <s v="US-2019-108966"/>
    <n v="11"/>
    <n v="10"/>
    <n v="2019"/>
    <s v="Standard Class"/>
    <s v="SO-20335"/>
    <s v="sean o'donnell"/>
    <s v="Consumer"/>
    <s v="United States-Florida-Fort Lauderdale"/>
    <s v="South"/>
    <n v="33311"/>
    <s v="FUR-TA-10000577"/>
    <x v="0"/>
    <s v="Tables"/>
    <s v="Bretford CR4500 Series Slim Rectangular Table"/>
    <n v="957.57749999999999"/>
    <n v="5"/>
    <n v="0.45"/>
    <n v="-383.03100000000001"/>
  </r>
  <r>
    <n v="5"/>
    <s v="US-2019-108966"/>
    <n v="11"/>
    <n v="10"/>
    <n v="2019"/>
    <s v="Standard Class"/>
    <s v="SO-20335"/>
    <s v="sean o'donnell"/>
    <s v="Consumer"/>
    <s v="United States-Florida-Fort Lauderdale"/>
    <s v="South"/>
    <n v="33311"/>
    <s v="OFF-ST-10000760"/>
    <x v="1"/>
    <s v="Storage"/>
    <s v="Eldon Fold 'N Roll Cart System"/>
    <n v="22.367999999999999"/>
    <n v="2"/>
    <n v="0.2"/>
    <n v="2.5164"/>
  </r>
  <r>
    <n v="6"/>
    <s v="CA-2018-115812"/>
    <n v="9"/>
    <n v="6"/>
    <n v="2018"/>
    <s v="Standard Class"/>
    <s v="BH-11710"/>
    <s v="brosina hoffman"/>
    <s v="Consumer"/>
    <s v="United States-California-Los Angeles"/>
    <s v="West"/>
    <n v="90032"/>
    <s v="FUR-FU-10001487"/>
    <x v="0"/>
    <s v="Furnishings"/>
    <s v="Eldon Expressions Wood and Plastic Desk Accessories, Cherry Wood"/>
    <n v="48.86"/>
    <n v="7"/>
    <n v="0"/>
    <n v="14.1694"/>
  </r>
  <r>
    <n v="7"/>
    <s v="CA-2018-115812"/>
    <n v="9"/>
    <n v="6"/>
    <n v="2018"/>
    <s v="Standard Class"/>
    <s v="BH-11710"/>
    <s v="brosina hoffman"/>
    <s v="Consumer"/>
    <s v="United States-California-Los Angeles"/>
    <s v="West"/>
    <n v="90032"/>
    <s v="OFF-AR-10002833"/>
    <x v="1"/>
    <s v="Art"/>
    <s v="Newell 322"/>
    <n v="7.28"/>
    <n v="4"/>
    <n v="0"/>
    <n v="1.9656"/>
  </r>
  <r>
    <n v="8"/>
    <s v="CA-2018-115812"/>
    <n v="9"/>
    <n v="6"/>
    <n v="2018"/>
    <s v="Standard Class"/>
    <s v="BH-11710"/>
    <s v="brosina hoffman"/>
    <s v="Consumer"/>
    <s v="United States-California-Los Angeles"/>
    <s v="West"/>
    <n v="90032"/>
    <s v="TEC-PH-10002275"/>
    <x v="2"/>
    <s v="Phones"/>
    <s v="Mitel 5320 IP Phone VoIP phone"/>
    <n v="907.15200000000004"/>
    <n v="6"/>
    <n v="0.2"/>
    <n v="90.715199999999996"/>
  </r>
  <r>
    <n v="9"/>
    <s v="CA-2018-115812"/>
    <n v="9"/>
    <n v="6"/>
    <n v="2018"/>
    <s v="Standard Class"/>
    <s v="BH-11710"/>
    <s v="brosina hoffman"/>
    <s v="Consumer"/>
    <s v="United States-California-Los Angeles"/>
    <s v="West"/>
    <n v="90032"/>
    <s v="OFF-BI-10003910"/>
    <x v="1"/>
    <s v="Binders"/>
    <s v="DXL Angle-View Binders with Locking Rings by Samsill"/>
    <n v="18.504000000000001"/>
    <n v="3"/>
    <n v="0.2"/>
    <n v="5.7824999999999998"/>
  </r>
  <r>
    <n v="10"/>
    <s v="CA-2018-115812"/>
    <n v="9"/>
    <n v="6"/>
    <n v="2018"/>
    <s v="Standard Class"/>
    <s v="BH-11710"/>
    <s v="brosina hoffman"/>
    <s v="Consumer"/>
    <s v="United States-California-Los Angeles"/>
    <s v="West"/>
    <n v="90032"/>
    <s v="OFF-AP-10002892"/>
    <x v="1"/>
    <s v="Appliances"/>
    <s v="Belkin F5C206VTEL 6 Outlet Surge"/>
    <n v="114.9"/>
    <n v="5"/>
    <n v="0"/>
    <n v="34.47"/>
  </r>
  <r>
    <n v="11"/>
    <s v="CA-2018-115812"/>
    <n v="9"/>
    <n v="6"/>
    <n v="2018"/>
    <s v="Standard Class"/>
    <s v="BH-11710"/>
    <s v="brosina hoffman"/>
    <s v="Consumer"/>
    <s v="United States-California-Los Angeles"/>
    <s v="West"/>
    <n v="90032"/>
    <s v="FUR-TA-10001539"/>
    <x v="0"/>
    <s v="Tables"/>
    <s v="Chromcraft Rectangular Conference Tables"/>
    <n v="1706.184"/>
    <n v="9"/>
    <n v="0.2"/>
    <n v="85.309200000000004"/>
  </r>
  <r>
    <n v="12"/>
    <s v="CA-2018-115812"/>
    <n v="9"/>
    <n v="6"/>
    <n v="2018"/>
    <s v="Standard Class"/>
    <s v="BH-11710"/>
    <s v="brosina hoffman"/>
    <s v="Consumer"/>
    <s v="United States-California-Los Angeles"/>
    <s v="West"/>
    <n v="90032"/>
    <s v="TEC-PH-10002033"/>
    <x v="2"/>
    <s v="Phones"/>
    <s v="Konftel 250 Conference phone - Charcoal black"/>
    <n v="911.42399999999998"/>
    <n v="4"/>
    <n v="0.2"/>
    <n v="68.356800000000007"/>
  </r>
  <r>
    <n v="13"/>
    <s v="CA-2021-114412"/>
    <n v="15"/>
    <n v="4"/>
    <n v="2021"/>
    <s v="Standard Class"/>
    <s v="AA-10480"/>
    <s v="andrew allen"/>
    <s v="Consumer"/>
    <s v="United States-North Carolina-Concord"/>
    <s v="South"/>
    <n v="28027"/>
    <s v="OFF-PA-10002365"/>
    <x v="1"/>
    <s v="Paper"/>
    <s v="Xerox 1967"/>
    <n v="15.552"/>
    <n v="3"/>
    <n v="0.2"/>
    <n v="5.4432"/>
  </r>
  <r>
    <n v="14"/>
    <s v="CA-2020-161389"/>
    <n v="5"/>
    <n v="12"/>
    <n v="2020"/>
    <s v="Standard Class"/>
    <s v="IM-15070"/>
    <s v="irene maddox"/>
    <s v="Consumer"/>
    <s v="United States-Washington-Seattle"/>
    <s v="West"/>
    <n v="98103"/>
    <s v="OFF-BI-10003656"/>
    <x v="1"/>
    <s v="Binders"/>
    <s v="Fellowes PB200 Plastic Comb Binding Machine"/>
    <n v="407.976"/>
    <n v="3"/>
    <n v="0.2"/>
    <n v="132.59219999999999"/>
  </r>
  <r>
    <n v="15"/>
    <s v="US-2019-118983"/>
    <n v="22"/>
    <n v="11"/>
    <n v="2019"/>
    <s v="Standard Class"/>
    <s v="HP-14815"/>
    <s v="harold pawlan"/>
    <s v="Home Office"/>
    <s v="United States-Texas-Fort Worth"/>
    <s v="Central"/>
    <n v="76106"/>
    <s v="OFF-AP-10002311"/>
    <x v="1"/>
    <s v="Appliances"/>
    <s v="Holmes Replacement Filter for HEPA Air Cleaner, Very Large Room, HEPA Filter"/>
    <n v="68.81"/>
    <n v="5"/>
    <n v="0.8"/>
    <n v="-123.858"/>
  </r>
  <r>
    <n v="16"/>
    <s v="US-2019-118983"/>
    <n v="22"/>
    <n v="11"/>
    <n v="2019"/>
    <s v="Standard Class"/>
    <s v="HP-14815"/>
    <s v="harold pawlan"/>
    <s v="Home Office"/>
    <s v="United States-Texas-Fort Worth"/>
    <s v="Central"/>
    <n v="76106"/>
    <s v="OFF-BI-10000756"/>
    <x v="1"/>
    <s v="Binders"/>
    <s v="Storex DuraTech Recycled Plastic Frosted Binders"/>
    <n v="2.544"/>
    <n v="3"/>
    <n v="0.8"/>
    <n v="-3.8159999999999998"/>
  </r>
  <r>
    <n v="17"/>
    <s v="CA-2018-105893"/>
    <n v="11"/>
    <n v="11"/>
    <n v="2018"/>
    <s v="Standard Class"/>
    <s v="PK-19075"/>
    <s v="pete kriz"/>
    <s v="Consumer"/>
    <s v="United States-Wisconsin-Madison"/>
    <s v="Central"/>
    <n v="53711"/>
    <s v="OFF-ST-10004186"/>
    <x v="1"/>
    <s v="Storage"/>
    <s v="Stur-D-Stor Shelving, Vertical 5-Shelf: 72&quot;H x 36&quot;W x 18 1/2&quot;D"/>
    <n v="665.88"/>
    <n v="6"/>
    <n v="0"/>
    <n v="13.317600000000001"/>
  </r>
  <r>
    <n v="18"/>
    <s v="CA-2018-167164"/>
    <n v="13"/>
    <n v="5"/>
    <n v="2018"/>
    <s v="Second Class"/>
    <s v="AG-10270"/>
    <s v="alejandro grove"/>
    <s v="Consumer"/>
    <s v="United States-Utah-West Jordan"/>
    <s v="West"/>
    <n v="84084"/>
    <s v="OFF-ST-10000107"/>
    <x v="1"/>
    <s v="Storage"/>
    <s v="Fellowes Super Stor/Drawer"/>
    <n v="55.5"/>
    <n v="2"/>
    <n v="0"/>
    <n v="9.99"/>
  </r>
  <r>
    <n v="19"/>
    <s v="CA-2018-143336"/>
    <n v="27"/>
    <n v="8"/>
    <n v="2018"/>
    <s v="Second Class"/>
    <s v="ZD-21925"/>
    <s v="zuschuss donatelli"/>
    <s v="Consumer"/>
    <s v="United States-California-San Francisco"/>
    <s v="West"/>
    <n v="94109"/>
    <s v="OFF-AR-10003056"/>
    <x v="1"/>
    <s v="Art"/>
    <s v="Newell 341"/>
    <n v="8.56"/>
    <n v="2"/>
    <n v="0"/>
    <n v="2.4824000000000002"/>
  </r>
  <r>
    <n v="20"/>
    <s v="CA-2018-143336"/>
    <n v="27"/>
    <n v="8"/>
    <n v="2018"/>
    <s v="Second Class"/>
    <s v="ZD-21925"/>
    <s v="zuschuss donatelli"/>
    <s v="Consumer"/>
    <s v="United States-California-San Francisco"/>
    <s v="West"/>
    <n v="94109"/>
    <s v="TEC-PH-10001949"/>
    <x v="2"/>
    <s v="Phones"/>
    <s v="Cisco SPA 501G IP Phone"/>
    <n v="213.48"/>
    <n v="3"/>
    <n v="0.2"/>
    <n v="16.010999999999999"/>
  </r>
  <r>
    <n v="21"/>
    <s v="CA-2018-143336"/>
    <n v="27"/>
    <n v="8"/>
    <n v="2018"/>
    <s v="Second Class"/>
    <s v="ZD-21925"/>
    <s v="zuschuss donatelli"/>
    <s v="Consumer"/>
    <s v="United States-California-San Francisco"/>
    <s v="West"/>
    <n v="94109"/>
    <s v="OFF-BI-10002215"/>
    <x v="1"/>
    <s v="Binders"/>
    <s v="Wilson Jones Hanging View Binder, White, 1&quot;"/>
    <n v="22.72"/>
    <n v="4"/>
    <n v="0.2"/>
    <n v="7.3840000000000003"/>
  </r>
  <r>
    <n v="22"/>
    <s v="CA-2020-137330"/>
    <n v="9"/>
    <n v="12"/>
    <n v="2020"/>
    <s v="Standard Class"/>
    <s v="KB-16585"/>
    <s v="ken black"/>
    <s v="Corporate"/>
    <s v="United States-Nebraska-Fremont"/>
    <s v="Central"/>
    <n v="68025"/>
    <s v="OFF-AR-10000246"/>
    <x v="1"/>
    <s v="Art"/>
    <s v="Newell 318"/>
    <n v="19.46"/>
    <n v="7"/>
    <n v="0"/>
    <n v="5.0595999999999997"/>
  </r>
  <r>
    <n v="23"/>
    <s v="CA-2020-137330"/>
    <n v="9"/>
    <n v="12"/>
    <n v="2020"/>
    <s v="Standard Class"/>
    <s v="KB-16585"/>
    <s v="ken black"/>
    <s v="Corporate"/>
    <s v="United States-Nebraska-Fremont"/>
    <s v="Central"/>
    <n v="68025"/>
    <s v="OFF-AP-10001492"/>
    <x v="1"/>
    <s v="Appliances"/>
    <s v="Acco Six-Outlet Power Strip, 4' Cord Length"/>
    <n v="60.34"/>
    <n v="7"/>
    <n v="0"/>
    <n v="15.6884"/>
  </r>
  <r>
    <n v="24"/>
    <s v="US-2021-156909"/>
    <n v="16"/>
    <n v="7"/>
    <n v="2021"/>
    <s v="Second Class"/>
    <s v="SF-20065"/>
    <s v="sandra flanagan"/>
    <s v="Consumer"/>
    <s v="United States-Pennsylvania-Philadelphia"/>
    <s v="East"/>
    <n v="19140"/>
    <s v="FUR-CH-10002774"/>
    <x v="0"/>
    <s v="Chairs"/>
    <s v="Global Deluxe Stacking Chair, Gray"/>
    <n v="71.372"/>
    <n v="2"/>
    <n v="0.3"/>
    <n v="-1.0196000000000001"/>
  </r>
  <r>
    <n v="25"/>
    <s v="CA-2019-106320"/>
    <n v="25"/>
    <n v="9"/>
    <n v="2019"/>
    <s v="Standard Class"/>
    <s v="EB-13870"/>
    <s v="emily burns"/>
    <s v="Consumer"/>
    <s v="United States-Utah-Orem"/>
    <s v="West"/>
    <n v="84057"/>
    <s v="FUR-TA-10000577"/>
    <x v="0"/>
    <s v="Tables"/>
    <s v="Bretford CR4500 Series Slim Rectangular Table"/>
    <n v="957.57749999999999"/>
    <n v="5"/>
    <n v="0.45"/>
    <n v="-383.03100000000001"/>
  </r>
  <r>
    <n v="26"/>
    <s v="CA-2020-121755"/>
    <n v="16"/>
    <n v="1"/>
    <n v="2020"/>
    <s v="Second Class"/>
    <s v="EH-13945"/>
    <s v="eric hoffmann"/>
    <s v="Consumer"/>
    <s v="United States-California-Los Angeles"/>
    <s v="West"/>
    <n v="90049"/>
    <s v="OFF-BI-10001634"/>
    <x v="1"/>
    <s v="Binders"/>
    <s v="Wilson Jones Active Use Binders"/>
    <n v="11.648"/>
    <n v="2"/>
    <n v="0.2"/>
    <n v="4.2224000000000004"/>
  </r>
  <r>
    <n v="27"/>
    <s v="CA-2020-121755"/>
    <n v="16"/>
    <n v="1"/>
    <n v="2020"/>
    <s v="Second Class"/>
    <s v="EH-13945"/>
    <s v="eric hoffmann"/>
    <s v="Consumer"/>
    <s v="United States-California-Los Angeles"/>
    <s v="West"/>
    <n v="90049"/>
    <s v="TEC-AC-10003027"/>
    <x v="2"/>
    <s v="Accessories"/>
    <s v="Imation 8GB Mini TravelDrive USB 2.0 Flash Drive"/>
    <n v="90.57"/>
    <n v="3"/>
    <n v="0"/>
    <n v="11.774100000000001"/>
  </r>
  <r>
    <n v="28"/>
    <s v="US-2019-150630"/>
    <n v="17"/>
    <n v="9"/>
    <n v="2019"/>
    <s v="Standard Class"/>
    <s v="TB-21520"/>
    <s v="tracy blumstein"/>
    <s v="Consumer"/>
    <s v="United States-Pennsylvania-Philadelphia"/>
    <s v="East"/>
    <n v="19140"/>
    <s v="FUR-BO-10004834"/>
    <x v="0"/>
    <s v="Bookcases"/>
    <s v="Riverside Palais Royal Lawyers Bookcase, Royale Cherry Finish"/>
    <n v="3083.43"/>
    <n v="7"/>
    <n v="0.5"/>
    <n v="-1665.0522000000001"/>
  </r>
  <r>
    <n v="29"/>
    <s v="US-2019-150630"/>
    <n v="17"/>
    <n v="9"/>
    <n v="2019"/>
    <s v="Standard Class"/>
    <s v="TB-21520"/>
    <s v="tracy blumstein"/>
    <s v="Consumer"/>
    <s v="United States-Pennsylvania-Philadelphia"/>
    <s v="East"/>
    <n v="19140"/>
    <s v="OFF-BI-10000474"/>
    <x v="1"/>
    <s v="Binders"/>
    <s v="Avery Recycled Flexi-View Covers for Binding Systems"/>
    <n v="9.6180000000000003"/>
    <n v="2"/>
    <n v="0.7"/>
    <n v="-7.0532000000000004"/>
  </r>
  <r>
    <n v="30"/>
    <s v="US-2019-150630"/>
    <n v="17"/>
    <n v="9"/>
    <n v="2019"/>
    <s v="Standard Class"/>
    <s v="TB-21520"/>
    <s v="tracy blumstein"/>
    <s v="Consumer"/>
    <s v="United States-Pennsylvania-Philadelphia"/>
    <s v="East"/>
    <n v="19140"/>
    <s v="FUR-FU-10004848"/>
    <x v="0"/>
    <s v="Furnishings"/>
    <s v="Howard Miller 13-3/4&quot; Diameter Brushed Chrome Round Wall Clock"/>
    <n v="124.2"/>
    <n v="3"/>
    <n v="0.2"/>
    <n v="15.525"/>
  </r>
  <r>
    <n v="31"/>
    <s v="US-2019-150630"/>
    <n v="17"/>
    <n v="9"/>
    <n v="2019"/>
    <s v="Standard Class"/>
    <s v="TB-21520"/>
    <s v="tracy blumstein"/>
    <s v="Consumer"/>
    <s v="United States-Pennsylvania-Philadelphia"/>
    <s v="East"/>
    <n v="19140"/>
    <s v="OFF-EN-10001509"/>
    <x v="1"/>
    <s v="Envelopes"/>
    <s v="Poly String Tie Envelopes"/>
    <n v="3.2639999999999998"/>
    <n v="2"/>
    <n v="0.2"/>
    <n v="1.1015999999999999"/>
  </r>
  <r>
    <n v="32"/>
    <s v="US-2019-150630"/>
    <n v="17"/>
    <n v="9"/>
    <n v="2019"/>
    <s v="Standard Class"/>
    <s v="TB-21520"/>
    <s v="tracy blumstein"/>
    <s v="Consumer"/>
    <s v="United States-Pennsylvania-Philadelphia"/>
    <s v="East"/>
    <n v="19140"/>
    <s v="OFF-AR-10004042"/>
    <x v="1"/>
    <s v="Art"/>
    <s v="BOSTON Model 1800 Electric Pencil Sharpeners, Putty/Woodgrain"/>
    <n v="86.304000000000002"/>
    <n v="6"/>
    <n v="0.2"/>
    <n v="9.7091999999999992"/>
  </r>
  <r>
    <n v="33"/>
    <s v="US-2019-150630"/>
    <n v="17"/>
    <n v="9"/>
    <n v="2019"/>
    <s v="Standard Class"/>
    <s v="TB-21520"/>
    <s v="tracy blumstein"/>
    <s v="Consumer"/>
    <s v="United States-Pennsylvania-Philadelphia"/>
    <s v="East"/>
    <n v="19140"/>
    <s v="OFF-BI-10001525"/>
    <x v="1"/>
    <s v="Binders"/>
    <s v="Acco Pressboard Covers with Storage Hooks, 14 7/8&quot; x 11&quot;, Executive Red"/>
    <n v="6.8579999999999997"/>
    <n v="6"/>
    <n v="0.7"/>
    <n v="-5.7149999999999999"/>
  </r>
  <r>
    <n v="34"/>
    <s v="US-2019-150630"/>
    <n v="17"/>
    <n v="9"/>
    <n v="2019"/>
    <s v="Standard Class"/>
    <s v="TB-21520"/>
    <s v="tracy blumstein"/>
    <s v="Consumer"/>
    <s v="United States-Pennsylvania-Philadelphia"/>
    <s v="East"/>
    <n v="19140"/>
    <s v="OFF-AR-10001683"/>
    <x v="1"/>
    <s v="Art"/>
    <s v="Lumber Crayons"/>
    <n v="15.76"/>
    <n v="2"/>
    <n v="0.2"/>
    <n v="3.5459999999999998"/>
  </r>
  <r>
    <n v="35"/>
    <s v="CA-2021-107727"/>
    <n v="19"/>
    <n v="10"/>
    <n v="2021"/>
    <s v="Second Class"/>
    <s v="MA-17560"/>
    <s v="matt abelman"/>
    <s v="Home Office"/>
    <s v="United States-Texas-Houston"/>
    <s v="Central"/>
    <n v="77095"/>
    <s v="OFF-PA-10000249"/>
    <x v="1"/>
    <s v="Paper"/>
    <s v="Easy-staple paper"/>
    <n v="29.472000000000001"/>
    <n v="3"/>
    <n v="0.2"/>
    <n v="9.9467999999999996"/>
  </r>
  <r>
    <n v="36"/>
    <s v="CA-2020-117590"/>
    <n v="8"/>
    <n v="12"/>
    <n v="2020"/>
    <s v="First Class"/>
    <s v="GH-14485"/>
    <s v="gene hale"/>
    <s v="Corporate"/>
    <s v="United States-Texas-Richardson"/>
    <s v="Central"/>
    <n v="75080"/>
    <s v="TEC-PH-10004977"/>
    <x v="2"/>
    <s v="Phones"/>
    <s v="GE 30524EE4"/>
    <n v="1097.5440000000001"/>
    <n v="7"/>
    <n v="0.2"/>
    <n v="123.47369999999999"/>
  </r>
  <r>
    <n v="37"/>
    <s v="CA-2020-117590"/>
    <n v="8"/>
    <n v="12"/>
    <n v="2020"/>
    <s v="First Class"/>
    <s v="GH-14485"/>
    <s v="gene hale"/>
    <s v="Corporate"/>
    <s v="United States-Texas-Richardson"/>
    <s v="Central"/>
    <n v="75080"/>
    <s v="FUR-FU-10003664"/>
    <x v="0"/>
    <s v="Furnishings"/>
    <s v="Electrix Architect's Clamp-On Swing Arm Lamp, Black"/>
    <n v="190.92"/>
    <n v="5"/>
    <n v="0.6"/>
    <n v="-147.96299999999999"/>
  </r>
  <r>
    <n v="38"/>
    <s v="CA-2019-117415"/>
    <n v="27"/>
    <n v="12"/>
    <n v="2019"/>
    <s v="Standard Class"/>
    <s v="SN-20710"/>
    <s v="steve nguyen"/>
    <s v="Home Office"/>
    <s v="United States-Texas-Houston"/>
    <s v="Central"/>
    <n v="77041"/>
    <s v="OFF-EN-10002986"/>
    <x v="1"/>
    <s v="Envelopes"/>
    <s v="#10-4 1/8&quot; x 9 1/2&quot; Premium Diagonal Seam Envelopes"/>
    <n v="113.328"/>
    <n v="9"/>
    <n v="0.2"/>
    <n v="35.414999999999999"/>
  </r>
  <r>
    <n v="39"/>
    <s v="CA-2019-117415"/>
    <n v="27"/>
    <n v="12"/>
    <n v="2019"/>
    <s v="Standard Class"/>
    <s v="SN-20710"/>
    <s v="steve nguyen"/>
    <s v="Home Office"/>
    <s v="United States-Texas-Houston"/>
    <s v="Central"/>
    <n v="77041"/>
    <s v="FUR-BO-10002545"/>
    <x v="0"/>
    <s v="Bookcases"/>
    <s v="Atlantic Metals Mobile 3-Shelf Bookcases, Custom Colors"/>
    <n v="532.39919999999995"/>
    <n v="3"/>
    <n v="0.32"/>
    <n v="-46.976399999999998"/>
  </r>
  <r>
    <n v="40"/>
    <s v="CA-2019-117415"/>
    <n v="27"/>
    <n v="12"/>
    <n v="2019"/>
    <s v="Standard Class"/>
    <s v="SN-20710"/>
    <s v="steve nguyen"/>
    <s v="Home Office"/>
    <s v="United States-Texas-Houston"/>
    <s v="Central"/>
    <n v="77041"/>
    <s v="FUR-CH-10004218"/>
    <x v="0"/>
    <s v="Chairs"/>
    <s v="Global Fabric Manager's Chair, Dark Gray"/>
    <n v="212.05799999999999"/>
    <n v="3"/>
    <n v="0.3"/>
    <n v="-15.147"/>
  </r>
  <r>
    <n v="41"/>
    <s v="CA-2019-117415"/>
    <n v="27"/>
    <n v="12"/>
    <n v="2019"/>
    <s v="Standard Class"/>
    <s v="SN-20710"/>
    <s v="steve nguyen"/>
    <s v="Home Office"/>
    <s v="United States-Texas-Houston"/>
    <s v="Central"/>
    <n v="77041"/>
    <s v="TEC-PH-10000486"/>
    <x v="2"/>
    <s v="Phones"/>
    <s v="Plantronics HL10 Handset Lifter"/>
    <n v="371.16800000000001"/>
    <n v="4"/>
    <n v="0.2"/>
    <n v="41.756399999999999"/>
  </r>
  <r>
    <n v="42"/>
    <s v="CA-2021-120999"/>
    <n v="10"/>
    <n v="9"/>
    <n v="2021"/>
    <s v="Standard Class"/>
    <s v="LC-16930"/>
    <s v="linda cazamias"/>
    <s v="Corporate"/>
    <s v="United States-Illinois-Naperville"/>
    <s v="Central"/>
    <n v="60540"/>
    <s v="TEC-PH-10004093"/>
    <x v="2"/>
    <s v="Phones"/>
    <s v="Panasonic Kx-TS550"/>
    <n v="147.16800000000001"/>
    <n v="4"/>
    <n v="0.2"/>
    <n v="16.5564"/>
  </r>
  <r>
    <n v="43"/>
    <s v="CA-2020-101343"/>
    <n v="17"/>
    <n v="7"/>
    <n v="2020"/>
    <s v="Standard Class"/>
    <s v="RA-19885"/>
    <s v="ruben ausman"/>
    <s v="Corporate"/>
    <s v="United States-California-Los Angeles"/>
    <s v="West"/>
    <n v="90049"/>
    <s v="OFF-ST-10003479"/>
    <x v="1"/>
    <s v="Storage"/>
    <s v="Eldon Base for stackable storage shelf, platinum"/>
    <n v="77.88"/>
    <n v="2"/>
    <n v="0"/>
    <n v="3.8940000000000001"/>
  </r>
  <r>
    <n v="44"/>
    <s v="CA-2021-139619"/>
    <n v="19"/>
    <n v="9"/>
    <n v="2021"/>
    <s v="Standard Class"/>
    <s v="ES-14080"/>
    <s v="erin smith"/>
    <s v="Corporate"/>
    <s v="United States-Florida-Melbourne"/>
    <s v="South"/>
    <n v="32935"/>
    <s v="OFF-ST-10003282"/>
    <x v="1"/>
    <s v="Storage"/>
    <s v="Advantus 10-Drawer Portable Organizer, Chrome Metal Frame, Smoke Drawers"/>
    <n v="95.616"/>
    <n v="2"/>
    <n v="0.2"/>
    <n v="9.5616000000000003"/>
  </r>
  <r>
    <n v="45"/>
    <s v="CA-2020-118255"/>
    <n v="11"/>
    <n v="3"/>
    <n v="2020"/>
    <s v="First Class"/>
    <s v="ON-18715"/>
    <s v="odella nelson"/>
    <s v="Corporate"/>
    <s v="United States-Minnesota-Eagan"/>
    <s v="Central"/>
    <n v="55122"/>
    <s v="TEC-AC-10000171"/>
    <x v="2"/>
    <s v="Accessories"/>
    <s v="Verbatim 25 GB 6x Blu-ray Single Layer Recordable Disc, 25/Pack"/>
    <n v="45.98"/>
    <n v="2"/>
    <n v="0"/>
    <n v="19.7714"/>
  </r>
  <r>
    <n v="46"/>
    <s v="CA-2020-118255"/>
    <n v="11"/>
    <n v="3"/>
    <n v="2020"/>
    <s v="First Class"/>
    <s v="ON-18715"/>
    <s v="odella nelson"/>
    <s v="Corporate"/>
    <s v="United States-Minnesota-Eagan"/>
    <s v="Central"/>
    <n v="55122"/>
    <s v="OFF-BI-10003291"/>
    <x v="1"/>
    <s v="Binders"/>
    <s v="Wilson Jones Leather-Like Binders with DublLock Round Rings"/>
    <n v="17.46"/>
    <n v="2"/>
    <n v="0"/>
    <n v="8.2062000000000008"/>
  </r>
  <r>
    <n v="47"/>
    <s v="CA-2018-146703"/>
    <n v="20"/>
    <n v="10"/>
    <n v="2018"/>
    <s v="Second Class"/>
    <s v="PO-18865"/>
    <s v="patrick o'donnell"/>
    <s v="Consumer"/>
    <s v="United States-Michigan-Westland"/>
    <s v="Central"/>
    <n v="48185"/>
    <s v="OFF-ST-10001713"/>
    <x v="1"/>
    <s v="Storage"/>
    <s v="Gould Plastics 9-Pocket Panel Bin, 18-3/8w x 5-1/4d x 20-1/2h, Black"/>
    <n v="211.96"/>
    <n v="4"/>
    <n v="0"/>
    <n v="8.4784000000000006"/>
  </r>
  <r>
    <n v="48"/>
    <s v="CA-2020-169194"/>
    <n v="20"/>
    <n v="6"/>
    <n v="2020"/>
    <s v="Standard Class"/>
    <s v="LH-16900"/>
    <s v="lena hernandez"/>
    <s v="Consumer"/>
    <s v="United States-Delaware-Dover"/>
    <s v="East"/>
    <n v="19901"/>
    <s v="TEC-AC-10002167"/>
    <x v="2"/>
    <s v="Accessories"/>
    <s v="Imation 8gb Micro Traveldrive Usb 2.0 Flash Drive"/>
    <n v="45"/>
    <n v="3"/>
    <n v="0"/>
    <n v="4.95"/>
  </r>
  <r>
    <n v="49"/>
    <s v="CA-2020-169194"/>
    <n v="20"/>
    <n v="6"/>
    <n v="2020"/>
    <s v="Standard Class"/>
    <s v="LH-16900"/>
    <s v="lena hernandez"/>
    <s v="Consumer"/>
    <s v="United States-Delaware-Dover"/>
    <s v="East"/>
    <n v="19901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50"/>
    <s v="CA-2019-115742"/>
    <n v="18"/>
    <n v="4"/>
    <n v="2019"/>
    <s v="Standard Class"/>
    <s v="DP-13000"/>
    <s v="darren powers"/>
    <s v="Consumer"/>
    <s v="United States-Indiana-New Albany"/>
    <s v="Central"/>
    <n v="47150"/>
    <s v="OFF-BI-10004410"/>
    <x v="1"/>
    <s v="Binders"/>
    <s v="C-Line Peel &amp; Stick Add-On Filing Pockets, 8-3/4 x 5-1/8, 10/Pack"/>
    <n v="38.22"/>
    <n v="6"/>
    <n v="0"/>
    <n v="17.9634"/>
  </r>
  <r>
    <n v="51"/>
    <s v="CA-2019-115742"/>
    <n v="18"/>
    <n v="4"/>
    <n v="2019"/>
    <s v="Standard Class"/>
    <s v="DP-13000"/>
    <s v="darren powers"/>
    <s v="Consumer"/>
    <s v="United States-Indiana-New Albany"/>
    <s v="Central"/>
    <n v="47150"/>
    <s v="OFF-LA-10002762"/>
    <x v="1"/>
    <s v="Labels"/>
    <s v="Avery 485"/>
    <n v="75.180000000000007"/>
    <n v="6"/>
    <n v="0"/>
    <n v="35.334600000000002"/>
  </r>
  <r>
    <n v="52"/>
    <s v="CA-2019-115742"/>
    <n v="18"/>
    <n v="4"/>
    <n v="2019"/>
    <s v="Standard Class"/>
    <s v="DP-13000"/>
    <s v="darren powers"/>
    <s v="Consumer"/>
    <s v="United States-Indiana-New Albany"/>
    <s v="Central"/>
    <n v="47150"/>
    <s v="FUR-FU-10001706"/>
    <x v="0"/>
    <s v="Furnishings"/>
    <s v="Longer-Life Soft White Bulbs"/>
    <n v="6.16"/>
    <n v="2"/>
    <n v="0"/>
    <n v="2.9567999999999999"/>
  </r>
  <r>
    <n v="53"/>
    <s v="CA-2019-115742"/>
    <n v="18"/>
    <n v="4"/>
    <n v="2019"/>
    <s v="Standard Class"/>
    <s v="DP-13000"/>
    <s v="darren powers"/>
    <s v="Consumer"/>
    <s v="United States-Indiana-New Albany"/>
    <s v="Central"/>
    <n v="47150"/>
    <s v="FUR-CH-10003061"/>
    <x v="0"/>
    <s v="Chairs"/>
    <s v="Global Leather Task Chair, Black"/>
    <n v="89.99"/>
    <n v="1"/>
    <n v="0"/>
    <n v="17.098099999999999"/>
  </r>
  <r>
    <n v="54"/>
    <s v="CA-2020-105816"/>
    <n v="11"/>
    <n v="12"/>
    <n v="2020"/>
    <s v="Standard Class"/>
    <s v="JM-15265"/>
    <s v="janet molinari"/>
    <s v="Corporate"/>
    <s v="United States-New York-New York City"/>
    <s v="East"/>
    <n v="10024"/>
    <s v="OFF-FA-10000304"/>
    <x v="1"/>
    <s v="Fasteners"/>
    <s v="Advantus Push Pins"/>
    <n v="15.26"/>
    <n v="7"/>
    <n v="0"/>
    <n v="6.2565999999999997"/>
  </r>
  <r>
    <n v="55"/>
    <s v="CA-2020-105816"/>
    <n v="11"/>
    <n v="12"/>
    <n v="2020"/>
    <s v="Standard Class"/>
    <s v="JM-15265"/>
    <s v="janet molinari"/>
    <s v="Corporate"/>
    <s v="United States-New York-New York City"/>
    <s v="East"/>
    <n v="10024"/>
    <s v="TEC-PH-10002447"/>
    <x v="2"/>
    <s v="Phones"/>
    <s v="AT&amp;T CL83451 4-Handset Telephone"/>
    <n v="1029.95"/>
    <n v="5"/>
    <n v="0"/>
    <n v="298.68549999999999"/>
  </r>
  <r>
    <n v="56"/>
    <s v="CA-2020-111682"/>
    <n v="17"/>
    <n v="6"/>
    <n v="2020"/>
    <s v="First Class"/>
    <s v="TB-21055"/>
    <s v="ted butterfield"/>
    <s v="Consumer"/>
    <s v="United States-New York-Troy"/>
    <s v="East"/>
    <n v="12180"/>
    <s v="OFF-ST-10000604"/>
    <x v="1"/>
    <s v="Storage"/>
    <s v="Home/Office Personal File Carts"/>
    <n v="208.56"/>
    <n v="6"/>
    <n v="0"/>
    <n v="52.14"/>
  </r>
  <r>
    <n v="57"/>
    <s v="CA-2020-111682"/>
    <n v="17"/>
    <n v="6"/>
    <n v="2020"/>
    <s v="First Class"/>
    <s v="TB-21055"/>
    <s v="ted butterfield"/>
    <s v="Consumer"/>
    <s v="United States-New York-Troy"/>
    <s v="East"/>
    <n v="12180"/>
    <s v="OFF-PA-10001569"/>
    <x v="1"/>
    <s v="Paper"/>
    <s v="Xerox 232"/>
    <n v="32.4"/>
    <n v="5"/>
    <n v="0"/>
    <n v="15.552"/>
  </r>
  <r>
    <n v="58"/>
    <s v="CA-2020-111682"/>
    <n v="17"/>
    <n v="6"/>
    <n v="2020"/>
    <s v="First Class"/>
    <s v="TB-21055"/>
    <s v="ted butterfield"/>
    <s v="Consumer"/>
    <s v="United States-New York-Troy"/>
    <s v="East"/>
    <n v="12180"/>
    <s v="FUR-CH-10003968"/>
    <x v="0"/>
    <s v="Chairs"/>
    <s v="Novimex Turbo Task Chair"/>
    <n v="319.41000000000003"/>
    <n v="5"/>
    <n v="0.1"/>
    <n v="7.0979999999999999"/>
  </r>
  <r>
    <n v="59"/>
    <s v="CA-2020-111682"/>
    <n v="17"/>
    <n v="6"/>
    <n v="2020"/>
    <s v="First Class"/>
    <s v="TB-21055"/>
    <s v="ted butterfield"/>
    <s v="Consumer"/>
    <s v="United States-New York-Troy"/>
    <s v="East"/>
    <n v="12180"/>
    <s v="OFF-PA-10000587"/>
    <x v="1"/>
    <s v="Paper"/>
    <s v="Array Parchment Paper, Assorted Colors"/>
    <n v="14.56"/>
    <n v="2"/>
    <n v="0"/>
    <n v="6.9888000000000003"/>
  </r>
  <r>
    <n v="60"/>
    <s v="CA-2020-111682"/>
    <n v="17"/>
    <n v="6"/>
    <n v="2020"/>
    <s v="First Class"/>
    <s v="TB-21055"/>
    <s v="ted butterfield"/>
    <s v="Consumer"/>
    <s v="United States-New York-Troy"/>
    <s v="East"/>
    <n v="12180"/>
    <s v="TEC-AC-10002167"/>
    <x v="2"/>
    <s v="Accessories"/>
    <s v="Imation 8gb Micro Traveldrive Usb 2.0 Flash Drive"/>
    <n v="45"/>
    <n v="3"/>
    <n v="0"/>
    <n v="4.95"/>
  </r>
  <r>
    <n v="61"/>
    <s v="CA-2020-111682"/>
    <n v="17"/>
    <n v="6"/>
    <n v="2020"/>
    <s v="First Class"/>
    <s v="TB-21055"/>
    <s v="ted butterfield"/>
    <s v="Consumer"/>
    <s v="United States-New York-Troy"/>
    <s v="East"/>
    <n v="12180"/>
    <s v="OFF-BI-10001460"/>
    <x v="1"/>
    <s v="Binders"/>
    <s v="Plastic Binding Combs"/>
    <n v="48.48"/>
    <n v="4"/>
    <n v="0.2"/>
    <n v="16.361999999999998"/>
  </r>
  <r>
    <n v="62"/>
    <s v="CA-2020-111682"/>
    <n v="17"/>
    <n v="6"/>
    <n v="2020"/>
    <s v="First Class"/>
    <s v="TB-21055"/>
    <s v="ted butterfield"/>
    <s v="Consumer"/>
    <s v="United States-New York-Troy"/>
    <s v="East"/>
    <n v="12180"/>
    <s v="OFF-AR-10001868"/>
    <x v="1"/>
    <s v="Art"/>
    <s v="Prang Dustless Chalk Sticks"/>
    <n v="1.68"/>
    <n v="1"/>
    <n v="0"/>
    <n v="0.84"/>
  </r>
  <r>
    <n v="63"/>
    <s v="CA-2019-135545"/>
    <n v="24"/>
    <n v="11"/>
    <n v="2019"/>
    <s v="Standard Class"/>
    <s v="KM-16720"/>
    <s v="kunst miller"/>
    <s v="Consumer"/>
    <s v="United States-California-Los Angeles"/>
    <s v="West"/>
    <n v="90004"/>
    <s v="TEC-AC-10004633"/>
    <x v="2"/>
    <s v="Accessories"/>
    <s v="Verbatim 25 GB 6x Blu-ray Single Layer Recordable Disc, 3/Pack"/>
    <n v="13.98"/>
    <n v="2"/>
    <n v="0"/>
    <n v="6.1512000000000002"/>
  </r>
  <r>
    <n v="64"/>
    <s v="CA-2019-135545"/>
    <n v="24"/>
    <n v="11"/>
    <n v="2019"/>
    <s v="Standard Class"/>
    <s v="KM-16720"/>
    <s v="kunst miller"/>
    <s v="Consumer"/>
    <s v="United States-California-Los Angeles"/>
    <s v="West"/>
    <n v="90004"/>
    <s v="OFF-BI-10001078"/>
    <x v="1"/>
    <s v="Binders"/>
    <s v="Acco PRESSTEX Data Binder with Storage Hooks, Dark Blue, 14 7/8&quot; X 11&quot;"/>
    <n v="25.824000000000002"/>
    <n v="6"/>
    <n v="0.2"/>
    <n v="9.3612000000000002"/>
  </r>
  <r>
    <n v="65"/>
    <s v="CA-2019-135545"/>
    <n v="24"/>
    <n v="11"/>
    <n v="2019"/>
    <s v="Standard Class"/>
    <s v="KM-16720"/>
    <s v="kunst miller"/>
    <s v="Consumer"/>
    <s v="United States-California-Los Angeles"/>
    <s v="West"/>
    <n v="90004"/>
    <s v="OFF-PA-10003892"/>
    <x v="1"/>
    <s v="Paper"/>
    <s v="Xerox 1943"/>
    <n v="146.72999999999999"/>
    <n v="3"/>
    <n v="0"/>
    <n v="68.963099999999997"/>
  </r>
  <r>
    <n v="66"/>
    <s v="CA-2019-135545"/>
    <n v="24"/>
    <n v="11"/>
    <n v="2019"/>
    <s v="Standard Class"/>
    <s v="KM-16720"/>
    <s v="kunst miller"/>
    <s v="Consumer"/>
    <s v="United States-California-Los Angeles"/>
    <s v="West"/>
    <n v="90004"/>
    <s v="FUR-FU-10000397"/>
    <x v="0"/>
    <s v="Furnishings"/>
    <s v="Luxo Economy Swing Arm Lamp"/>
    <n v="79.760000000000005"/>
    <n v="4"/>
    <n v="0"/>
    <n v="22.332799999999999"/>
  </r>
  <r>
    <n v="67"/>
    <s v="US-2019-164175"/>
    <n v="30"/>
    <n v="4"/>
    <n v="2019"/>
    <s v="Standard Class"/>
    <s v="PS-18970"/>
    <s v="paul stevenson"/>
    <s v="Home Office"/>
    <s v="United States-Illinois-Chicago"/>
    <s v="Central"/>
    <n v="60610"/>
    <s v="FUR-CH-10001146"/>
    <x v="0"/>
    <s v="Chairs"/>
    <s v="Global Value Mid-Back Manager's Chair, Gray"/>
    <n v="213.11500000000001"/>
    <n v="5"/>
    <n v="0.3"/>
    <n v="-15.2225"/>
  </r>
  <r>
    <n v="68"/>
    <s v="CA-2018-106376"/>
    <n v="5"/>
    <n v="12"/>
    <n v="2018"/>
    <s v="Standard Class"/>
    <s v="BS-11590"/>
    <s v="brendan sweed"/>
    <s v="Corporate"/>
    <s v="United States-Arizona-Gilbert"/>
    <s v="West"/>
    <n v="85234"/>
    <s v="OFF-AR-10002671"/>
    <x v="1"/>
    <s v="Art"/>
    <s v="Hunt BOSTON Model 1606 High-Volume Electric Pencil Sharpener, Beige"/>
    <n v="1113.0239999999999"/>
    <n v="8"/>
    <n v="0.2"/>
    <n v="111.30240000000001"/>
  </r>
  <r>
    <n v="69"/>
    <s v="CA-2018-106376"/>
    <n v="5"/>
    <n v="12"/>
    <n v="2018"/>
    <s v="Standard Class"/>
    <s v="BS-11590"/>
    <s v="brendan sweed"/>
    <s v="Corporate"/>
    <s v="United States-Arizona-Gilbert"/>
    <s v="West"/>
    <n v="85234"/>
    <s v="TEC-PH-10002726"/>
    <x v="2"/>
    <s v="Phones"/>
    <s v="netTALK DUO VoIP Telephone Service"/>
    <n v="167.96799999999999"/>
    <n v="4"/>
    <n v="0.2"/>
    <n v="62.988"/>
  </r>
  <r>
    <n v="70"/>
    <s v="CA-2020-119823"/>
    <n v="4"/>
    <n v="6"/>
    <n v="2020"/>
    <s v="First Class"/>
    <s v="KD-16270"/>
    <s v="karen daniels"/>
    <s v="Consumer"/>
    <s v="United States-Virginia-Springfield"/>
    <s v="South"/>
    <n v="22153"/>
    <s v="OFF-PA-10000482"/>
    <x v="1"/>
    <s v="Paper"/>
    <s v="Snap-A-Way Black Print Carbonless Ruled Speed Letter, Triplicate"/>
    <n v="75.88"/>
    <n v="2"/>
    <n v="0"/>
    <n v="35.663600000000002"/>
  </r>
  <r>
    <n v="71"/>
    <s v="CA-2020-106075"/>
    <n v="18"/>
    <n v="9"/>
    <n v="2020"/>
    <s v="Standard Class"/>
    <s v="HM-14980"/>
    <s v="henry macallister"/>
    <s v="Consumer"/>
    <s v="United States-New York-New York City"/>
    <s v="East"/>
    <n v="10009"/>
    <s v="OFF-BI-10004654"/>
    <x v="1"/>
    <s v="Binders"/>
    <s v="Avery Binding System Hidden Tab Executive Style Index Sets"/>
    <n v="4.6159999999999997"/>
    <n v="1"/>
    <n v="0.2"/>
    <n v="1.7310000000000001"/>
  </r>
  <r>
    <n v="72"/>
    <s v="CA-2021-114440"/>
    <n v="14"/>
    <n v="9"/>
    <n v="2021"/>
    <s v="Second Class"/>
    <s v="TB-21520"/>
    <s v="tracy blumstein"/>
    <s v="Consumer"/>
    <s v="United States-Michigan-Jackson"/>
    <s v="Central"/>
    <n v="49201"/>
    <s v="OFF-PA-10004675"/>
    <x v="1"/>
    <s v="Paper"/>
    <s v="Telephone Message Books with Fax/Mobile Section, 5 1/2&quot; x 3 3/16&quot;"/>
    <n v="19.05"/>
    <n v="3"/>
    <n v="0"/>
    <n v="8.7629999999999999"/>
  </r>
  <r>
    <n v="73"/>
    <s v="US-2019-134026"/>
    <n v="26"/>
    <n v="4"/>
    <n v="2019"/>
    <s v="Standard Class"/>
    <s v="JE-15745"/>
    <s v="joel eaton"/>
    <s v="Consumer"/>
    <s v="United States-Tennessee-Memphis"/>
    <s v="South"/>
    <n v="38109"/>
    <s v="FUR-CH-10000513"/>
    <x v="0"/>
    <s v="Chairs"/>
    <s v="High-Back Leather Manager's Chair"/>
    <n v="831.93600000000004"/>
    <n v="8"/>
    <n v="0.2"/>
    <n v="-114.3912"/>
  </r>
  <r>
    <n v="74"/>
    <s v="US-2019-134026"/>
    <n v="26"/>
    <n v="4"/>
    <n v="2019"/>
    <s v="Standard Class"/>
    <s v="JE-15745"/>
    <s v="joel eaton"/>
    <s v="Consumer"/>
    <s v="United States-Tennessee-Memphis"/>
    <s v="South"/>
    <n v="38109"/>
    <s v="FUR-FU-10003708"/>
    <x v="0"/>
    <s v="Furnishings"/>
    <s v="Tenex Traditional Chairmats for Medium Pile Carpet, Standard Lip, 36&quot; x 48&quot;"/>
    <n v="97.04"/>
    <n v="2"/>
    <n v="0.2"/>
    <n v="1.2130000000000001"/>
  </r>
  <r>
    <n v="75"/>
    <s v="US-2019-134026"/>
    <n v="26"/>
    <n v="4"/>
    <n v="2019"/>
    <s v="Standard Class"/>
    <s v="JE-15745"/>
    <s v="joel eaton"/>
    <s v="Consumer"/>
    <s v="United States-Tennessee-Memphis"/>
    <s v="South"/>
    <n v="38109"/>
    <s v="OFF-ST-10004123"/>
    <x v="1"/>
    <s v="Storage"/>
    <s v="Safco Industrial Wire Shelving System"/>
    <n v="72.784000000000006"/>
    <n v="1"/>
    <n v="0.2"/>
    <n v="-18.196000000000002"/>
  </r>
  <r>
    <n v="76"/>
    <s v="US-2021-118038"/>
    <n v="9"/>
    <n v="12"/>
    <n v="2021"/>
    <s v="First Class"/>
    <s v="KB-16600"/>
    <s v="ken brennan"/>
    <s v="Corporate"/>
    <s v="United States-Texas-Houston"/>
    <s v="Central"/>
    <n v="77041"/>
    <s v="OFF-BI-10004182"/>
    <x v="1"/>
    <s v="Binders"/>
    <s v="Economy Binders"/>
    <n v="1.248"/>
    <n v="3"/>
    <n v="0.8"/>
    <n v="-1.9343999999999999"/>
  </r>
  <r>
    <n v="77"/>
    <s v="US-2021-118038"/>
    <n v="9"/>
    <n v="12"/>
    <n v="2021"/>
    <s v="First Class"/>
    <s v="KB-16600"/>
    <s v="ken brennan"/>
    <s v="Corporate"/>
    <s v="United States-Texas-Houston"/>
    <s v="Central"/>
    <n v="77041"/>
    <s v="FUR-FU-10000260"/>
    <x v="0"/>
    <s v="Furnishings"/>
    <s v="6&quot; Cubicle Wall Clock, Black"/>
    <n v="9.7080000000000002"/>
    <n v="3"/>
    <n v="0.6"/>
    <n v="-5.8247999999999998"/>
  </r>
  <r>
    <n v="78"/>
    <s v="US-2021-118038"/>
    <n v="9"/>
    <n v="12"/>
    <n v="2021"/>
    <s v="First Class"/>
    <s v="KB-16600"/>
    <s v="ken brennan"/>
    <s v="Corporate"/>
    <s v="United States-Texas-Houston"/>
    <s v="Central"/>
    <n v="77041"/>
    <s v="OFF-ST-10000615"/>
    <x v="1"/>
    <s v="Storage"/>
    <s v="SimpliFile Personal File, Black Granite, 15w x 6-15/16d x 11-1/4h"/>
    <n v="27.24"/>
    <n v="3"/>
    <n v="0.2"/>
    <n v="2.7240000000000002"/>
  </r>
  <r>
    <n v="79"/>
    <s v="US-2018-147606"/>
    <n v="26"/>
    <n v="11"/>
    <n v="2018"/>
    <s v="Second Class"/>
    <s v="JE-15745"/>
    <s v="joel eaton"/>
    <s v="Consumer"/>
    <s v="United States-Texas-Houston"/>
    <s v="Central"/>
    <n v="77070"/>
    <s v="FUR-FU-10003194"/>
    <x v="0"/>
    <s v="Furnishings"/>
    <s v="Eldon Expressions Desk Accessory, Wood Pencil Holder, Oak"/>
    <n v="19.3"/>
    <n v="5"/>
    <n v="0.6"/>
    <n v="-14.475"/>
  </r>
  <r>
    <n v="80"/>
    <s v="CA-2020-127208"/>
    <n v="12"/>
    <n v="6"/>
    <n v="2020"/>
    <s v="First Class"/>
    <s v="SC-20770"/>
    <s v="stewart carmichael"/>
    <s v="Corporate"/>
    <s v="United States-Alabama-Decatur"/>
    <s v="South"/>
    <n v="35601"/>
    <s v="OFF-AP-10002118"/>
    <x v="1"/>
    <s v="Appliances"/>
    <s v="1.7 Cubic Foot Compact &quot;Cube&quot; Office Refrigerators"/>
    <n v="208.16"/>
    <n v="1"/>
    <n v="0"/>
    <n v="56.203200000000002"/>
  </r>
  <r>
    <n v="81"/>
    <s v="CA-2020-127208"/>
    <n v="12"/>
    <n v="6"/>
    <n v="2020"/>
    <s v="First Class"/>
    <s v="SC-20770"/>
    <s v="stewart carmichael"/>
    <s v="Corporate"/>
    <s v="United States-Alabama-Decatur"/>
    <s v="South"/>
    <n v="35601"/>
    <s v="OFF-BI-10002309"/>
    <x v="1"/>
    <s v="Binders"/>
    <s v="Avery Heavy-Duty EZD Binder With Locking Rings"/>
    <n v="16.739999999999998"/>
    <n v="3"/>
    <n v="0"/>
    <n v="8.0351999999999997"/>
  </r>
  <r>
    <n v="82"/>
    <s v="CA-2018-139451"/>
    <n v="12"/>
    <n v="10"/>
    <n v="2018"/>
    <s v="Standard Class"/>
    <s v="DN-13690"/>
    <s v="duane noonan"/>
    <s v="Consumer"/>
    <s v="United States-California-San Francisco"/>
    <s v="West"/>
    <n v="94122"/>
    <s v="OFF-AR-10002053"/>
    <x v="1"/>
    <s v="Art"/>
    <s v="Premium Writing Pencils, Soft, #2 by Central Association for the Blind"/>
    <n v="14.9"/>
    <n v="5"/>
    <n v="0"/>
    <n v="4.1719999999999997"/>
  </r>
  <r>
    <n v="83"/>
    <s v="CA-2018-139451"/>
    <n v="12"/>
    <n v="10"/>
    <n v="2018"/>
    <s v="Standard Class"/>
    <s v="DN-13690"/>
    <s v="duane noonan"/>
    <s v="Consumer"/>
    <s v="United States-California-San Francisco"/>
    <s v="West"/>
    <n v="94122"/>
    <s v="OFF-ST-10002370"/>
    <x v="1"/>
    <s v="Storage"/>
    <s v="Sortfiler Multipurpose Personal File Organizer, Black"/>
    <n v="21.39"/>
    <n v="1"/>
    <n v="0"/>
    <n v="6.2031000000000001"/>
  </r>
  <r>
    <n v="84"/>
    <s v="CA-2019-149734"/>
    <n v="3"/>
    <n v="9"/>
    <n v="2019"/>
    <s v="Standard Class"/>
    <s v="JC-16105"/>
    <s v="julie creighton"/>
    <s v="Corporate"/>
    <s v="United States-North Carolina-Durham"/>
    <s v="South"/>
    <n v="27707"/>
    <s v="OFF-EN-10000927"/>
    <x v="1"/>
    <s v="Envelopes"/>
    <s v="Jet-Pak Recycled Peel 'N' Seal Padded Mailers"/>
    <n v="200.98400000000001"/>
    <n v="7"/>
    <n v="0.2"/>
    <n v="62.807499999999997"/>
  </r>
  <r>
    <n v="85"/>
    <s v="US-2021-119662"/>
    <n v="13"/>
    <n v="11"/>
    <n v="2021"/>
    <s v="First Class"/>
    <s v="CS-12400"/>
    <s v="christopher schild"/>
    <s v="Home Office"/>
    <s v="United States-Illinois-Chicago"/>
    <s v="Central"/>
    <n v="60623"/>
    <s v="OFF-ST-10003656"/>
    <x v="1"/>
    <s v="Storage"/>
    <s v="Safco Industrial Wire Shelving"/>
    <n v="230.376"/>
    <n v="3"/>
    <n v="0.2"/>
    <n v="-48.954900000000002"/>
  </r>
  <r>
    <n v="86"/>
    <s v="CA-2021-140088"/>
    <n v="28"/>
    <n v="5"/>
    <n v="2021"/>
    <s v="Second Class"/>
    <s v="PO-18865"/>
    <s v="patrick o'donnell"/>
    <s v="Consumer"/>
    <s v="United States-South Carolina-Columbia"/>
    <s v="South"/>
    <n v="29203"/>
    <s v="FUR-CH-10000863"/>
    <x v="0"/>
    <s v="Chairs"/>
    <s v="Novimex Swivel Fabric Task Chair"/>
    <n v="301.95999999999998"/>
    <n v="2"/>
    <n v="0"/>
    <n v="33.215600000000002"/>
  </r>
  <r>
    <n v="87"/>
    <s v="CA-2021-155558"/>
    <n v="26"/>
    <n v="10"/>
    <n v="2021"/>
    <s v="Standard Class"/>
    <s v="PG-18895"/>
    <s v="paul gonzalez"/>
    <s v="Consumer"/>
    <s v="United States-Minnesota-Rochester"/>
    <s v="Central"/>
    <n v="55901"/>
    <s v="TEC-AC-10001998"/>
    <x v="2"/>
    <s v="Accessories"/>
    <s v="Logitech LS21 Speaker System - PC Multimedia - 2.1-CH - Wired"/>
    <n v="19.989999999999998"/>
    <n v="1"/>
    <n v="0"/>
    <n v="6.7965999999999998"/>
  </r>
  <r>
    <n v="88"/>
    <s v="CA-2021-155558"/>
    <n v="26"/>
    <n v="10"/>
    <n v="2021"/>
    <s v="Standard Class"/>
    <s v="PG-18895"/>
    <s v="paul gonzalez"/>
    <s v="Consumer"/>
    <s v="United States-Minnesota-Rochester"/>
    <s v="Central"/>
    <n v="55901"/>
    <s v="OFF-LA-10000134"/>
    <x v="1"/>
    <s v="Labels"/>
    <s v="Avery 511"/>
    <n v="6.16"/>
    <n v="2"/>
    <n v="0"/>
    <n v="2.9567999999999999"/>
  </r>
  <r>
    <n v="89"/>
    <s v="CA-2020-159695"/>
    <n v="5"/>
    <n v="4"/>
    <n v="2020"/>
    <s v="Second Class"/>
    <s v="GM-14455"/>
    <s v="gary mitchum"/>
    <s v="Home Office"/>
    <s v="United States-Texas-Houston"/>
    <s v="Central"/>
    <n v="77095"/>
    <s v="OFF-ST-10003442"/>
    <x v="1"/>
    <s v="Storage"/>
    <s v="Eldon Portable Mobile Manager"/>
    <n v="158.36799999999999"/>
    <n v="7"/>
    <n v="0.2"/>
    <n v="13.857200000000001"/>
  </r>
  <r>
    <n v="90"/>
    <s v="CA-2020-109806"/>
    <n v="17"/>
    <n v="9"/>
    <n v="2020"/>
    <s v="Standard Class"/>
    <s v="JS-15685"/>
    <s v="jim sink"/>
    <s v="Corporate"/>
    <s v="United States-California-Los Angeles"/>
    <s v="West"/>
    <n v="90036"/>
    <s v="OFF-AR-10004930"/>
    <x v="1"/>
    <s v="Art"/>
    <s v="Turquoise Lead Holder with Pocket Clip"/>
    <n v="20.100000000000001"/>
    <n v="3"/>
    <n v="0"/>
    <n v="6.633"/>
  </r>
  <r>
    <n v="91"/>
    <s v="CA-2020-109806"/>
    <n v="17"/>
    <n v="9"/>
    <n v="2020"/>
    <s v="Standard Class"/>
    <s v="JS-15685"/>
    <s v="jim sink"/>
    <s v="Corporate"/>
    <s v="United States-California-Los Angeles"/>
    <s v="West"/>
    <n v="90036"/>
    <s v="TEC-PH-10004093"/>
    <x v="2"/>
    <s v="Phones"/>
    <s v="Panasonic Kx-TS550"/>
    <n v="147.16800000000001"/>
    <n v="4"/>
    <n v="0.2"/>
    <n v="16.5564"/>
  </r>
  <r>
    <n v="92"/>
    <s v="CA-2020-109806"/>
    <n v="17"/>
    <n v="9"/>
    <n v="2020"/>
    <s v="Standard Class"/>
    <s v="JS-15685"/>
    <s v="jim sink"/>
    <s v="Corporate"/>
    <s v="United States-California-Los Angeles"/>
    <s v="West"/>
    <n v="90036"/>
    <s v="OFF-PA-10000304"/>
    <x v="1"/>
    <s v="Paper"/>
    <s v="Xerox 1995"/>
    <n v="6.48"/>
    <n v="1"/>
    <n v="0"/>
    <n v="3.1103999999999998"/>
  </r>
  <r>
    <n v="93"/>
    <s v="CA-2019-149587"/>
    <n v="31"/>
    <n v="1"/>
    <n v="2019"/>
    <s v="Second Class"/>
    <s v="KB-16315"/>
    <s v="karl braun"/>
    <s v="Consumer"/>
    <s v="United States-Minnesota-Minneapolis"/>
    <s v="Central"/>
    <n v="55407"/>
    <s v="OFF-PA-10003177"/>
    <x v="1"/>
    <s v="Paper"/>
    <s v="Xerox 1999"/>
    <n v="12.96"/>
    <n v="2"/>
    <n v="0"/>
    <n v="6.2207999999999997"/>
  </r>
  <r>
    <n v="94"/>
    <s v="CA-2019-149587"/>
    <n v="31"/>
    <n v="1"/>
    <n v="2019"/>
    <s v="Second Class"/>
    <s v="KB-16315"/>
    <s v="karl braun"/>
    <s v="Consumer"/>
    <s v="United States-Minnesota-Minneapolis"/>
    <s v="Central"/>
    <n v="55407"/>
    <s v="FUR-FU-10003799"/>
    <x v="0"/>
    <s v="Furnishings"/>
    <s v="Seth Thomas 13 1/2&quot; Wall Clock"/>
    <n v="53.34"/>
    <n v="3"/>
    <n v="0"/>
    <n v="16.535399999999999"/>
  </r>
  <r>
    <n v="95"/>
    <s v="CA-2019-149587"/>
    <n v="31"/>
    <n v="1"/>
    <n v="2019"/>
    <s v="Second Class"/>
    <s v="KB-16315"/>
    <s v="karl braun"/>
    <s v="Consumer"/>
    <s v="United States-Minnesota-Minneapolis"/>
    <s v="Central"/>
    <n v="55407"/>
    <s v="OFF-BI-10002852"/>
    <x v="1"/>
    <s v="Binders"/>
    <s v="Ibico Standard Transparent Covers"/>
    <n v="32.96"/>
    <n v="2"/>
    <n v="0"/>
    <n v="16.150400000000001"/>
  </r>
  <r>
    <n v="96"/>
    <s v="US-2021-109484"/>
    <n v="6"/>
    <n v="11"/>
    <n v="2021"/>
    <s v="Standard Class"/>
    <s v="RB-19705"/>
    <s v="roger barcio"/>
    <s v="Home Office"/>
    <s v="United States-Oregon-Portland"/>
    <s v="West"/>
    <n v="97206"/>
    <s v="OFF-BI-10004738"/>
    <x v="1"/>
    <s v="Binders"/>
    <s v="Flexible Leather- Look Classic Collection Ring Binder"/>
    <n v="5.6820000000000004"/>
    <n v="1"/>
    <n v="0.7"/>
    <n v="-3.7879999999999998"/>
  </r>
  <r>
    <n v="97"/>
    <s v="CA-2021-161018"/>
    <n v="9"/>
    <n v="11"/>
    <n v="2021"/>
    <s v="Second Class"/>
    <s v="PN-18775"/>
    <s v="parhena norris"/>
    <s v="Home Office"/>
    <s v="United States-New York-New York City"/>
    <s v="East"/>
    <n v="10009"/>
    <s v="FUR-FU-10000629"/>
    <x v="0"/>
    <s v="Furnishings"/>
    <s v="9-3/4 Diameter Round Wall Clock"/>
    <n v="96.53"/>
    <n v="7"/>
    <n v="0"/>
    <n v="40.5426"/>
  </r>
  <r>
    <n v="98"/>
    <s v="CA-2021-157833"/>
    <n v="17"/>
    <n v="6"/>
    <n v="2021"/>
    <s v="First Class"/>
    <s v="KD-16345"/>
    <s v="katherine ducich"/>
    <s v="Consumer"/>
    <s v="United States-California-San Francisco"/>
    <s v="West"/>
    <n v="94122"/>
    <s v="OFF-BI-10001721"/>
    <x v="1"/>
    <s v="Binders"/>
    <s v="Trimflex Flexible Post Binders"/>
    <n v="51.311999999999998"/>
    <n v="3"/>
    <n v="0.2"/>
    <n v="17.959199999999999"/>
  </r>
  <r>
    <n v="99"/>
    <s v="CA-2020-149223"/>
    <n v="6"/>
    <n v="9"/>
    <n v="2020"/>
    <s v="Standard Class"/>
    <s v="ER-13855"/>
    <s v="elpida rittenbach"/>
    <s v="Corporate"/>
    <s v="United States-Minnesota-Saint Paul"/>
    <s v="Central"/>
    <n v="55106"/>
    <s v="OFF-AP-10000358"/>
    <x v="1"/>
    <s v="Appliances"/>
    <s v="Fellowes Basic Home/Office Series Surge Protectors"/>
    <n v="77.88"/>
    <n v="6"/>
    <n v="0"/>
    <n v="22.5852"/>
  </r>
  <r>
    <n v="100"/>
    <s v="CA-2020-158568"/>
    <n v="29"/>
    <n v="8"/>
    <n v="2020"/>
    <s v="Standard Class"/>
    <s v="RB-19465"/>
    <s v="rick bensley"/>
    <s v="Home Office"/>
    <s v="United States-Illinois-Chicago"/>
    <s v="Central"/>
    <n v="60610"/>
    <s v="OFF-PA-10003256"/>
    <x v="1"/>
    <s v="Paper"/>
    <s v="Avery Personal Creations Heavyweight Cards"/>
    <n v="64.623999999999995"/>
    <n v="7"/>
    <n v="0.2"/>
    <n v="22.618400000000001"/>
  </r>
  <r>
    <n v="101"/>
    <s v="CA-2020-158568"/>
    <n v="29"/>
    <n v="8"/>
    <n v="2020"/>
    <s v="Standard Class"/>
    <s v="RB-19465"/>
    <s v="rick bensley"/>
    <s v="Home Office"/>
    <s v="United States-Illinois-Chicago"/>
    <s v="Central"/>
    <n v="60610"/>
    <s v="TEC-AC-10001767"/>
    <x v="2"/>
    <s v="Accessories"/>
    <s v="SanDisk Ultra 64 GB MicroSDHC Class 10 Memory Card"/>
    <n v="95.975999999999999"/>
    <n v="3"/>
    <n v="0.2"/>
    <n v="-10.7973"/>
  </r>
  <r>
    <s v="null"/>
    <s v="null"/>
    <s v="null"/>
    <s v="null"/>
    <s v="null"/>
    <s v="null"/>
    <s v="null"/>
    <s v="null"/>
    <s v="null"/>
    <s v="null"/>
    <s v="null"/>
    <s v="null"/>
    <s v="null"/>
    <x v="3"/>
    <s v="null"/>
    <s v="null"/>
    <s v="null"/>
    <s v="null"/>
    <s v="null"/>
    <s v="null"/>
  </r>
  <r>
    <n v="102"/>
    <s v="CA-2020-158568"/>
    <n v="29"/>
    <n v="8"/>
    <n v="2020"/>
    <s v="Standard Class"/>
    <s v="RB-19465"/>
    <s v="rick bensley"/>
    <s v="Home Office"/>
    <s v="United States-Illinois-Chicago"/>
    <s v="Central"/>
    <n v="60610"/>
    <s v="OFF-BI-10002609"/>
    <x v="1"/>
    <s v="Binders"/>
    <s v="Avery Hidden Tab Dividers for Binding Systems"/>
    <n v="1.788"/>
    <n v="3"/>
    <n v="0.8"/>
    <n v="-3.0396000000000001"/>
  </r>
  <r>
    <n v="103"/>
    <s v="CA-2020-129903"/>
    <n v="1"/>
    <n v="12"/>
    <n v="2020"/>
    <s v="Second Class"/>
    <s v="GZ-14470"/>
    <s v="gary zandusky"/>
    <s v="Consumer"/>
    <s v="United States-Minnesota-Rochester"/>
    <s v="Central"/>
    <n v="55901"/>
    <s v="OFF-PA-10004040"/>
    <x v="1"/>
    <s v="Paper"/>
    <s v="Universal Premium White Copier/Laser Paper (20Lb. and 87 Bright)"/>
    <n v="23.92"/>
    <n v="4"/>
    <n v="0"/>
    <n v="11.720800000000001"/>
  </r>
  <r>
    <n v="104"/>
    <s v="US-2019-156867"/>
    <n v="13"/>
    <n v="11"/>
    <n v="2019"/>
    <s v="Standard Class"/>
    <s v="LC-16870"/>
    <s v="lena cacioppo"/>
    <s v="Consumer"/>
    <s v="United States-Colorado-Aurora"/>
    <s v="West"/>
    <n v="80013"/>
    <s v="TEC-AC-10001552"/>
    <x v="2"/>
    <s v="Accessories"/>
    <s v="Logitech K350 2.4Ghz Wireless Keyboard"/>
    <n v="238.89599999999999"/>
    <n v="6"/>
    <n v="0.2"/>
    <n v="-26.875800000000002"/>
  </r>
  <r>
    <n v="105"/>
    <s v="US-2019-156867"/>
    <n v="13"/>
    <n v="11"/>
    <n v="2019"/>
    <s v="Standard Class"/>
    <s v="LC-16870"/>
    <s v="lena cacioppo"/>
    <s v="Consumer"/>
    <s v="United States-Colorado-Aurora"/>
    <s v="West"/>
    <n v="80013"/>
    <s v="FUR-FU-10004006"/>
    <x v="0"/>
    <s v="Furnishings"/>
    <s v="Deflect-o DuraMat Lighweight, Studded, Beveled Mat for Low Pile Carpeting"/>
    <n v="102.36"/>
    <n v="3"/>
    <n v="0.2"/>
    <n v="-3.8384999999999998"/>
  </r>
  <r>
    <n v="106"/>
    <s v="US-2019-156867"/>
    <n v="13"/>
    <n v="11"/>
    <n v="2019"/>
    <s v="Standard Class"/>
    <s v="LC-16870"/>
    <s v="lena cacioppo"/>
    <s v="Consumer"/>
    <s v="United States-Colorado-Aurora"/>
    <s v="West"/>
    <n v="80013"/>
    <s v="OFF-BI-10002794"/>
    <x v="1"/>
    <s v="Binders"/>
    <s v="Avery Trapezoid Ring Binder, 3&quot; Capacity, Black, 1040 sheets"/>
    <n v="36.881999999999998"/>
    <n v="3"/>
    <n v="0.7"/>
    <n v="-25.817399999999999"/>
  </r>
  <r>
    <n v="107"/>
    <s v="CA-2021-119004"/>
    <n v="23"/>
    <n v="11"/>
    <n v="2021"/>
    <s v="Standard Class"/>
    <s v="JM-15250"/>
    <s v="janet martin"/>
    <s v="Consumer"/>
    <s v="United States-North Carolina-Charlotte"/>
    <s v="South"/>
    <n v="28205"/>
    <s v="TEC-AC-10003499"/>
    <x v="2"/>
    <s v="Accessories"/>
    <s v="Memorex Mini Travel Drive 8 GB USB 2.0 Flash Drive"/>
    <n v="74.111999999999995"/>
    <n v="8"/>
    <n v="0.2"/>
    <n v="17.601600000000001"/>
  </r>
  <r>
    <n v="108"/>
    <s v="CA-2021-119004"/>
    <n v="23"/>
    <n v="11"/>
    <n v="2021"/>
    <s v="Standard Class"/>
    <s v="JM-15250"/>
    <s v="janet martin"/>
    <s v="Consumer"/>
    <s v="United States-North Carolina-Charlotte"/>
    <s v="South"/>
    <n v="28205"/>
    <s v="TEC-PH-10002844"/>
    <x v="2"/>
    <s v="Phones"/>
    <s v="Speck Products Candyshell Flip Case"/>
    <n v="27.992000000000001"/>
    <n v="1"/>
    <n v="0.2"/>
    <n v="2.0994000000000002"/>
  </r>
  <r>
    <n v="109"/>
    <s v="CA-2021-119004"/>
    <n v="23"/>
    <n v="11"/>
    <n v="2021"/>
    <s v="Standard Class"/>
    <s v="JM-15250"/>
    <s v="janet martin"/>
    <s v="Consumer"/>
    <s v="United States-North Carolina-Charlotte"/>
    <s v="South"/>
    <n v="28205"/>
    <s v="OFF-AR-10000390"/>
    <x v="1"/>
    <s v="Art"/>
    <s v="Newell Chalk Holder"/>
    <n v="3.3039999999999998"/>
    <n v="1"/>
    <n v="0.2"/>
    <n v="1.0738000000000001"/>
  </r>
  <r>
    <n v="110"/>
    <s v="CA-2019-129476"/>
    <n v="15"/>
    <n v="10"/>
    <n v="2019"/>
    <s v="Standard Class"/>
    <s v="PA-19060"/>
    <s v="pete armstrong"/>
    <s v="Home Office"/>
    <s v="United States-Illinois-Orland Park"/>
    <s v="Central"/>
    <n v="60462"/>
    <s v="TEC-AC-10000844"/>
    <x v="2"/>
    <s v="Accessories"/>
    <s v="Logitech Gaming G510s - Keyboard"/>
    <n v="339.96"/>
    <n v="5"/>
    <n v="0.2"/>
    <n v="67.992000000000004"/>
  </r>
  <r>
    <n v="111"/>
    <s v="CA-2021-146780"/>
    <n v="25"/>
    <n v="12"/>
    <n v="2021"/>
    <s v="Standard Class"/>
    <s v="CV-12805"/>
    <s v="cynthia voltz"/>
    <s v="Corporate"/>
    <s v="United States-New York-New York City"/>
    <s v="East"/>
    <n v="10035"/>
    <s v="FUR-FU-10001934"/>
    <x v="0"/>
    <s v="Furnishings"/>
    <s v="Magnifier Swing Arm Lamp"/>
    <n v="41.96"/>
    <n v="2"/>
    <n v="0"/>
    <n v="10.909599999999999"/>
  </r>
  <r>
    <n v="112"/>
    <s v="CA-2020-128867"/>
    <n v="3"/>
    <n v="11"/>
    <n v="2020"/>
    <s v="Standard Class"/>
    <s v="CL-12565"/>
    <s v="clay ludtke"/>
    <s v="Consumer"/>
    <s v="United States-Iowa-Urbandale"/>
    <s v="Central"/>
    <n v="50322"/>
    <s v="OFF-AR-10000380"/>
    <x v="1"/>
    <s v="Art"/>
    <s v="Hunt PowerHouse Electric Pencil Sharpener, Blue"/>
    <n v="75.959999999999994"/>
    <n v="2"/>
    <n v="0"/>
    <n v="22.788"/>
  </r>
  <r>
    <n v="113"/>
    <s v="CA-2020-128867"/>
    <n v="3"/>
    <n v="11"/>
    <n v="2020"/>
    <s v="Standard Class"/>
    <s v="CL-12565"/>
    <s v="clay ludtke"/>
    <s v="Consumer"/>
    <s v="United States-Iowa-Urbandale"/>
    <s v="Central"/>
    <n v="50322"/>
    <s v="OFF-BI-10003981"/>
    <x v="1"/>
    <s v="Binders"/>
    <s v="Avery Durable Plastic 1&quot; Binders"/>
    <n v="27.24"/>
    <n v="6"/>
    <n v="0"/>
    <n v="13.3476"/>
  </r>
  <r>
    <n v="114"/>
    <s v="CA-2018-115259"/>
    <n v="25"/>
    <n v="8"/>
    <n v="2018"/>
    <s v="Second Class"/>
    <s v="RC-19960"/>
    <s v="ryan crowe"/>
    <s v="Consumer"/>
    <s v="United States-Ohio-Columbus"/>
    <s v="East"/>
    <n v="43229"/>
    <s v="OFF-FA-10000621"/>
    <x v="1"/>
    <s v="Fasteners"/>
    <s v="OIC Colored Binder Clips, Assorted Sizes"/>
    <n v="40.095999999999997"/>
    <n v="14"/>
    <n v="0.2"/>
    <n v="14.534800000000001"/>
  </r>
  <r>
    <n v="115"/>
    <s v="CA-2018-115259"/>
    <n v="25"/>
    <n v="8"/>
    <n v="2018"/>
    <s v="Second Class"/>
    <s v="RC-19960"/>
    <s v="ryan crowe"/>
    <s v="Consumer"/>
    <s v="United States-Ohio-Columbus"/>
    <s v="East"/>
    <n v="43229"/>
    <s v="OFF-EN-10002600"/>
    <x v="1"/>
    <s v="Envelopes"/>
    <s v="Redi-Strip #10 Envelopes, 4 1/8 x 9 1/2"/>
    <n v="4.72"/>
    <n v="2"/>
    <n v="0.2"/>
    <n v="1.6519999999999999"/>
  </r>
  <r>
    <n v="116"/>
    <s v="CA-2018-115259"/>
    <n v="25"/>
    <n v="8"/>
    <n v="2018"/>
    <s v="Second Class"/>
    <s v="RC-19960"/>
    <s v="ryan crowe"/>
    <s v="Consumer"/>
    <s v="United States-Ohio-Columbus"/>
    <s v="East"/>
    <n v="43229"/>
    <s v="OFF-PA-10004965"/>
    <x v="1"/>
    <s v="Paper"/>
    <s v="Xerox 1921"/>
    <n v="23.975999999999999"/>
    <n v="3"/>
    <n v="0.2"/>
    <n v="7.4924999999999997"/>
  </r>
  <r>
    <n v="117"/>
    <s v="CA-2018-115259"/>
    <n v="25"/>
    <n v="8"/>
    <n v="2018"/>
    <s v="Second Class"/>
    <s v="RC-19960"/>
    <s v="ryan crowe"/>
    <s v="Consumer"/>
    <s v="United States-Ohio-Columbus"/>
    <s v="East"/>
    <n v="43229"/>
    <s v="OFF-EN-10002504"/>
    <x v="1"/>
    <s v="Envelopes"/>
    <s v="Tyvek Top-Opening Peel &amp; Seel Envelopes, Plain White"/>
    <n v="130.464"/>
    <n v="6"/>
    <n v="0.2"/>
    <n v="44.031599999999997"/>
  </r>
  <r>
    <n v="118"/>
    <s v="CA-2019-110457"/>
    <n v="2"/>
    <n v="3"/>
    <n v="2019"/>
    <s v="Standard Class"/>
    <s v="DK-13090"/>
    <s v="dave kipp"/>
    <s v="Consumer"/>
    <s v="United States-Washington-Seattle"/>
    <s v="West"/>
    <n v="98103"/>
    <s v="FUR-TA-10001768"/>
    <x v="0"/>
    <s v="Tables"/>
    <s v="Hon Racetrack Conference Tables"/>
    <n v="787.53"/>
    <n v="3"/>
    <n v="0"/>
    <n v="165.38130000000001"/>
  </r>
  <r>
    <n v="119"/>
    <s v="US-2019-136476"/>
    <n v="5"/>
    <n v="4"/>
    <n v="2019"/>
    <s v="Standard Class"/>
    <s v="GG-14650"/>
    <s v="greg guthrie"/>
    <s v="Corporate"/>
    <s v="United States-Tennessee-Bristol"/>
    <s v="South"/>
    <n v="37620"/>
    <s v="OFF-BI-10003650"/>
    <x v="1"/>
    <s v="Binders"/>
    <s v="GBC DocuBind 300 Electric Binding Machine"/>
    <n v="157.79400000000001"/>
    <n v="1"/>
    <n v="0.7"/>
    <n v="-115.71559999999999"/>
  </r>
  <r>
    <n v="120"/>
    <s v="CA-2020-103730"/>
    <n v="12"/>
    <n v="6"/>
    <n v="2020"/>
    <s v="First Class"/>
    <s v="SC-20725"/>
    <s v="steven cartwright"/>
    <s v="Consumer"/>
    <s v="United States-Delaware-Wilmington"/>
    <s v="East"/>
    <n v="19805"/>
    <s v="FUR-FU-10002157"/>
    <x v="0"/>
    <s v="Furnishings"/>
    <s v="Artistic Insta-Plaque"/>
    <n v="47.04"/>
    <n v="3"/>
    <n v="0"/>
    <n v="18.345600000000001"/>
  </r>
  <r>
    <n v="121"/>
    <s v="CA-2020-103730"/>
    <n v="12"/>
    <n v="6"/>
    <n v="2020"/>
    <s v="First Class"/>
    <s v="SC-20725"/>
    <s v="steven cartwright"/>
    <s v="Consumer"/>
    <s v="United States-Delaware-Wilmington"/>
    <s v="East"/>
    <n v="19805"/>
    <s v="OFF-BI-10003910"/>
    <x v="1"/>
    <s v="Binders"/>
    <s v="DXL Angle-View Binders with Locking Rings by Samsill"/>
    <n v="18.504000000000001"/>
    <n v="3"/>
    <n v="0.2"/>
    <n v="5.7824999999999998"/>
  </r>
  <r>
    <n v="122"/>
    <s v="CA-2020-103730"/>
    <n v="12"/>
    <n v="6"/>
    <n v="2020"/>
    <s v="First Class"/>
    <s v="SC-20725"/>
    <s v="steven cartwright"/>
    <s v="Consumer"/>
    <s v="United States-Delaware-Wilmington"/>
    <s v="East"/>
    <n v="19805"/>
    <s v="OFF-ST-10000777"/>
    <x v="1"/>
    <s v="Storage"/>
    <s v="Companion Letter/Legal File, Black"/>
    <n v="226.56"/>
    <n v="6"/>
    <n v="0"/>
    <n v="63.436799999999998"/>
  </r>
  <r>
    <n v="123"/>
    <s v="CA-2020-103730"/>
    <n v="12"/>
    <n v="6"/>
    <n v="2020"/>
    <s v="First Class"/>
    <s v="SC-20725"/>
    <s v="steven cartwright"/>
    <s v="Consumer"/>
    <s v="United States-Delaware-Wilmington"/>
    <s v="East"/>
    <n v="19805"/>
    <s v="OFF-EN-10002500"/>
    <x v="1"/>
    <s v="Envelopes"/>
    <s v="Globe Weis Peel &amp; Seel First Class Envelopes"/>
    <n v="115.02"/>
    <n v="9"/>
    <n v="0"/>
    <n v="51.759"/>
  </r>
  <r>
    <n v="124"/>
    <s v="CA-2020-103730"/>
    <n v="12"/>
    <n v="6"/>
    <n v="2020"/>
    <s v="First Class"/>
    <s v="SC-20725"/>
    <s v="steven cartwright"/>
    <s v="Consumer"/>
    <s v="United States-Delaware-Wilmington"/>
    <s v="East"/>
    <n v="19805"/>
    <s v="TEC-PH-10003875"/>
    <x v="2"/>
    <s v="Phones"/>
    <s v="KLD Oscar II Style Snap-on Ultra Thin Side Flip Synthetic Leather Cover Case for HTC One HTC M7"/>
    <n v="68.040000000000006"/>
    <n v="7"/>
    <n v="0"/>
    <n v="19.7316"/>
  </r>
  <r>
    <n v="125"/>
    <s v="US-2018-152030"/>
    <n v="26"/>
    <n v="12"/>
    <n v="2018"/>
    <s v="Second Class"/>
    <s v="AD-10180"/>
    <s v="alan dominguez"/>
    <s v="Home Office"/>
    <s v="United States-Texas-Houston"/>
    <s v="Central"/>
    <n v="77041"/>
    <s v="FUR-CH-10004063"/>
    <x v="0"/>
    <s v="Chairs"/>
    <s v="Global Deluxe High-Back Manager's Chair"/>
    <n v="600.55799999999999"/>
    <n v="3"/>
    <n v="0.3"/>
    <n v="-8.5793999999999997"/>
  </r>
  <r>
    <n v="126"/>
    <s v="US-2018-134614"/>
    <n v="20"/>
    <n v="9"/>
    <n v="2018"/>
    <s v="Standard Class"/>
    <s v="PF-19165"/>
    <s v="philip fox"/>
    <s v="Consumer"/>
    <s v="United States-Illinois-Bloomington"/>
    <s v="Central"/>
    <n v="61701"/>
    <s v="FUR-TA-10004534"/>
    <x v="0"/>
    <s v="Tables"/>
    <s v="Bevis 44 x 96 Conference Tables"/>
    <n v="617.70000000000005"/>
    <n v="6"/>
    <n v="0.5"/>
    <n v="-407.68200000000002"/>
  </r>
  <r>
    <n v="127"/>
    <s v="US-2021-107272"/>
    <n v="5"/>
    <n v="11"/>
    <n v="2021"/>
    <s v="Standard Class"/>
    <s v="TS-21610"/>
    <s v="troy staebel"/>
    <s v="Consumer"/>
    <s v="United States-Arizona-Phoenix"/>
    <s v="West"/>
    <n v="85023"/>
    <s v="OFF-BI-10003274"/>
    <x v="1"/>
    <s v="Binders"/>
    <s v="Avery Durable Slant Ring Binders, No Labels"/>
    <n v="2.3879999999999999"/>
    <n v="2"/>
    <n v="0.7"/>
    <n v="-1.8308"/>
  </r>
  <r>
    <n v="128"/>
    <s v="US-2021-107272"/>
    <n v="5"/>
    <n v="11"/>
    <n v="2021"/>
    <s v="Standard Class"/>
    <s v="TS-21610"/>
    <s v="troy staebel"/>
    <s v="Consumer"/>
    <s v="United States-Arizona-Phoenix"/>
    <s v="West"/>
    <n v="85023"/>
    <s v="OFF-ST-10002974"/>
    <x v="1"/>
    <s v="Storage"/>
    <s v="Trav-L-File Heavy-Duty Shuttle II, Black"/>
    <n v="243.99199999999999"/>
    <n v="7"/>
    <n v="0.2"/>
    <n v="30.498999999999999"/>
  </r>
  <r>
    <n v="129"/>
    <s v="US-2020-125969"/>
    <n v="6"/>
    <n v="11"/>
    <n v="2020"/>
    <s v="Second Class"/>
    <s v="LS-16975"/>
    <s v="lindsay shagiari"/>
    <s v="Home Office"/>
    <s v="United States-California-Los Angeles"/>
    <s v="West"/>
    <n v="90004"/>
    <s v="FUR-CH-10001146"/>
    <x v="0"/>
    <s v="Chairs"/>
    <s v="Global Task Chair, Black"/>
    <n v="81.424000000000007"/>
    <n v="2"/>
    <n v="0.2"/>
    <n v="-9.1601999999999997"/>
  </r>
  <r>
    <n v="130"/>
    <s v="US-2020-125969"/>
    <n v="6"/>
    <n v="11"/>
    <n v="2020"/>
    <s v="Second Class"/>
    <s v="LS-16975"/>
    <s v="lindsay shagiari"/>
    <s v="Home Office"/>
    <s v="United States-California-Los Angeles"/>
    <s v="West"/>
    <n v="90004"/>
    <s v="FUR-FU-10003773"/>
    <x v="0"/>
    <s v="Furnishings"/>
    <s v="Eldon Cleatmat Plus Chair Mats for High Pile Carpets"/>
    <n v="238.56"/>
    <n v="3"/>
    <n v="0"/>
    <n v="26.241599999999998"/>
  </r>
  <r>
    <n v="131"/>
    <s v="US-2021-164147"/>
    <n v="2"/>
    <n v="2"/>
    <n v="2021"/>
    <s v="First Class"/>
    <s v="DW-13585"/>
    <s v="dorothy wardle"/>
    <s v="Corporate"/>
    <s v="United States-Ohio-Columbus"/>
    <s v="East"/>
    <n v="43229"/>
    <s v="TEC-PH-10002293"/>
    <x v="2"/>
    <s v="Phones"/>
    <s v="Anker 36W 4-Port USB Wall Charger Travel Power Adapter for iPhone 5s 5c 5"/>
    <n v="59.97"/>
    <n v="5"/>
    <n v="0.4"/>
    <n v="-11.994"/>
  </r>
  <r>
    <n v="132"/>
    <s v="US-2021-164147"/>
    <n v="2"/>
    <n v="2"/>
    <n v="2021"/>
    <s v="First Class"/>
    <s v="DW-13585"/>
    <s v="dorothy wardle"/>
    <s v="Corporate"/>
    <s v="United States-Ohio-Columbus"/>
    <s v="East"/>
    <n v="43229"/>
    <s v="OFF-PA-10002377"/>
    <x v="1"/>
    <s v="Paper"/>
    <s v="Xerox 1916"/>
    <n v="78.304000000000002"/>
    <n v="2"/>
    <n v="0.2"/>
    <n v="29.364000000000001"/>
  </r>
  <r>
    <n v="133"/>
    <s v="US-2021-164147"/>
    <n v="2"/>
    <n v="2"/>
    <n v="2021"/>
    <s v="First Class"/>
    <s v="DW-13585"/>
    <s v="dorothy wardle"/>
    <s v="Corporate"/>
    <s v="United States-Ohio-Columbus"/>
    <s v="East"/>
    <n v="43229"/>
    <s v="OFF-FA-10002780"/>
    <x v="1"/>
    <s v="Fasteners"/>
    <s v="Staples"/>
    <n v="21.456"/>
    <n v="9"/>
    <n v="0.2"/>
    <n v="6.9732000000000003"/>
  </r>
  <r>
    <n v="134"/>
    <s v="CA-2020-145583"/>
    <n v="13"/>
    <n v="10"/>
    <n v="2020"/>
    <s v="Standard Class"/>
    <s v="LC-16885"/>
    <s v="lena creighton"/>
    <s v="Consumer"/>
    <s v="United States-California-Roseville"/>
    <s v="West"/>
    <n v="95661"/>
    <s v="OFF-PA-10001804"/>
    <x v="1"/>
    <s v="Paper"/>
    <s v="Xerox 195"/>
    <n v="20.04"/>
    <n v="3"/>
    <n v="0"/>
    <n v="9.6191999999999993"/>
  </r>
  <r>
    <n v="135"/>
    <s v="CA-2020-145583"/>
    <n v="13"/>
    <n v="10"/>
    <n v="2020"/>
    <s v="Standard Class"/>
    <s v="LC-16885"/>
    <s v="lena creighton"/>
    <s v="Consumer"/>
    <s v="United States-California-Roseville"/>
    <s v="West"/>
    <n v="95661"/>
    <s v="OFF-PA-10001736"/>
    <x v="1"/>
    <s v="Paper"/>
    <s v="Xerox 1880"/>
    <n v="35.44"/>
    <n v="1"/>
    <n v="0"/>
    <n v="16.6568"/>
  </r>
  <r>
    <n v="136"/>
    <s v="CA-2020-145583"/>
    <n v="13"/>
    <n v="10"/>
    <n v="2020"/>
    <s v="Standard Class"/>
    <s v="LC-16885"/>
    <s v="lena creighton"/>
    <s v="Consumer"/>
    <s v="United States-California-Roseville"/>
    <s v="West"/>
    <n v="95661"/>
    <s v="OFF-AR-10001149"/>
    <x v="1"/>
    <s v="Art"/>
    <s v="Sanford Colorific Colored Pencils, 12/Box"/>
    <n v="11.52"/>
    <n v="4"/>
    <n v="0"/>
    <n v="3.456"/>
  </r>
  <r>
    <n v="137"/>
    <s v="CA-2020-145583"/>
    <n v="13"/>
    <n v="10"/>
    <n v="2020"/>
    <s v="Standard Class"/>
    <s v="LC-16885"/>
    <s v="lena creighton"/>
    <s v="Consumer"/>
    <s v="United States-California-Roseville"/>
    <s v="West"/>
    <n v="95661"/>
    <s v="OFF-FA-10002988"/>
    <x v="1"/>
    <s v="Fasteners"/>
    <s v="Ideal Clamps"/>
    <n v="4.0199999999999996"/>
    <n v="2"/>
    <n v="0"/>
    <n v="1.9698"/>
  </r>
  <r>
    <n v="138"/>
    <s v="CA-2020-145583"/>
    <n v="13"/>
    <n v="10"/>
    <n v="2020"/>
    <s v="Standard Class"/>
    <s v="LC-16885"/>
    <s v="lena creighton"/>
    <s v="Consumer"/>
    <s v="United States-California-Roseville"/>
    <s v="West"/>
    <n v="95661"/>
    <s v="OFF-BI-10004781"/>
    <x v="1"/>
    <s v="Binders"/>
    <s v="GBC Wire Binding Strips"/>
    <n v="76.176000000000002"/>
    <n v="3"/>
    <n v="0.2"/>
    <n v="26.6616"/>
  </r>
  <r>
    <n v="139"/>
    <s v="CA-2020-145583"/>
    <n v="13"/>
    <n v="10"/>
    <n v="2020"/>
    <s v="Standard Class"/>
    <s v="LC-16885"/>
    <s v="lena creighton"/>
    <s v="Consumer"/>
    <s v="United States-California-Roseville"/>
    <s v="West"/>
    <n v="95661"/>
    <s v="OFF-SU-10001218"/>
    <x v="1"/>
    <s v="Supplies"/>
    <s v="Fiskars Softgrip Scissors"/>
    <n v="65.88"/>
    <n v="6"/>
    <n v="0"/>
    <n v="18.446400000000001"/>
  </r>
  <r>
    <n v="140"/>
    <s v="CA-2020-145583"/>
    <n v="13"/>
    <n v="10"/>
    <n v="2020"/>
    <s v="Standard Class"/>
    <s v="LC-16885"/>
    <s v="lena creighton"/>
    <s v="Consumer"/>
    <s v="United States-California-Roseville"/>
    <s v="West"/>
    <n v="95661"/>
    <s v="FUR-FU-10001706"/>
    <x v="0"/>
    <s v="Furnishings"/>
    <s v="Longer-Life Soft White Bulbs"/>
    <n v="6.16"/>
    <n v="2"/>
    <n v="0"/>
    <n v="2.9567999999999999"/>
  </r>
  <r>
    <n v="141"/>
    <s v="CA-2020-110366"/>
    <n v="5"/>
    <n v="9"/>
    <n v="2020"/>
    <s v="Second Class"/>
    <s v="JD-15895"/>
    <s v="jonathan doherty"/>
    <s v="Corporate"/>
    <s v="United States-Pennsylvania-Philadelphia"/>
    <s v="East"/>
    <n v="19140"/>
    <s v="FUR-FU-10004848"/>
    <x v="0"/>
    <s v="Furnishings"/>
    <s v="Howard Miller 13-3/4&quot; Diameter Brushed Chrome Round Wall Clock"/>
    <n v="124.2"/>
    <n v="3"/>
    <n v="0.2"/>
    <n v="15.525"/>
  </r>
  <r>
    <n v="142"/>
    <s v="CA-2021-106180"/>
    <n v="18"/>
    <n v="9"/>
    <n v="2021"/>
    <s v="Standard Class"/>
    <s v="SH-19975"/>
    <s v="sally hughsby"/>
    <s v="Corporate"/>
    <s v="United States-California-San Francisco"/>
    <s v="West"/>
    <n v="94122"/>
    <s v="OFF-AR-10000940"/>
    <x v="1"/>
    <s v="Art"/>
    <s v="Newell 343"/>
    <n v="8.82"/>
    <n v="3"/>
    <n v="0"/>
    <n v="2.3814000000000002"/>
  </r>
  <r>
    <n v="143"/>
    <s v="CA-2021-106180"/>
    <n v="18"/>
    <n v="9"/>
    <n v="2021"/>
    <s v="Standard Class"/>
    <s v="SH-19975"/>
    <s v="sally hughsby"/>
    <s v="Corporate"/>
    <s v="United States-California-San Francisco"/>
    <s v="West"/>
    <n v="94122"/>
    <s v="OFF-EN-10004030"/>
    <x v="1"/>
    <s v="Envelopes"/>
    <s v="Convenience Packs of Business Envelopes"/>
    <n v="10.86"/>
    <n v="3"/>
    <n v="0"/>
    <n v="5.1041999999999996"/>
  </r>
  <r>
    <n v="144"/>
    <s v="CA-2021-106180"/>
    <n v="18"/>
    <n v="9"/>
    <n v="2021"/>
    <s v="Standard Class"/>
    <s v="SH-19975"/>
    <s v="sally hughsby"/>
    <s v="Corporate"/>
    <s v="United States-California-San Francisco"/>
    <s v="West"/>
    <n v="94122"/>
    <s v="OFF-PA-10004327"/>
    <x v="1"/>
    <s v="Paper"/>
    <s v="Xerox 1911"/>
    <n v="143.69999999999999"/>
    <n v="3"/>
    <n v="0"/>
    <n v="68.975999999999999"/>
  </r>
  <r>
    <n v="145"/>
    <s v="CA-2021-155376"/>
    <n v="22"/>
    <n v="12"/>
    <n v="2021"/>
    <s v="Standard Class"/>
    <s v="SG-20080"/>
    <s v="sandra glassco"/>
    <s v="Consumer"/>
    <s v="United States-Missouri-Independence"/>
    <s v="Central"/>
    <n v="64055"/>
    <s v="OFF-AP-10001058"/>
    <x v="1"/>
    <s v="Appliances"/>
    <s v="Sanyo 2.5 Cubic Foot Mid-Size Office Refrigerators"/>
    <n v="839.43"/>
    <n v="3"/>
    <n v="0"/>
    <n v="218.2518"/>
  </r>
  <r>
    <n v="146"/>
    <s v="CA-2019-110744"/>
    <n v="7"/>
    <n v="9"/>
    <n v="2019"/>
    <s v="Standard Class"/>
    <s v="HA-14920"/>
    <s v="helen andreada"/>
    <s v="Consumer"/>
    <s v="United States-California-Pasadena"/>
    <s v="West"/>
    <n v="91104"/>
    <s v="OFF-ST-10003656"/>
    <x v="1"/>
    <s v="Storage"/>
    <s v="Safco Industrial Wire Shelving"/>
    <n v="230.376"/>
    <n v="3"/>
    <n v="0.2"/>
    <n v="-48.954900000000002"/>
  </r>
  <r>
    <n v="147"/>
    <s v="CA-2018-110072"/>
    <n v="22"/>
    <n v="10"/>
    <n v="2018"/>
    <s v="Standard Class"/>
    <s v="MG-17680"/>
    <s v="maureen gastineau"/>
    <s v="Home Office"/>
    <s v="United States-Ohio-Newark"/>
    <s v="East"/>
    <n v="43055"/>
    <s v="FUR-FU-10000521"/>
    <x v="0"/>
    <s v="Furnishings"/>
    <s v="Seth Thomas 14&quot; Putty-Colored Wall Clock"/>
    <n v="93.888000000000005"/>
    <n v="4"/>
    <n v="0.2"/>
    <n v="12.909599999999999"/>
  </r>
  <r>
    <n v="148"/>
    <s v="CA-2020-114489"/>
    <n v="5"/>
    <n v="12"/>
    <n v="2020"/>
    <s v="Standard Class"/>
    <s v="JE-16165"/>
    <s v="justin ellison"/>
    <s v="Corporate"/>
    <s v="United States-Wisconsin-Franklin"/>
    <s v="Central"/>
    <n v="53132"/>
    <s v="TEC-PH-10000215"/>
    <x v="2"/>
    <s v="Phones"/>
    <s v="Plantronics Cordless Phone Headset with In-line Volume - M214C"/>
    <n v="384.45"/>
    <n v="11"/>
    <n v="0"/>
    <n v="103.8015"/>
  </r>
  <r>
    <n v="149"/>
    <s v="CA-2020-114489"/>
    <n v="5"/>
    <n v="12"/>
    <n v="2020"/>
    <s v="Standard Class"/>
    <s v="JE-16165"/>
    <s v="justin ellison"/>
    <s v="Corporate"/>
    <s v="United States-Wisconsin-Franklin"/>
    <s v="Central"/>
    <n v="53132"/>
    <s v="TEC-PH-10001448"/>
    <x v="2"/>
    <s v="Phones"/>
    <s v="Anker Astro 15000mAh USB Portable Charger"/>
    <n v="149.97"/>
    <n v="3"/>
    <n v="0"/>
    <n v="5.9988000000000001"/>
  </r>
  <r>
    <n v="150"/>
    <s v="CA-2020-114489"/>
    <n v="5"/>
    <n v="12"/>
    <n v="2020"/>
    <s v="Standard Class"/>
    <s v="JE-16165"/>
    <s v="justin ellison"/>
    <s v="Corporate"/>
    <s v="United States-Wisconsin-Franklin"/>
    <s v="Central"/>
    <n v="53132"/>
    <s v="FUR-CH-10000454"/>
    <x v="0"/>
    <s v="Chairs"/>
    <s v="Hon Deluxe Fabric Upholstered Stacking Chairs, Rounded Back"/>
    <n v="731.94"/>
    <n v="3"/>
    <n v="0"/>
    <n v="219.58199999999999"/>
  </r>
  <r>
    <n v="151"/>
    <s v="CA-2020-114489"/>
    <n v="5"/>
    <n v="12"/>
    <n v="2020"/>
    <s v="Standard Class"/>
    <s v="JE-16165"/>
    <s v="justin ellison"/>
    <s v="Corporate"/>
    <s v="United States-Wisconsin-Franklin"/>
    <s v="Central"/>
    <n v="53132"/>
    <s v="OFF-BI-10002735"/>
    <x v="1"/>
    <s v="Binders"/>
    <s v="GBC Prestige Therm-A-Bind Covers"/>
    <n v="171.55"/>
    <n v="5"/>
    <n v="0"/>
    <n v="80.628500000000003"/>
  </r>
  <r>
    <n v="152"/>
    <s v="CA-2020-158834"/>
    <n v="13"/>
    <n v="3"/>
    <n v="2020"/>
    <s v="First Class"/>
    <s v="TW-21025"/>
    <s v="tamara willingham"/>
    <s v="Home Office"/>
    <s v="United States-Arizona-Scottsdale"/>
    <s v="West"/>
    <n v="85254"/>
    <s v="OFF-AP-10000326"/>
    <x v="1"/>
    <s v="Appliances"/>
    <s v="Belkin 7 Outlet SurgeMaster Surge Protector with Phone Protection"/>
    <n v="157.91999999999999"/>
    <n v="5"/>
    <n v="0.2"/>
    <n v="17.765999999999998"/>
  </r>
  <r>
    <n v="153"/>
    <s v="CA-2020-158834"/>
    <n v="13"/>
    <n v="3"/>
    <n v="2020"/>
    <s v="First Class"/>
    <s v="TW-21025"/>
    <s v="tamara willingham"/>
    <s v="Home Office"/>
    <s v="United States-Arizona-Scottsdale"/>
    <s v="West"/>
    <n v="85254"/>
    <s v="TEC-PH-10001254"/>
    <x v="2"/>
    <s v="Phones"/>
    <s v="Jabra BIZ 2300 Duo QD Duo Corded Headset"/>
    <n v="203.184"/>
    <n v="2"/>
    <n v="0.2"/>
    <n v="15.238799999999999"/>
  </r>
  <r>
    <n v="154"/>
    <s v="CA-2019-124919"/>
    <n v="31"/>
    <n v="5"/>
    <n v="2019"/>
    <s v="First Class"/>
    <s v="SP-20650"/>
    <s v="stephanie phelps"/>
    <s v="Corporate"/>
    <s v="United States-California-San Jose"/>
    <s v="West"/>
    <n v="95123"/>
    <s v="OFF-PA-10001950"/>
    <x v="1"/>
    <s v="Paper"/>
    <s v="Southworth 25% Cotton Antique Laid Paper &amp; Envelopes"/>
    <n v="58.38"/>
    <n v="7"/>
    <n v="0"/>
    <n v="26.271000000000001"/>
  </r>
  <r>
    <n v="155"/>
    <s v="CA-2019-124919"/>
    <n v="31"/>
    <n v="5"/>
    <n v="2019"/>
    <s v="First Class"/>
    <s v="SP-20650"/>
    <s v="stephanie phelps"/>
    <s v="Corporate"/>
    <s v="United States-California-San Jose"/>
    <s v="West"/>
    <n v="95123"/>
    <s v="OFF-PA-10002254"/>
    <x v="1"/>
    <s v="Paper"/>
    <s v="Xerox 1883"/>
    <n v="105.52"/>
    <n v="4"/>
    <n v="0"/>
    <n v="48.539200000000001"/>
  </r>
  <r>
    <n v="156"/>
    <s v="CA-2019-124919"/>
    <n v="31"/>
    <n v="5"/>
    <n v="2019"/>
    <s v="First Class"/>
    <s v="SP-20650"/>
    <s v="stephanie phelps"/>
    <s v="Corporate"/>
    <s v="United States-California-San Jose"/>
    <s v="West"/>
    <n v="95123"/>
    <s v="OFF-ST-10001590"/>
    <x v="1"/>
    <s v="Storage"/>
    <s v="Tenex Personal Project File with Scoop Front Design, Black"/>
    <n v="80.88"/>
    <n v="6"/>
    <n v="0"/>
    <n v="21.0288"/>
  </r>
  <r>
    <n v="157"/>
    <s v="CA-2019-118948"/>
    <n v="28"/>
    <n v="5"/>
    <n v="2019"/>
    <s v="Standard Class"/>
    <s v="NK-18490"/>
    <s v="neil knudson"/>
    <s v="Home Office"/>
    <s v="United States-Washington-Seattle"/>
    <s v="West"/>
    <n v="98105"/>
    <s v="OFF-AR-10001547"/>
    <x v="1"/>
    <s v="Art"/>
    <s v="Newell 311"/>
    <n v="6.63"/>
    <n v="3"/>
    <n v="0"/>
    <n v="1.7901"/>
  </r>
  <r>
    <n v="158"/>
    <s v="CA-2018-104269"/>
    <n v="1"/>
    <n v="3"/>
    <n v="2018"/>
    <s v="Second Class"/>
    <s v="DB-13060"/>
    <s v="dave brooks"/>
    <s v="Consumer"/>
    <s v="United States-Washington-Seattle"/>
    <s v="West"/>
    <n v="98115"/>
    <s v="FUR-CH-10004063"/>
    <x v="0"/>
    <s v="Chairs"/>
    <s v="Global Deluxe High-Back Manager's Chair"/>
    <n v="600.55799999999999"/>
    <n v="3"/>
    <n v="0.3"/>
    <n v="-8.5793999999999997"/>
  </r>
  <r>
    <n v="159"/>
    <s v="CA-2020-114104"/>
    <n v="20"/>
    <n v="11"/>
    <n v="2020"/>
    <s v="Standard Class"/>
    <s v="NP-18670"/>
    <s v="nora paige"/>
    <s v="Consumer"/>
    <s v="United States-Oklahoma-Edmond"/>
    <s v="Central"/>
    <n v="73034"/>
    <s v="OFF-LA-10002475"/>
    <x v="1"/>
    <s v="Labels"/>
    <s v="Avery 519"/>
    <n v="14.62"/>
    <n v="2"/>
    <n v="0"/>
    <n v="6.8714000000000004"/>
  </r>
  <r>
    <n v="160"/>
    <s v="CA-2020-114104"/>
    <n v="20"/>
    <n v="11"/>
    <n v="2020"/>
    <s v="Standard Class"/>
    <s v="NP-18670"/>
    <s v="nora paige"/>
    <s v="Consumer"/>
    <s v="United States-Oklahoma-Edmond"/>
    <s v="Central"/>
    <n v="73034"/>
    <s v="TEC-PH-10004536"/>
    <x v="2"/>
    <s v="Phones"/>
    <s v="Avaya 5420 Digital phone"/>
    <n v="944.93"/>
    <n v="7"/>
    <n v="0"/>
    <n v="236.23249999999999"/>
  </r>
  <r>
    <n v="161"/>
    <s v="CA-2020-162733"/>
    <n v="11"/>
    <n v="5"/>
    <n v="2020"/>
    <s v="First Class"/>
    <s v="TT-21070"/>
    <s v="ted trevino"/>
    <s v="Consumer"/>
    <s v="United States-California-Los Angeles"/>
    <s v="West"/>
    <n v="90045"/>
    <s v="OFF-PA-10002751"/>
    <x v="1"/>
    <s v="Paper"/>
    <s v="Xerox 1920"/>
    <n v="5.98"/>
    <n v="1"/>
    <n v="0"/>
    <n v="2.6909999999999998"/>
  </r>
  <r>
    <n v="162"/>
    <s v="CA-2019-119697"/>
    <n v="28"/>
    <n v="12"/>
    <n v="2019"/>
    <s v="Second Class"/>
    <s v="EM-13960"/>
    <s v="eric murdock"/>
    <s v="Consumer"/>
    <s v="United States-Pennsylvania-Philadelphia"/>
    <s v="East"/>
    <n v="19134"/>
    <s v="TEC-AC-10003657"/>
    <x v="2"/>
    <s v="Accessories"/>
    <s v="Lenovo 17-Key USB Numeric Keypad"/>
    <n v="54.384"/>
    <n v="2"/>
    <n v="0.2"/>
    <n v="1.3595999999999999"/>
  </r>
  <r>
    <n v="163"/>
    <s v="CA-2020-154508"/>
    <n v="16"/>
    <n v="11"/>
    <n v="2020"/>
    <s v="Standard Class"/>
    <s v="RD-19900"/>
    <s v="ruben dartt"/>
    <s v="Consumer"/>
    <s v="United States-New Mexico-Carlsbad"/>
    <s v="West"/>
    <n v="88220"/>
    <s v="OFF-EN-10001990"/>
    <x v="1"/>
    <s v="Envelopes"/>
    <s v="Staple envelope"/>
    <n v="28.4"/>
    <n v="5"/>
    <n v="0"/>
    <n v="13.348000000000001"/>
  </r>
  <r>
    <n v="164"/>
    <s v="CA-2020-113817"/>
    <n v="7"/>
    <n v="11"/>
    <n v="2020"/>
    <s v="Standard Class"/>
    <s v="MJ-17740"/>
    <s v="max jones"/>
    <s v="Consumer"/>
    <s v="United States-Washington-Seattle"/>
    <s v="West"/>
    <n v="98115"/>
    <s v="OFF-BI-10004002"/>
    <x v="1"/>
    <s v="Binders"/>
    <s v="Wilson Jones International Size A4 Ring Binders"/>
    <n v="27.68"/>
    <n v="2"/>
    <n v="0.2"/>
    <n v="9.6880000000000006"/>
  </r>
  <r>
    <n v="165"/>
    <s v="CA-2018-139892"/>
    <n v="8"/>
    <n v="9"/>
    <n v="2018"/>
    <s v="Standard Class"/>
    <s v="BM-11140"/>
    <s v="becky martin"/>
    <s v="Consumer"/>
    <s v="United States-Texas-San Antonio"/>
    <s v="Central"/>
    <n v="78207"/>
    <s v="OFF-AR-10004441"/>
    <x v="1"/>
    <s v="Art"/>
    <s v="BIC Brite Liner Highlighters"/>
    <n v="9.9359999999999999"/>
    <n v="3"/>
    <n v="0.2"/>
    <n v="2.7324000000000002"/>
  </r>
  <r>
    <n v="166"/>
    <s v="CA-2018-139892"/>
    <n v="8"/>
    <n v="9"/>
    <n v="2018"/>
    <s v="Standard Class"/>
    <s v="BM-11140"/>
    <s v="becky martin"/>
    <s v="Consumer"/>
    <s v="United States-Texas-San Antonio"/>
    <s v="Central"/>
    <n v="78207"/>
    <s v="TEC-MA-10000822"/>
    <x v="2"/>
    <s v="Machines"/>
    <s v="Lexmark MX611dhe Monochrome Laser Printer"/>
    <n v="8159.9520000000002"/>
    <n v="8"/>
    <n v="0.4"/>
    <n v="-1359.992"/>
  </r>
  <r>
    <n v="167"/>
    <s v="CA-2018-139892"/>
    <n v="8"/>
    <n v="9"/>
    <n v="2018"/>
    <s v="Standard Class"/>
    <s v="BM-11140"/>
    <s v="becky martin"/>
    <s v="Consumer"/>
    <s v="United States-Texas-San Antonio"/>
    <s v="Central"/>
    <n v="78207"/>
    <s v="OFF-ST-10000991"/>
    <x v="1"/>
    <s v="Storage"/>
    <s v="Space Solutions HD Industrial Steel Shelving."/>
    <n v="275.928"/>
    <n v="3"/>
    <n v="0.2"/>
    <n v="-58.634700000000002"/>
  </r>
  <r>
    <n v="168"/>
    <s v="CA-2018-139892"/>
    <n v="8"/>
    <n v="9"/>
    <n v="2018"/>
    <s v="Standard Class"/>
    <s v="BM-11140"/>
    <s v="becky martin"/>
    <s v="Consumer"/>
    <s v="United States-Texas-San Antonio"/>
    <s v="Central"/>
    <n v="78207"/>
    <s v="FUR-CH-10004287"/>
    <x v="0"/>
    <s v="Chairs"/>
    <s v="SAFCO Arco Folding Chair"/>
    <n v="1740.06"/>
    <n v="9"/>
    <n v="0.3"/>
    <n v="-24.858000000000001"/>
  </r>
  <r>
    <n v="169"/>
    <s v="CA-2018-139892"/>
    <n v="8"/>
    <n v="9"/>
    <n v="2018"/>
    <s v="Standard Class"/>
    <s v="BM-11140"/>
    <s v="becky martin"/>
    <s v="Consumer"/>
    <s v="United States-Texas-San Antonio"/>
    <s v="Central"/>
    <n v="78207"/>
    <s v="OFF-AR-10002656"/>
    <x v="1"/>
    <s v="Art"/>
    <s v="Sanford Liquid Accent Highlighters"/>
    <n v="32.064"/>
    <n v="6"/>
    <n v="0.2"/>
    <n v="6.8136000000000001"/>
  </r>
  <r>
    <n v="170"/>
    <s v="CA-2018-139892"/>
    <n v="8"/>
    <n v="9"/>
    <n v="2018"/>
    <s v="Standard Class"/>
    <s v="BM-11140"/>
    <s v="becky martin"/>
    <s v="Consumer"/>
    <s v="United States-Texas-San Antonio"/>
    <s v="Central"/>
    <n v="78207"/>
    <s v="OFF-AP-10002518"/>
    <x v="1"/>
    <s v="Appliances"/>
    <s v="Kensington 7 Outlet MasterPiece Power Center"/>
    <n v="177.98"/>
    <n v="5"/>
    <n v="0.8"/>
    <n v="-453.84899999999999"/>
  </r>
  <r>
    <n v="171"/>
    <s v="CA-2018-139892"/>
    <n v="8"/>
    <n v="9"/>
    <n v="2018"/>
    <s v="Standard Class"/>
    <s v="BM-11140"/>
    <s v="becky martin"/>
    <s v="Consumer"/>
    <s v="United States-Texas-San Antonio"/>
    <s v="Central"/>
    <n v="78207"/>
    <s v="TEC-PH-10003931"/>
    <x v="2"/>
    <s v="Phones"/>
    <s v="JBL Micro Wireless Portable Bluetooth Speaker"/>
    <n v="143.976"/>
    <n v="3"/>
    <n v="0.2"/>
    <n v="8.9984999999999999"/>
  </r>
  <r>
    <n v="172"/>
    <s v="CA-2018-118962"/>
    <n v="5"/>
    <n v="8"/>
    <n v="2018"/>
    <s v="Standard Class"/>
    <s v="CS-12130"/>
    <s v="chad sievert"/>
    <s v="Consumer"/>
    <s v="United States-California-Los Angeles"/>
    <s v="West"/>
    <n v="90004"/>
    <s v="OFF-PA-10000659"/>
    <x v="1"/>
    <s v="Paper"/>
    <s v="Adams Phone Message Book, Professional, 400 Message Capacity, 5 3/6” x 11”"/>
    <n v="20.94"/>
    <n v="3"/>
    <n v="0"/>
    <n v="9.8417999999999992"/>
  </r>
  <r>
    <n v="173"/>
    <s v="CA-2018-118962"/>
    <n v="5"/>
    <n v="8"/>
    <n v="2018"/>
    <s v="Standard Class"/>
    <s v="CS-12130"/>
    <s v="chad sievert"/>
    <s v="Consumer"/>
    <s v="United States-California-Los Angeles"/>
    <s v="West"/>
    <n v="90004"/>
    <s v="OFF-PA-10001144"/>
    <x v="1"/>
    <s v="Paper"/>
    <s v="Xerox 1913"/>
    <n v="110.96"/>
    <n v="2"/>
    <n v="0"/>
    <n v="53.260800000000003"/>
  </r>
  <r>
    <n v="174"/>
    <s v="CA-2018-118962"/>
    <n v="5"/>
    <n v="8"/>
    <n v="2018"/>
    <s v="Standard Class"/>
    <s v="CS-12130"/>
    <s v="chad sievert"/>
    <s v="Consumer"/>
    <s v="United States-California-Los Angeles"/>
    <s v="West"/>
    <n v="90004"/>
    <s v="FUR-CH-10003817"/>
    <x v="0"/>
    <s v="Chairs"/>
    <s v="Global Value Steno Chair, Gray"/>
    <n v="340.14400000000001"/>
    <n v="7"/>
    <n v="0.2"/>
    <n v="21.259"/>
  </r>
  <r>
    <n v="175"/>
    <s v="US-2018-100853"/>
    <n v="14"/>
    <n v="9"/>
    <n v="2018"/>
    <s v="Standard Class"/>
    <s v="JB-15400"/>
    <s v="jennifer braxton"/>
    <s v="Corporate"/>
    <s v="United States-Illinois-Chicago"/>
    <s v="Central"/>
    <n v="60623"/>
    <s v="OFF-AP-10000891"/>
    <x v="1"/>
    <s v="Appliances"/>
    <s v="Kensington 7 Outlet MasterPiece HOMEOFFICE Power Control Center"/>
    <n v="52.448"/>
    <n v="2"/>
    <n v="0.8"/>
    <n v="-131.12"/>
  </r>
  <r>
    <n v="176"/>
    <s v="US-2018-100853"/>
    <n v="14"/>
    <n v="9"/>
    <n v="2018"/>
    <s v="Standard Class"/>
    <s v="JB-15400"/>
    <s v="jennifer braxton"/>
    <s v="Corporate"/>
    <s v="United States-Illinois-Chicago"/>
    <s v="Central"/>
    <n v="60623"/>
    <s v="OFF-LA-10003148"/>
    <x v="1"/>
    <s v="Labels"/>
    <s v="Avery 51"/>
    <n v="20.16"/>
    <n v="4"/>
    <n v="0.2"/>
    <n v="6.5519999999999996"/>
  </r>
  <r>
    <n v="177"/>
    <s v="US-2021-152366"/>
    <n v="21"/>
    <n v="4"/>
    <n v="2021"/>
    <s v="Second Class"/>
    <s v="SJ-20500"/>
    <s v="shirley jackson"/>
    <s v="Consumer"/>
    <s v="United States-Texas-Houston"/>
    <s v="Central"/>
    <n v="77036"/>
    <s v="OFF-AP-10002684"/>
    <x v="1"/>
    <s v="Appliances"/>
    <s v="Acco 7-Outlet Masterpiece Power Center, Wihtout Fax/Phone Line Protection"/>
    <n v="97.263999999999996"/>
    <n v="4"/>
    <n v="0.8"/>
    <n v="-243.16"/>
  </r>
  <r>
    <n v="178"/>
    <s v="US-2019-101511"/>
    <n v="21"/>
    <n v="11"/>
    <n v="2019"/>
    <s v="Second Class"/>
    <s v="JE-15745"/>
    <s v="joel eaton"/>
    <s v="Consumer"/>
    <s v="United States-Ohio-Newark"/>
    <s v="East"/>
    <n v="43055"/>
    <s v="FUR-CH-10004698"/>
    <x v="0"/>
    <s v="Chairs"/>
    <s v="Padded Folding Chairs, Black, 4/Carton"/>
    <n v="396.80200000000002"/>
    <n v="7"/>
    <n v="0.3"/>
    <n v="-11.337199999999999"/>
  </r>
  <r>
    <n v="179"/>
    <s v="US-2019-101511"/>
    <n v="21"/>
    <n v="11"/>
    <n v="2019"/>
    <s v="Second Class"/>
    <s v="JE-15745"/>
    <s v="joel eaton"/>
    <s v="Consumer"/>
    <s v="United States-Ohio-Newark"/>
    <s v="East"/>
    <n v="43055"/>
    <s v="OFF-SU-10002189"/>
    <x v="1"/>
    <s v="Supplies"/>
    <s v="Acme Rosewood Handle Letter Opener"/>
    <n v="15.88"/>
    <n v="5"/>
    <n v="0.2"/>
    <n v="-3.7715000000000001"/>
  </r>
  <r>
    <n v="180"/>
    <s v="CA-2019-137225"/>
    <n v="15"/>
    <n v="12"/>
    <n v="2019"/>
    <s v="Standard Class"/>
    <s v="JK-15640"/>
    <s v="jim kriz"/>
    <s v="Home Office"/>
    <s v="United States-New York-New York City"/>
    <s v="East"/>
    <n v="10009"/>
    <s v="OFF-AR-10001940"/>
    <x v="1"/>
    <s v="Art"/>
    <s v="Sanford Colorific Eraseable Coloring Pencils, 12 Count"/>
    <n v="3.28"/>
    <n v="1"/>
    <n v="0"/>
    <n v="1.4104000000000001"/>
  </r>
  <r>
    <n v="181"/>
    <s v="CA-2018-166191"/>
    <n v="5"/>
    <n v="12"/>
    <n v="2018"/>
    <s v="Second Class"/>
    <s v="DK-13150"/>
    <s v="david kendrick"/>
    <s v="Corporate"/>
    <s v="United States-Illinois-Decatur"/>
    <s v="Central"/>
    <n v="62521"/>
    <s v="OFF-ST-10003455"/>
    <x v="1"/>
    <s v="Storage"/>
    <s v="Tenex File Box, Personal Filing Tote with Lid, Black"/>
    <n v="24.815999999999999"/>
    <n v="2"/>
    <n v="0.2"/>
    <n v="1.8612"/>
  </r>
  <r>
    <n v="182"/>
    <s v="CA-2018-166191"/>
    <n v="5"/>
    <n v="12"/>
    <n v="2018"/>
    <s v="Second Class"/>
    <s v="DK-13150"/>
    <s v="david kendrick"/>
    <s v="Corporate"/>
    <s v="United States-Illinois-Decatur"/>
    <s v="Central"/>
    <n v="62521"/>
    <s v="TEC-AC-10004659"/>
    <x v="2"/>
    <s v="Accessories"/>
    <s v="Imation Secure+ Hardware Encrypted USB 2.0 Flash Drive; 16GB"/>
    <n v="408.74400000000003"/>
    <n v="7"/>
    <n v="0.2"/>
    <n v="76.639499999999998"/>
  </r>
  <r>
    <n v="183"/>
    <s v="CA-2018-158274"/>
    <n v="19"/>
    <n v="11"/>
    <n v="2018"/>
    <s v="Second Class"/>
    <s v="RM-19675"/>
    <s v="robert marley"/>
    <s v="Home Office"/>
    <s v="United States-Louisiana-Monroe"/>
    <s v="South"/>
    <n v="71203"/>
    <s v="TEC-PH-10003273"/>
    <x v="2"/>
    <s v="Phones"/>
    <s v="AT&amp;T TR1909W"/>
    <n v="503.96"/>
    <n v="4"/>
    <n v="0"/>
    <n v="131.02959999999999"/>
  </r>
  <r>
    <n v="184"/>
    <s v="CA-2018-158274"/>
    <n v="19"/>
    <n v="11"/>
    <n v="2018"/>
    <s v="Second Class"/>
    <s v="RM-19675"/>
    <s v="robert marley"/>
    <s v="Home Office"/>
    <s v="United States-Louisiana-Monroe"/>
    <s v="South"/>
    <n v="71203"/>
    <s v="TEC-PH-10004896"/>
    <x v="2"/>
    <s v="Phones"/>
    <s v="Nokia Lumia 521 (T-Mobile)"/>
    <n v="149.94999999999999"/>
    <n v="5"/>
    <n v="0"/>
    <n v="41.985999999999997"/>
  </r>
  <r>
    <n v="185"/>
    <s v="CA-2018-158274"/>
    <n v="19"/>
    <n v="11"/>
    <n v="2018"/>
    <s v="Second Class"/>
    <s v="RM-19675"/>
    <s v="robert marley"/>
    <s v="Home Office"/>
    <s v="United States-Louisiana-Monroe"/>
    <s v="South"/>
    <n v="71203"/>
    <s v="TEC-AC-10002345"/>
    <x v="2"/>
    <s v="Accessories"/>
    <s v="HP Standard 104 key PS/2 Keyboard"/>
    <n v="29"/>
    <n v="2"/>
    <n v="0"/>
    <n v="7.25"/>
  </r>
  <r>
    <n v="186"/>
    <s v="CA-2020-105018"/>
    <n v="28"/>
    <n v="11"/>
    <n v="2020"/>
    <s v="Standard Class"/>
    <s v="SK-19990"/>
    <s v="sally knutson"/>
    <s v="Consumer"/>
    <s v="United States-Connecticut-Fairfield"/>
    <s v="East"/>
    <n v="6824"/>
    <s v="OFF-BI-10001890"/>
    <x v="1"/>
    <s v="Binders"/>
    <s v="Avery Poly Binder Pockets"/>
    <n v="7.16"/>
    <n v="2"/>
    <n v="0"/>
    <n v="3.4367999999999999"/>
  </r>
  <r>
    <n v="187"/>
    <s v="CA-2018-123260"/>
    <n v="26"/>
    <n v="8"/>
    <n v="2018"/>
    <s v="Standard Class"/>
    <s v="FM-14290"/>
    <s v="frank merwin"/>
    <s v="Home Office"/>
    <s v="United States-California-Los Angeles"/>
    <s v="West"/>
    <n v="90032"/>
    <s v="TEC-AC-10002323"/>
    <x v="2"/>
    <s v="Accessories"/>
    <s v="SanDisk Ultra 32 GB MicroSDHC Class 10 Memory Card"/>
    <n v="176.8"/>
    <n v="8"/>
    <n v="0"/>
    <n v="22.984000000000002"/>
  </r>
  <r>
    <n v="188"/>
    <s v="CA-2020-157000"/>
    <n v="16"/>
    <n v="7"/>
    <n v="2020"/>
    <s v="Standard Class"/>
    <s v="AM-10360"/>
    <s v="alice mccarthy"/>
    <s v="Corporate"/>
    <s v="United States-Texas-Grand Prairie"/>
    <s v="Central"/>
    <n v="75051"/>
    <s v="OFF-ST-10001328"/>
    <x v="1"/>
    <s v="Storage"/>
    <s v="Personal Filing Tote with Lid, Black/Gray"/>
    <n v="37.223999999999997"/>
    <n v="3"/>
    <n v="0.2"/>
    <n v="3.7223999999999999"/>
  </r>
  <r>
    <n v="189"/>
    <s v="CA-2020-157000"/>
    <n v="16"/>
    <n v="7"/>
    <n v="2020"/>
    <s v="Standard Class"/>
    <s v="AM-10360"/>
    <s v="alice mccarthy"/>
    <s v="Corporate"/>
    <s v="United States-Texas-Grand Prairie"/>
    <s v="Central"/>
    <n v="75051"/>
    <s v="OFF-PA-10001950"/>
    <x v="1"/>
    <s v="Paper"/>
    <s v="Southworth 25% Cotton Antique Laid Paper &amp; Envelopes"/>
    <n v="58.38"/>
    <n v="7"/>
    <n v="0"/>
    <n v="26.271000000000001"/>
  </r>
  <r>
    <n v="190"/>
    <s v="CA-2019-102281"/>
    <n v="12"/>
    <n v="10"/>
    <n v="2019"/>
    <s v="First Class"/>
    <s v="MP-17470"/>
    <s v="mark packer"/>
    <s v="Home Office"/>
    <s v="United States-New York-New York City"/>
    <s v="East"/>
    <n v="10035"/>
    <s v="FUR-BO-10002613"/>
    <x v="0"/>
    <s v="Bookcases"/>
    <s v="Atlantic Metals Mobile 4-Shelf Bookcases, Custom Colors"/>
    <n v="899.13599999999997"/>
    <n v="4"/>
    <n v="0.2"/>
    <n v="112.392"/>
  </r>
  <r>
    <n v="191"/>
    <s v="CA-2019-102281"/>
    <n v="12"/>
    <n v="10"/>
    <n v="2019"/>
    <s v="First Class"/>
    <s v="MP-17470"/>
    <s v="mark packer"/>
    <s v="Home Office"/>
    <s v="United States-New York-New York City"/>
    <s v="East"/>
    <n v="10035"/>
    <s v="TEC-PH-10001552"/>
    <x v="2"/>
    <s v="Phones"/>
    <s v="I Need's 3d Hello Kitty Hybrid Silicone Case Cover for HTC One X 4g with 3d Hello Kitty Stylus Pen Green/pink"/>
    <n v="71.760000000000005"/>
    <n v="6"/>
    <n v="0"/>
    <n v="20.0928"/>
  </r>
  <r>
    <n v="192"/>
    <s v="CA-2019-102281"/>
    <n v="12"/>
    <n v="10"/>
    <n v="2019"/>
    <s v="First Class"/>
    <s v="MP-17470"/>
    <s v="mark packer"/>
    <s v="Home Office"/>
    <s v="United States-New York-New York City"/>
    <s v="East"/>
    <n v="10035"/>
    <s v="OFF-PA-10000061"/>
    <x v="1"/>
    <s v="Paper"/>
    <s v="Xerox 205"/>
    <n v="51.84"/>
    <n v="8"/>
    <n v="0"/>
    <n v="24.883199999999999"/>
  </r>
  <r>
    <n v="193"/>
    <s v="CA-2019-102281"/>
    <n v="12"/>
    <n v="10"/>
    <n v="2019"/>
    <s v="First Class"/>
    <s v="MP-17470"/>
    <s v="mark packer"/>
    <s v="Home Office"/>
    <s v="United States-New York-New York City"/>
    <s v="East"/>
    <n v="10035"/>
    <s v="FUR-BO-10002545"/>
    <x v="0"/>
    <s v="Bookcases"/>
    <s v="Atlantic Metals Mobile 3-Shelf Bookcases, Custom Colors"/>
    <n v="532.39919999999995"/>
    <n v="3"/>
    <n v="0.32"/>
    <n v="-46.976399999999998"/>
  </r>
  <r>
    <n v="194"/>
    <s v="CA-2019-102281"/>
    <n v="12"/>
    <n v="10"/>
    <n v="2019"/>
    <s v="First Class"/>
    <s v="MP-17470"/>
    <s v="mark packer"/>
    <s v="Home Office"/>
    <s v="United States-New York-New York City"/>
    <s v="East"/>
    <n v="10035"/>
    <s v="OFF-AR-10003514"/>
    <x v="1"/>
    <s v="Art"/>
    <s v="4009 Highlighters by Sanford"/>
    <n v="19.899999999999999"/>
    <n v="5"/>
    <n v="0"/>
    <n v="6.5670000000000002"/>
  </r>
  <r>
    <n v="195"/>
    <s v="CA-2019-131457"/>
    <n v="31"/>
    <n v="10"/>
    <n v="2019"/>
    <s v="Standard Class"/>
    <s v="MZ-17515"/>
    <s v="mary zewe"/>
    <s v="Corporate"/>
    <s v="United States-California-Redlands"/>
    <s v="West"/>
    <n v="92374"/>
    <s v="OFF-EN-10001509"/>
    <x v="1"/>
    <s v="Envelopes"/>
    <s v="Poly String Tie Envelopes"/>
    <n v="3.2639999999999998"/>
    <n v="2"/>
    <n v="0.2"/>
    <n v="1.1015999999999999"/>
  </r>
  <r>
    <n v="196"/>
    <s v="CA-2018-140004"/>
    <n v="21"/>
    <n v="3"/>
    <n v="2018"/>
    <s v="Standard Class"/>
    <s v="CB-12025"/>
    <s v="cassandra brandow"/>
    <s v="Consumer"/>
    <s v="United States-Ohio-Hamilton"/>
    <s v="East"/>
    <n v="45011"/>
    <s v="OFF-AR-10004685"/>
    <x v="1"/>
    <s v="Art"/>
    <s v="Binney &amp; Smith Crayola Metallic Colored Pencils, 8-Color Set"/>
    <n v="7.4080000000000004"/>
    <n v="2"/>
    <n v="0.2"/>
    <n v="1.2038"/>
  </r>
  <r>
    <n v="197"/>
    <s v="CA-2018-140004"/>
    <n v="21"/>
    <n v="3"/>
    <n v="2018"/>
    <s v="Standard Class"/>
    <s v="CB-12025"/>
    <s v="cassandra brandow"/>
    <s v="Consumer"/>
    <s v="United States-Ohio-Hamilton"/>
    <s v="East"/>
    <n v="45011"/>
    <s v="OFF-AR-10004027"/>
    <x v="1"/>
    <s v="Art"/>
    <s v="Binney &amp; Smith inkTank Erasable Desk Highlighter, Chisel Tip, Yellow, 12/Box"/>
    <n v="6.048"/>
    <n v="3"/>
    <n v="0.2"/>
    <n v="1.5875999999999999"/>
  </r>
  <r>
    <s v="null"/>
    <s v="null"/>
    <s v="null"/>
    <s v="null"/>
    <s v="null"/>
    <s v="null"/>
    <s v="null"/>
    <s v="null"/>
    <s v="null"/>
    <s v="null"/>
    <s v="null"/>
    <s v="null"/>
    <s v="null"/>
    <x v="3"/>
    <s v="null"/>
    <s v="null"/>
    <s v="null"/>
    <s v="null"/>
    <s v="null"/>
    <s v="null"/>
  </r>
  <r>
    <n v="198"/>
    <s v="CA-2021-107720"/>
    <n v="6"/>
    <n v="11"/>
    <n v="2021"/>
    <s v="Standard Class"/>
    <s v="VM-21685"/>
    <s v="valerie mitchum"/>
    <s v="Home Office"/>
    <s v="United States-New Jersey-Westfield"/>
    <s v="East"/>
    <n v="7090"/>
    <s v="OFF-ST-10001414"/>
    <x v="1"/>
    <s v="Storage"/>
    <s v="Decoflex Hanging Personal Folder File"/>
    <n v="46.26"/>
    <n v="3"/>
    <n v="0"/>
    <n v="12.0276"/>
  </r>
  <r>
    <n v="199"/>
    <s v="US-2021-124303"/>
    <n v="6"/>
    <n v="7"/>
    <n v="2021"/>
    <s v="Standard Class"/>
    <s v="FH-14365"/>
    <s v="fred hopkins"/>
    <s v="Corporate"/>
    <s v="United States-Pennsylvania-Philadelphia"/>
    <s v="East"/>
    <n v="19120"/>
    <s v="OFF-BI-10000343"/>
    <x v="1"/>
    <s v="Binders"/>
    <s v="Pressboard Covers with Storage Hooks, 9 1/2&quot; x 11&quot;, Light Blue"/>
    <n v="2.9460000000000002"/>
    <n v="2"/>
    <n v="0.7"/>
    <n v="-2.2585999999999999"/>
  </r>
  <r>
    <n v="200"/>
    <s v="US-2021-124303"/>
    <n v="6"/>
    <n v="7"/>
    <n v="2021"/>
    <s v="Standard Class"/>
    <s v="FH-14365"/>
    <s v="fred hopkins"/>
    <s v="Corporate"/>
    <s v="United States-Pennsylvania-Philadelphia"/>
    <s v="East"/>
    <n v="19120"/>
    <s v="OFF-PA-10002749"/>
    <x v="1"/>
    <s v="Paper"/>
    <s v="Wirebound Message Books, 5-1/2 x 4 Forms, 2 or 4 Forms per Page"/>
    <n v="16.056000000000001"/>
    <n v="3"/>
    <n v="0.2"/>
    <n v="5.8202999999999996"/>
  </r>
  <r>
    <n v="201"/>
    <s v="CA-2021-105074"/>
    <n v="24"/>
    <n v="6"/>
    <n v="2021"/>
    <s v="Standard Class"/>
    <s v="MB-17305"/>
    <s v="maria bertelson"/>
    <s v="Consumer"/>
    <s v="United States-Ohio-Akron"/>
    <s v="East"/>
    <n v="44312"/>
    <s v="OFF-PA-10002666"/>
    <x v="1"/>
    <s v="Paper"/>
    <s v="Southworth 25% Cotton Linen-Finish Paper &amp; Envelopes"/>
    <n v="21.744"/>
    <n v="3"/>
    <n v="0.2"/>
    <n v="6.7949999999999999"/>
  </r>
  <r>
    <n v="202"/>
    <s v="CA-2018-133690"/>
    <n v="3"/>
    <n v="8"/>
    <n v="2018"/>
    <s v="First Class"/>
    <s v="BS-11755"/>
    <s v="bruce stewart"/>
    <s v="Consumer"/>
    <s v="United States-Colorado-Denver"/>
    <s v="West"/>
    <n v="80219"/>
    <s v="FUR-TA-10004289"/>
    <x v="0"/>
    <s v="Tables"/>
    <s v="BoxOffice By Design Rectangular and Half-Moon Meeting Room Tables"/>
    <n v="218.75"/>
    <n v="2"/>
    <n v="0.5"/>
    <n v="-161.875"/>
  </r>
  <r>
    <n v="203"/>
    <s v="CA-2018-133690"/>
    <n v="3"/>
    <n v="8"/>
    <n v="2018"/>
    <s v="First Class"/>
    <s v="BS-11755"/>
    <s v="bruce stewart"/>
    <s v="Consumer"/>
    <s v="United States-Colorado-Denver"/>
    <s v="West"/>
    <n v="80219"/>
    <s v="OFF-AP-10003622"/>
    <x v="1"/>
    <s v="Appliances"/>
    <s v="Bravo II Megaboss 12-Amp Hard Body Upright, Replacement Belts, 2 Belts per Pack"/>
    <n v="2.6"/>
    <n v="1"/>
    <n v="0.2"/>
    <n v="0.29249999999999998"/>
  </r>
  <r>
    <n v="204"/>
    <s v="US-2021-116701"/>
    <n v="17"/>
    <n v="12"/>
    <n v="2021"/>
    <s v="Second Class"/>
    <s v="LC-17140"/>
    <s v="logan currie"/>
    <s v="Consumer"/>
    <s v="United States-Texas-Dallas"/>
    <s v="Central"/>
    <n v="75220"/>
    <s v="OFF-AP-10003217"/>
    <x v="1"/>
    <s v="Appliances"/>
    <s v="Eureka Sanitaire Commercial Upright"/>
    <n v="66.284000000000006"/>
    <n v="2"/>
    <n v="0.8"/>
    <n v="-178.96680000000001"/>
  </r>
  <r>
    <n v="205"/>
    <s v="CA-2021-126382"/>
    <n v="3"/>
    <n v="6"/>
    <n v="2021"/>
    <s v="Standard Class"/>
    <s v="HK-14890"/>
    <s v="heather kirkland"/>
    <s v="Corporate"/>
    <s v="United States-Tennessee-Franklin"/>
    <s v="South"/>
    <n v="37064"/>
    <s v="FUR-FU-10002960"/>
    <x v="0"/>
    <s v="Furnishings"/>
    <s v="Eldon 200 Class Desk Accessories, Burgundy"/>
    <n v="35.167999999999999"/>
    <n v="7"/>
    <n v="0.2"/>
    <n v="9.6712000000000007"/>
  </r>
  <r>
    <n v="206"/>
    <s v="CA-2021-108329"/>
    <n v="9"/>
    <n v="12"/>
    <n v="2021"/>
    <s v="Standard Class"/>
    <s v="LE-16810"/>
    <s v="laurel elliston"/>
    <s v="Consumer"/>
    <s v="United States-California-Whittier"/>
    <s v="West"/>
    <n v="90604"/>
    <s v="TEC-PH-10001918"/>
    <x v="2"/>
    <s v="Phones"/>
    <s v="Nortel Business Series Terminal T7208 Digital phone"/>
    <n v="444.76799999999997"/>
    <n v="4"/>
    <n v="0.2"/>
    <n v="44.476799999999997"/>
  </r>
  <r>
    <n v="207"/>
    <s v="CA-2021-135860"/>
    <n v="1"/>
    <n v="12"/>
    <n v="2021"/>
    <s v="Standard Class"/>
    <s v="JH-15985"/>
    <s v="joseph holt"/>
    <s v="Consumer"/>
    <s v="United States-Michigan-Saginaw"/>
    <s v="Central"/>
    <n v="48601"/>
    <s v="OFF-ST-10000642"/>
    <x v="1"/>
    <s v="Storage"/>
    <s v="Tennsco Lockers, Gray"/>
    <n v="83.92"/>
    <n v="4"/>
    <n v="0"/>
    <n v="5.8743999999999996"/>
  </r>
  <r>
    <n v="208"/>
    <s v="CA-2021-135860"/>
    <n v="1"/>
    <n v="12"/>
    <n v="2021"/>
    <s v="Standard Class"/>
    <s v="JH-15985"/>
    <s v="joseph holt"/>
    <s v="Consumer"/>
    <s v="United States-Michigan-Saginaw"/>
    <s v="Central"/>
    <n v="48601"/>
    <s v="TEC-PH-10001700"/>
    <x v="2"/>
    <s v="Phones"/>
    <s v="Panasonic KX-TG6844B Expandable Digital Cordless Telephone"/>
    <n v="131.97999999999999"/>
    <n v="2"/>
    <n v="0"/>
    <n v="35.634599999999999"/>
  </r>
  <r>
    <n v="209"/>
    <s v="CA-2021-135860"/>
    <n v="1"/>
    <n v="12"/>
    <n v="2021"/>
    <s v="Standard Class"/>
    <s v="JH-15985"/>
    <s v="joseph holt"/>
    <s v="Consumer"/>
    <s v="United States-Michigan-Saginaw"/>
    <s v="Central"/>
    <n v="48601"/>
    <s v="OFF-BI-10003274"/>
    <x v="1"/>
    <s v="Binders"/>
    <s v="Avery Durable Slant Ring Binders, No Labels"/>
    <n v="2.3879999999999999"/>
    <n v="2"/>
    <n v="0.7"/>
    <n v="-1.8308"/>
  </r>
  <r>
    <n v="210"/>
    <s v="CA-2021-135860"/>
    <n v="1"/>
    <n v="12"/>
    <n v="2021"/>
    <s v="Standard Class"/>
    <s v="JH-15985"/>
    <s v="joseph holt"/>
    <s v="Consumer"/>
    <s v="United States-Michigan-Saginaw"/>
    <s v="Central"/>
    <n v="48601"/>
    <s v="OFF-FA-10000134"/>
    <x v="1"/>
    <s v="Fasteners"/>
    <s v="Advantus Push Pins, Aluminum Head"/>
    <n v="52.29"/>
    <n v="9"/>
    <n v="0"/>
    <n v="16.209900000000001"/>
  </r>
  <r>
    <n v="211"/>
    <s v="CA-2021-135860"/>
    <n v="1"/>
    <n v="12"/>
    <n v="2021"/>
    <s v="Standard Class"/>
    <s v="JH-15985"/>
    <s v="joseph holt"/>
    <s v="Consumer"/>
    <s v="United States-Michigan-Saginaw"/>
    <s v="Central"/>
    <n v="48601"/>
    <s v="OFF-ST-10001522"/>
    <x v="1"/>
    <s v="Storage"/>
    <s v="Gould Plastics 18-Pocket Panel Bin, 34w x 5-1/4d x 20-1/2h"/>
    <n v="91.99"/>
    <n v="1"/>
    <n v="0"/>
    <n v="3.6796000000000002"/>
  </r>
  <r>
    <n v="212"/>
    <s v="CA-2019-101007"/>
    <n v="9"/>
    <n v="2"/>
    <n v="2019"/>
    <s v="Second Class"/>
    <s v="MS-17980"/>
    <s v="michael stewart"/>
    <s v="Corporate"/>
    <s v="United States-Texas-Dallas"/>
    <s v="Central"/>
    <n v="75220"/>
    <s v="TEC-AC-10001266"/>
    <x v="2"/>
    <s v="Accessories"/>
    <s v="Memorex Micro Travel Drive 8 GB"/>
    <n v="20.8"/>
    <n v="2"/>
    <n v="0.2"/>
    <n v="6.5"/>
  </r>
  <r>
    <n v="213"/>
    <s v="CA-2019-146262"/>
    <n v="2"/>
    <n v="1"/>
    <n v="2019"/>
    <s v="Standard Class"/>
    <s v="VW-21775"/>
    <s v="victoria wilson"/>
    <s v="Corporate"/>
    <s v="United States-Ohio-Medina"/>
    <s v="East"/>
    <n v="44256"/>
    <s v="OFF-LA-10004544"/>
    <x v="1"/>
    <s v="Labels"/>
    <s v="Avery 505"/>
    <n v="23.68"/>
    <n v="2"/>
    <n v="0.2"/>
    <n v="8.8800000000000008"/>
  </r>
  <r>
    <n v="214"/>
    <s v="CA-2019-146262"/>
    <n v="2"/>
    <n v="1"/>
    <n v="2019"/>
    <s v="Standard Class"/>
    <s v="VW-21775"/>
    <s v="victoria wilson"/>
    <s v="Corporate"/>
    <s v="United States-Ohio-Medina"/>
    <s v="East"/>
    <n v="44256"/>
    <s v="FUR-BO-10004695"/>
    <x v="0"/>
    <s v="Bookcases"/>
    <s v="O'Sullivan 2-Door Barrister Bookcase in Odessa Pine"/>
    <n v="452.45"/>
    <n v="5"/>
    <n v="0.5"/>
    <n v="-244.32300000000001"/>
  </r>
  <r>
    <n v="215"/>
    <s v="CA-2019-146262"/>
    <n v="2"/>
    <n v="1"/>
    <n v="2019"/>
    <s v="Standard Class"/>
    <s v="VW-21775"/>
    <s v="victoria wilson"/>
    <s v="Corporate"/>
    <s v="United States-Ohio-Medina"/>
    <s v="East"/>
    <n v="44256"/>
    <s v="TEC-PH-10002844"/>
    <x v="2"/>
    <s v="Phones"/>
    <s v="Speck Products Candyshell Flip Case"/>
    <n v="27.992000000000001"/>
    <n v="1"/>
    <n v="0.2"/>
    <n v="2.0994000000000002"/>
  </r>
  <r>
    <n v="216"/>
    <s v="CA-2019-146262"/>
    <n v="2"/>
    <n v="1"/>
    <n v="2019"/>
    <s v="Standard Class"/>
    <s v="VW-21775"/>
    <s v="victoria wilson"/>
    <s v="Corporate"/>
    <s v="United States-Ohio-Medina"/>
    <s v="East"/>
    <n v="44256"/>
    <s v="TEC-MA-10000864"/>
    <x v="2"/>
    <s v="Machines"/>
    <s v="Cisco 9971 IP Video Phone Charcoal"/>
    <n v="1188"/>
    <n v="9"/>
    <n v="0.7"/>
    <n v="-950.4"/>
  </r>
  <r>
    <n v="217"/>
    <s v="CA-2019-146262"/>
    <n v="2"/>
    <n v="1"/>
    <n v="2019"/>
    <s v="Standard Class"/>
    <s v="VW-21775"/>
    <s v="victoria wilson"/>
    <s v="Corporate"/>
    <s v="United States-Ohio-Medina"/>
    <s v="East"/>
    <n v="44256"/>
    <s v="TEC-AC-10000109"/>
    <x v="2"/>
    <s v="Accessories"/>
    <s v="Sony Micro Vault Click 16 GB USB 2.0 Flash Drive"/>
    <n v="89.584000000000003"/>
    <n v="2"/>
    <n v="0.2"/>
    <n v="4.4791999999999996"/>
  </r>
  <r>
    <n v="218"/>
    <s v="CA-2020-130162"/>
    <n v="28"/>
    <n v="10"/>
    <n v="2020"/>
    <s v="Standard Class"/>
    <s v="JH-15910"/>
    <s v="jonathan howell"/>
    <s v="Consumer"/>
    <s v="United States-California-Los Angeles"/>
    <s v="West"/>
    <n v="90032"/>
    <s v="OFF-ST-10001328"/>
    <x v="1"/>
    <s v="Storage"/>
    <s v="Personal Filing Tote with Lid, Black/Gray"/>
    <n v="37.223999999999997"/>
    <n v="3"/>
    <n v="0.2"/>
    <n v="3.7223999999999999"/>
  </r>
  <r>
    <n v="219"/>
    <s v="CA-2020-130162"/>
    <n v="28"/>
    <n v="10"/>
    <n v="2020"/>
    <s v="Standard Class"/>
    <s v="JH-15910"/>
    <s v="jonathan howell"/>
    <s v="Consumer"/>
    <s v="United States-California-Los Angeles"/>
    <s v="West"/>
    <n v="90032"/>
    <s v="TEC-PH-10002563"/>
    <x v="2"/>
    <s v="Phones"/>
    <s v="Adtran 1202752G1"/>
    <n v="302.37599999999998"/>
    <n v="3"/>
    <n v="0.2"/>
    <n v="22.6782"/>
  </r>
  <r>
    <n v="220"/>
    <s v="CA-2019-169397"/>
    <n v="24"/>
    <n v="12"/>
    <n v="2019"/>
    <s v="First Class"/>
    <s v="JB-15925"/>
    <s v="joni blumstein"/>
    <s v="Consumer"/>
    <s v="United States-Ohio-Dublin"/>
    <s v="East"/>
    <n v="43017"/>
    <s v="OFF-FA-10000585"/>
    <x v="1"/>
    <s v="Fasteners"/>
    <s v="OIC Bulk Pack Metal Binder Clips"/>
    <n v="5.5839999999999996"/>
    <n v="2"/>
    <n v="0.2"/>
    <n v="1.8148"/>
  </r>
  <r>
    <n v="221"/>
    <s v="CA-2019-169397"/>
    <n v="24"/>
    <n v="12"/>
    <n v="2019"/>
    <s v="First Class"/>
    <s v="JB-15925"/>
    <s v="joni blumstein"/>
    <s v="Consumer"/>
    <s v="United States-Ohio-Dublin"/>
    <s v="East"/>
    <n v="43017"/>
    <s v="OFF-PA-10004000"/>
    <x v="1"/>
    <s v="Paper"/>
    <s v="While You Were Out Pads, 50 per Pad, 4 x 5 1/4, Green Cycle"/>
    <n v="22.704000000000001"/>
    <n v="6"/>
    <n v="0.2"/>
    <n v="8.2302"/>
  </r>
  <r>
    <n v="222"/>
    <s v="CA-2019-169397"/>
    <n v="24"/>
    <n v="12"/>
    <n v="2019"/>
    <s v="First Class"/>
    <s v="JB-15925"/>
    <s v="joni blumstein"/>
    <s v="Consumer"/>
    <s v="United States-Ohio-Dublin"/>
    <s v="East"/>
    <n v="43017"/>
    <s v="OFF-BI-10002852"/>
    <x v="1"/>
    <s v="Binders"/>
    <s v="Ibico Standard Transparent Covers"/>
    <n v="32.96"/>
    <n v="2"/>
    <n v="0"/>
    <n v="16.150400000000001"/>
  </r>
  <r>
    <n v="223"/>
    <s v="CA-2019-169397"/>
    <n v="24"/>
    <n v="12"/>
    <n v="2019"/>
    <s v="First Class"/>
    <s v="JB-15925"/>
    <s v="joni blumstein"/>
    <s v="Consumer"/>
    <s v="United States-Ohio-Dublin"/>
    <s v="East"/>
    <n v="43017"/>
    <s v="FUR-FU-10000087"/>
    <x v="0"/>
    <s v="Furnishings"/>
    <s v="Executive Impressions 14&quot; Two-Color Numerals Wall Clock"/>
    <n v="72.703999999999994"/>
    <n v="4"/>
    <n v="0.2"/>
    <n v="19.084800000000001"/>
  </r>
  <r>
    <n v="224"/>
    <s v="CA-2019-169397"/>
    <n v="24"/>
    <n v="12"/>
    <n v="2019"/>
    <s v="First Class"/>
    <s v="JB-15925"/>
    <s v="joni blumstein"/>
    <s v="Consumer"/>
    <s v="United States-Ohio-Dublin"/>
    <s v="East"/>
    <n v="43017"/>
    <s v="TEC-MA-10001148"/>
    <x v="2"/>
    <s v="Machines"/>
    <s v="Swingline SM12-08 MicroCut Jam Free Shredder"/>
    <n v="479.988"/>
    <n v="4"/>
    <n v="0.7"/>
    <n v="-383.99040000000002"/>
  </r>
  <r>
    <n v="225"/>
    <s v="CA-2019-169397"/>
    <n v="24"/>
    <n v="12"/>
    <n v="2019"/>
    <s v="First Class"/>
    <s v="JB-15925"/>
    <s v="joni blumstein"/>
    <s v="Consumer"/>
    <s v="United States-Ohio-Dublin"/>
    <s v="East"/>
    <n v="43017"/>
    <s v="OFF-AR-10001958"/>
    <x v="1"/>
    <s v="Art"/>
    <s v="Stanley Bostitch Contemporary Electric Pencil Sharpeners"/>
    <n v="27.167999999999999"/>
    <n v="2"/>
    <n v="0.2"/>
    <n v="2.7168000000000001"/>
  </r>
  <r>
    <n v="226"/>
    <s v="CA-2019-163055"/>
    <n v="9"/>
    <n v="8"/>
    <n v="2019"/>
    <s v="Standard Class"/>
    <s v="DS-13180"/>
    <s v="david smith"/>
    <s v="Corporate"/>
    <s v="United States-Michigan-Detroit"/>
    <s v="Central"/>
    <n v="48227"/>
    <s v="OFF-AR-10001026"/>
    <x v="1"/>
    <s v="Art"/>
    <s v="Sanford Uni-Blazer View Highlighters, Chisel Tip, Yellow"/>
    <n v="2.2000000000000002"/>
    <n v="1"/>
    <n v="0"/>
    <n v="0.96799999999999997"/>
  </r>
  <r>
    <n v="227"/>
    <s v="CA-2019-163055"/>
    <n v="9"/>
    <n v="8"/>
    <n v="2019"/>
    <s v="Standard Class"/>
    <s v="DS-13180"/>
    <s v="david smith"/>
    <s v="Corporate"/>
    <s v="United States-Michigan-Detroit"/>
    <s v="Central"/>
    <n v="48227"/>
    <s v="FUR-TA-10003748"/>
    <x v="0"/>
    <s v="Tables"/>
    <s v="Bevis 36 x 72 Conference Tables"/>
    <n v="622.45000000000005"/>
    <n v="5"/>
    <n v="0"/>
    <n v="136.93899999999999"/>
  </r>
  <r>
    <n v="228"/>
    <s v="CA-2019-163055"/>
    <n v="9"/>
    <n v="8"/>
    <n v="2019"/>
    <s v="Standard Class"/>
    <s v="DS-13180"/>
    <s v="david smith"/>
    <s v="Corporate"/>
    <s v="United States-Michigan-Detroit"/>
    <s v="Central"/>
    <n v="48227"/>
    <s v="OFF-ST-10002485"/>
    <x v="1"/>
    <s v="Storage"/>
    <s v="Rogers Deluxe File Chest"/>
    <n v="21.98"/>
    <n v="1"/>
    <n v="0"/>
    <n v="0.2198"/>
  </r>
  <r>
    <n v="229"/>
    <s v="US-2019-145436"/>
    <n v="28"/>
    <n v="2"/>
    <n v="2019"/>
    <s v="Standard Class"/>
    <s v="VD-21670"/>
    <s v="valerie dominguez"/>
    <s v="Consumer"/>
    <s v="United States-Tennessee-Columbia"/>
    <s v="South"/>
    <n v="38401"/>
    <s v="FUR-CH-10004860"/>
    <x v="0"/>
    <s v="Chairs"/>
    <s v="Global Low Back Tilter Chair"/>
    <n v="161.56800000000001"/>
    <n v="2"/>
    <n v="0.2"/>
    <n v="-28.2744"/>
  </r>
  <r>
    <n v="230"/>
    <s v="US-2019-145436"/>
    <n v="28"/>
    <n v="2"/>
    <n v="2019"/>
    <s v="Standard Class"/>
    <s v="VD-21670"/>
    <s v="valerie dominguez"/>
    <s v="Consumer"/>
    <s v="United States-Tennessee-Columbia"/>
    <s v="South"/>
    <n v="38401"/>
    <s v="FUR-CH-10004477"/>
    <x v="0"/>
    <s v="Chairs"/>
    <s v="Global Push Button Manager's Chair, Indigo"/>
    <n v="389.69600000000003"/>
    <n v="8"/>
    <n v="0.2"/>
    <n v="43.840800000000002"/>
  </r>
  <r>
    <n v="231"/>
    <s v="US-2018-156216"/>
    <n v="13"/>
    <n v="9"/>
    <n v="2018"/>
    <s v="Standard Class"/>
    <s v="EA-14035"/>
    <s v="erin ashbrook"/>
    <s v="Corporate"/>
    <s v="United States-North Carolina-Charlotte"/>
    <s v="South"/>
    <n v="28205"/>
    <s v="OFF-BI-10001679"/>
    <x v="1"/>
    <s v="Binders"/>
    <s v="GBC Instant Index System for Binding Systems"/>
    <n v="18.648"/>
    <n v="7"/>
    <n v="0.7"/>
    <n v="-12.432"/>
  </r>
  <r>
    <n v="232"/>
    <s v="US-2021-100930"/>
    <n v="7"/>
    <n v="4"/>
    <n v="2021"/>
    <s v="Standard Class"/>
    <s v="CS-12400"/>
    <s v="christopher schild"/>
    <s v="Home Office"/>
    <s v="United States-Florida-Tampa"/>
    <s v="South"/>
    <n v="33614"/>
    <s v="FUR-TA-10001705"/>
    <x v="0"/>
    <s v="Tables"/>
    <s v="Bush Advantage Collection Round Conference Table"/>
    <n v="233.86"/>
    <n v="2"/>
    <n v="0.45"/>
    <n v="-102.048"/>
  </r>
  <r>
    <n v="233"/>
    <s v="US-2021-100930"/>
    <n v="7"/>
    <n v="4"/>
    <n v="2021"/>
    <s v="Standard Class"/>
    <s v="CS-12400"/>
    <s v="christopher schild"/>
    <s v="Home Office"/>
    <s v="United States-Florida-Tampa"/>
    <s v="South"/>
    <n v="33614"/>
    <s v="FUR-TA-10003473"/>
    <x v="0"/>
    <s v="Tables"/>
    <s v="Bretford Rectangular Conference Table Tops"/>
    <n v="620.61450000000002"/>
    <n v="3"/>
    <n v="0.45"/>
    <n v="-248.2458"/>
  </r>
  <r>
    <n v="234"/>
    <s v="US-2021-100930"/>
    <n v="7"/>
    <n v="4"/>
    <n v="2021"/>
    <s v="Standard Class"/>
    <s v="CS-12400"/>
    <s v="christopher schild"/>
    <s v="Home Office"/>
    <s v="United States-Florida-Tampa"/>
    <s v="South"/>
    <n v="33614"/>
    <s v="OFF-BI-10001679"/>
    <x v="1"/>
    <s v="Binders"/>
    <s v="GBC Instant Index System for Binding Systems"/>
    <n v="18.648"/>
    <n v="7"/>
    <n v="0.7"/>
    <n v="-12.432"/>
  </r>
  <r>
    <n v="235"/>
    <s v="US-2021-100930"/>
    <n v="7"/>
    <n v="4"/>
    <n v="2021"/>
    <s v="Standard Class"/>
    <s v="CS-12400"/>
    <s v="christopher schild"/>
    <s v="Home Office"/>
    <s v="United States-Florida-Tampa"/>
    <s v="South"/>
    <n v="33614"/>
    <s v="FUR-FU-10004017"/>
    <x v="0"/>
    <s v="Furnishings"/>
    <s v="Tenex Contemporary Contur Chairmats for Low and Medium Pile Carpet, Computer, 39&quot; x 49&quot;"/>
    <n v="258.072"/>
    <n v="3"/>
    <n v="0.2"/>
    <n v="0"/>
  </r>
  <r>
    <n v="236"/>
    <s v="US-2021-100930"/>
    <n v="7"/>
    <n v="4"/>
    <n v="2021"/>
    <s v="Standard Class"/>
    <s v="CS-12400"/>
    <s v="christopher schild"/>
    <s v="Home Office"/>
    <s v="United States-Florida-Tampa"/>
    <s v="South"/>
    <n v="33614"/>
    <s v="TEC-AC-10003832"/>
    <x v="2"/>
    <s v="Accessories"/>
    <s v="Logitech P710e Mobile Speakerphone"/>
    <n v="617.976"/>
    <n v="3"/>
    <n v="0.2"/>
    <n v="-7.7247000000000003"/>
  </r>
  <r>
    <n v="237"/>
    <s v="CA-2021-160514"/>
    <n v="12"/>
    <n v="11"/>
    <n v="2021"/>
    <s v="Standard Class"/>
    <s v="DB-13120"/>
    <s v="david bremer"/>
    <s v="Corporate"/>
    <s v="United States-California-Santa Clara"/>
    <s v="West"/>
    <n v="95051"/>
    <s v="OFF-PA-10002479"/>
    <x v="1"/>
    <s v="Paper"/>
    <s v="Xerox 4200 Series MultiUse Premium Copy Paper (20Lb. and 84 Bright)"/>
    <n v="10.56"/>
    <n v="2"/>
    <n v="0"/>
    <n v="4.7519999999999998"/>
  </r>
  <r>
    <n v="238"/>
    <s v="CA-2020-157749"/>
    <n v="4"/>
    <n v="6"/>
    <n v="2020"/>
    <s v="Second Class"/>
    <s v="KL-16645"/>
    <s v="ken lonsdale"/>
    <s v="Consumer"/>
    <s v="United States-Illinois-Chicago"/>
    <s v="Central"/>
    <n v="60610"/>
    <s v="OFF-PA-10003349"/>
    <x v="1"/>
    <s v="Paper"/>
    <s v="Xerox 1957"/>
    <n v="25.92"/>
    <n v="5"/>
    <n v="0.2"/>
    <n v="9.3960000000000008"/>
  </r>
  <r>
    <n v="239"/>
    <s v="CA-2020-157749"/>
    <n v="4"/>
    <n v="6"/>
    <n v="2020"/>
    <s v="Second Class"/>
    <s v="KL-16645"/>
    <s v="ken lonsdale"/>
    <s v="Consumer"/>
    <s v="United States-Illinois-Chicago"/>
    <s v="Central"/>
    <n v="60610"/>
    <s v="FUR-FU-10000576"/>
    <x v="0"/>
    <s v="Furnishings"/>
    <s v="Luxo Professional Fluorescent Magnifier Lamp with Clamp-Mount Base"/>
    <n v="419.68"/>
    <n v="5"/>
    <n v="0.6"/>
    <n v="-356.72800000000001"/>
  </r>
  <r>
    <n v="240"/>
    <s v="CA-2020-157749"/>
    <n v="4"/>
    <n v="6"/>
    <n v="2020"/>
    <s v="Second Class"/>
    <s v="KL-16645"/>
    <s v="ken lonsdale"/>
    <s v="Consumer"/>
    <s v="United States-Illinois-Chicago"/>
    <s v="Central"/>
    <n v="60610"/>
    <s v="FUR-FU-10004351"/>
    <x v="0"/>
    <s v="Furnishings"/>
    <s v="Staple-based wall hangings"/>
    <n v="11.688000000000001"/>
    <n v="3"/>
    <n v="0.6"/>
    <n v="-4.6752000000000002"/>
  </r>
  <r>
    <n v="241"/>
    <s v="CA-2020-157749"/>
    <n v="4"/>
    <n v="6"/>
    <n v="2020"/>
    <s v="Second Class"/>
    <s v="KL-16645"/>
    <s v="ken lonsdale"/>
    <s v="Consumer"/>
    <s v="United States-Illinois-Chicago"/>
    <s v="Central"/>
    <n v="60610"/>
    <s v="TEC-PH-10000011"/>
    <x v="2"/>
    <s v="Phones"/>
    <s v="PureGear Roll-On Screen Protector"/>
    <n v="31.984000000000002"/>
    <n v="2"/>
    <n v="0.2"/>
    <n v="11.1944"/>
  </r>
  <r>
    <n v="242"/>
    <s v="CA-2020-157749"/>
    <n v="4"/>
    <n v="6"/>
    <n v="2020"/>
    <s v="Second Class"/>
    <s v="KL-16645"/>
    <s v="ken lonsdale"/>
    <s v="Consumer"/>
    <s v="United States-Illinois-Chicago"/>
    <s v="Central"/>
    <n v="60610"/>
    <s v="FUR-TA-10002607"/>
    <x v="0"/>
    <s v="Tables"/>
    <s v="KI Conference Tables"/>
    <n v="177.22499999999999"/>
    <n v="5"/>
    <n v="0.5"/>
    <n v="-120.51300000000001"/>
  </r>
  <r>
    <n v="243"/>
    <s v="CA-2020-157749"/>
    <n v="4"/>
    <n v="6"/>
    <n v="2020"/>
    <s v="Second Class"/>
    <s v="KL-16645"/>
    <s v="ken lonsdale"/>
    <s v="Consumer"/>
    <s v="United States-Illinois-Chicago"/>
    <s v="Central"/>
    <n v="60610"/>
    <s v="FUR-FU-10002505"/>
    <x v="0"/>
    <s v="Furnishings"/>
    <s v="Eldon 100 Class Desk Accessories"/>
    <n v="4.0439999999999996"/>
    <n v="3"/>
    <n v="0.6"/>
    <n v="-2.8308"/>
  </r>
  <r>
    <n v="244"/>
    <s v="CA-2020-157749"/>
    <n v="4"/>
    <n v="6"/>
    <n v="2020"/>
    <s v="Second Class"/>
    <s v="KL-16645"/>
    <s v="ken lonsdale"/>
    <s v="Consumer"/>
    <s v="United States-Illinois-Chicago"/>
    <s v="Central"/>
    <n v="60610"/>
    <s v="OFF-AR-10004685"/>
    <x v="1"/>
    <s v="Art"/>
    <s v="Binney &amp; Smith Crayola Metallic Colored Pencils, 8-Color Set"/>
    <n v="7.4080000000000004"/>
    <n v="2"/>
    <n v="0.2"/>
    <n v="1.2038"/>
  </r>
  <r>
    <n v="245"/>
    <s v="CA-2018-131926"/>
    <n v="1"/>
    <n v="6"/>
    <n v="2018"/>
    <s v="Second Class"/>
    <s v="DW-13480"/>
    <s v="dianna wilson"/>
    <s v="Home Office"/>
    <s v="United States-Minnesota-Lakeville"/>
    <s v="Central"/>
    <n v="55044"/>
    <s v="FUR-CH-10004063"/>
    <x v="0"/>
    <s v="Chairs"/>
    <s v="Global Deluxe High-Back Manager's Chair"/>
    <n v="600.55799999999999"/>
    <n v="3"/>
    <n v="0.3"/>
    <n v="-8.5793999999999997"/>
  </r>
  <r>
    <n v="246"/>
    <s v="CA-2018-131926"/>
    <n v="1"/>
    <n v="6"/>
    <n v="2018"/>
    <s v="Second Class"/>
    <s v="DW-13480"/>
    <s v="dianna wilson"/>
    <s v="Home Office"/>
    <s v="United States-Minnesota-Lakeville"/>
    <s v="Central"/>
    <n v="55044"/>
    <s v="OFF-ST-10002276"/>
    <x v="1"/>
    <s v="Storage"/>
    <s v="Safco Steel Mobile File Cart"/>
    <n v="166.72"/>
    <n v="2"/>
    <n v="0"/>
    <n v="41.68"/>
  </r>
  <r>
    <n v="247"/>
    <s v="CA-2018-131926"/>
    <n v="1"/>
    <n v="6"/>
    <n v="2018"/>
    <s v="Second Class"/>
    <s v="DW-13480"/>
    <s v="dianna wilson"/>
    <s v="Home Office"/>
    <s v="United States-Minnesota-Lakeville"/>
    <s v="Central"/>
    <n v="55044"/>
    <s v="OFF-PA-10004082"/>
    <x v="1"/>
    <s v="Paper"/>
    <s v="Adams Telephone Message Book w/Frequently-Called Numbers Space, 400 Messages per Book"/>
    <n v="47.88"/>
    <n v="6"/>
    <n v="0"/>
    <n v="23.94"/>
  </r>
  <r>
    <n v="248"/>
    <s v="CA-2018-131926"/>
    <n v="1"/>
    <n v="6"/>
    <n v="2018"/>
    <s v="Second Class"/>
    <s v="DW-13480"/>
    <s v="dianna wilson"/>
    <s v="Home Office"/>
    <s v="United States-Minnesota-Lakeville"/>
    <s v="Central"/>
    <n v="55044"/>
    <s v="OFF-AP-10002945"/>
    <x v="1"/>
    <s v="Appliances"/>
    <s v="Honeywell Enviracaire Portable HEPA Air Cleaner for 17' x 22' Room"/>
    <n v="1503.25"/>
    <n v="5"/>
    <n v="0"/>
    <n v="496.07249999999999"/>
  </r>
  <r>
    <n v="249"/>
    <s v="CA-2018-131926"/>
    <n v="1"/>
    <n v="6"/>
    <n v="2018"/>
    <s v="Second Class"/>
    <s v="DW-13480"/>
    <s v="dianna wilson"/>
    <s v="Home Office"/>
    <s v="United States-Minnesota-Lakeville"/>
    <s v="Central"/>
    <n v="55044"/>
    <s v="OFF-PA-10000061"/>
    <x v="1"/>
    <s v="Paper"/>
    <s v="Xerox 205"/>
    <n v="51.84"/>
    <n v="8"/>
    <n v="0"/>
    <n v="24.883199999999999"/>
  </r>
  <r>
    <n v="250"/>
    <s v="CA-2020-154739"/>
    <n v="10"/>
    <n v="12"/>
    <n v="2020"/>
    <s v="Second Class"/>
    <s v="LH-17155"/>
    <s v="logan haushalter"/>
    <s v="Consumer"/>
    <s v="United States-California-San Francisco"/>
    <s v="West"/>
    <n v="94109"/>
    <s v="FUR-CH-10002965"/>
    <x v="0"/>
    <s v="Chairs"/>
    <s v="Global Leather Highback Executive Chair with Pneumatic Height Adjustment, Black"/>
    <n v="321.56799999999998"/>
    <n v="2"/>
    <n v="0.2"/>
    <n v="28.1372"/>
  </r>
  <r>
    <n v="251"/>
    <s v="CA-2020-145625"/>
    <n v="11"/>
    <n v="9"/>
    <n v="2020"/>
    <s v="Standard Class"/>
    <s v="KC-16540"/>
    <s v="kelly collister"/>
    <s v="Consumer"/>
    <s v="United States-California-San Diego"/>
    <s v="West"/>
    <n v="92037"/>
    <s v="OFF-PA-10004569"/>
    <x v="1"/>
    <s v="Paper"/>
    <s v="Wirebound Message Books, Two 4 1/4&quot; x 5&quot; Forms per Page"/>
    <n v="7.61"/>
    <n v="1"/>
    <n v="0"/>
    <n v="3.5767000000000002"/>
  </r>
  <r>
    <n v="252"/>
    <s v="CA-2020-145625"/>
    <n v="11"/>
    <n v="9"/>
    <n v="2020"/>
    <s v="Standard Class"/>
    <s v="KC-16540"/>
    <s v="kelly collister"/>
    <s v="Consumer"/>
    <s v="United States-California-San Diego"/>
    <s v="West"/>
    <n v="92037"/>
    <s v="TEC-AC-10003832"/>
    <x v="2"/>
    <s v="Accessories"/>
    <s v="Logitech P710e Mobile Speakerphone"/>
    <n v="617.976"/>
    <n v="3"/>
    <n v="0.2"/>
    <n v="-7.7247000000000003"/>
  </r>
  <r>
    <n v="253"/>
    <s v="CA-2020-146941"/>
    <n v="10"/>
    <n v="12"/>
    <n v="2020"/>
    <s v="First Class"/>
    <s v="DL-13315"/>
    <s v="delfina latchford"/>
    <s v="Consumer"/>
    <s v="United States-New York-New York City"/>
    <s v="East"/>
    <n v="10024"/>
    <s v="OFF-ST-10001228"/>
    <x v="1"/>
    <s v="Storage"/>
    <s v="Fellowes Personal Hanging Folder Files, Navy"/>
    <n v="80.58"/>
    <n v="6"/>
    <n v="0"/>
    <n v="22.5624"/>
  </r>
  <r>
    <n v="254"/>
    <s v="CA-2020-146941"/>
    <n v="10"/>
    <n v="12"/>
    <n v="2020"/>
    <s v="First Class"/>
    <s v="DL-13315"/>
    <s v="delfina latchford"/>
    <s v="Consumer"/>
    <s v="United States-New York-New York City"/>
    <s v="East"/>
    <n v="10024"/>
    <s v="OFF-EN-10003296"/>
    <x v="1"/>
    <s v="Envelopes"/>
    <s v="Tyvek Side-Opening Peel &amp; Seel Expanding Envelopes"/>
    <n v="361.92"/>
    <n v="4"/>
    <n v="0"/>
    <n v="162.864"/>
  </r>
  <r>
    <n v="255"/>
    <s v="US-2019-159982"/>
    <n v="28"/>
    <n v="11"/>
    <n v="2019"/>
    <s v="Standard Class"/>
    <s v="DR-12880"/>
    <s v="dan reichenbach"/>
    <s v="Corporate"/>
    <s v="United States-Illinois-Chicago"/>
    <s v="Central"/>
    <n v="60623"/>
    <s v="FUR-FU-10002505"/>
    <x v="0"/>
    <s v="Furnishings"/>
    <s v="Eldon 100 Class Desk Accessories"/>
    <n v="4.0439999999999996"/>
    <n v="3"/>
    <n v="0.6"/>
    <n v="-2.8308"/>
  </r>
  <r>
    <n v="256"/>
    <s v="US-2019-159982"/>
    <n v="28"/>
    <n v="11"/>
    <n v="2019"/>
    <s v="Standard Class"/>
    <s v="DR-12880"/>
    <s v="dan reichenbach"/>
    <s v="Corporate"/>
    <s v="United States-Illinois-Chicago"/>
    <s v="Central"/>
    <n v="60623"/>
    <s v="OFF-ST-10004804"/>
    <x v="1"/>
    <s v="Storage"/>
    <s v="Belkin 19&quot; Vented Equipment Shelf, Black"/>
    <n v="82.367999999999995"/>
    <n v="2"/>
    <n v="0.2"/>
    <n v="-19.5624"/>
  </r>
  <r>
    <n v="257"/>
    <s v="US-2019-159982"/>
    <n v="28"/>
    <n v="11"/>
    <n v="2019"/>
    <s v="Standard Class"/>
    <s v="DR-12880"/>
    <s v="dan reichenbach"/>
    <s v="Corporate"/>
    <s v="United States-Illinois-Chicago"/>
    <s v="Central"/>
    <n v="60623"/>
    <s v="OFF-ST-10001590"/>
    <x v="1"/>
    <s v="Storage"/>
    <s v="Tenex Personal Project File with Scoop Front Design, Black"/>
    <n v="80.88"/>
    <n v="6"/>
    <n v="0"/>
    <n v="21.0288"/>
  </r>
  <r>
    <n v="258"/>
    <s v="US-2019-159982"/>
    <n v="28"/>
    <n v="11"/>
    <n v="2019"/>
    <s v="Standard Class"/>
    <s v="DR-12880"/>
    <s v="dan reichenbach"/>
    <s v="Corporate"/>
    <s v="United States-Illinois-Chicago"/>
    <s v="Central"/>
    <n v="60623"/>
    <s v="TEC-PH-10001580"/>
    <x v="2"/>
    <s v="Phones"/>
    <s v="Logitech Mobile Speakerphone P710e - speaker phone"/>
    <n v="647.904"/>
    <n v="6"/>
    <n v="0.2"/>
    <n v="56.691600000000001"/>
  </r>
  <r>
    <n v="259"/>
    <s v="CA-2021-163139"/>
    <n v="1"/>
    <n v="12"/>
    <n v="2021"/>
    <s v="Second Class"/>
    <s v="CC-12670"/>
    <s v="craig carreira"/>
    <s v="Consumer"/>
    <s v="United States-New York-New York City"/>
    <s v="East"/>
    <n v="10009"/>
    <s v="TEC-AC-10000290"/>
    <x v="2"/>
    <s v="Accessories"/>
    <s v="Sabrent 4-Port USB 2.0 Hub"/>
    <n v="20.37"/>
    <n v="3"/>
    <n v="0"/>
    <n v="6.9257999999999997"/>
  </r>
  <r>
    <n v="260"/>
    <s v="CA-2021-163139"/>
    <n v="1"/>
    <n v="12"/>
    <n v="2021"/>
    <s v="Second Class"/>
    <s v="CC-12670"/>
    <s v="craig carreira"/>
    <s v="Consumer"/>
    <s v="United States-New York-New York City"/>
    <s v="East"/>
    <n v="10009"/>
    <s v="OFF-ST-10002790"/>
    <x v="1"/>
    <s v="Storage"/>
    <s v="Safco Industrial Shelving"/>
    <n v="221.55"/>
    <n v="3"/>
    <n v="0"/>
    <n v="6.6464999999999996"/>
  </r>
  <r>
    <n v="261"/>
    <s v="CA-2021-163139"/>
    <n v="1"/>
    <n v="12"/>
    <n v="2021"/>
    <s v="Second Class"/>
    <s v="CC-12670"/>
    <s v="craig carreira"/>
    <s v="Consumer"/>
    <s v="United States-New York-New York City"/>
    <s v="East"/>
    <n v="10009"/>
    <s v="OFF-BI-10003460"/>
    <x v="1"/>
    <s v="Binders"/>
    <s v="Acco 3-Hole Punch"/>
    <n v="17.52"/>
    <n v="5"/>
    <n v="0.2"/>
    <n v="6.1319999999999997"/>
  </r>
  <r>
    <n v="262"/>
    <s v="US-2021-155299"/>
    <n v="8"/>
    <n v="6"/>
    <n v="2021"/>
    <s v="Standard Class"/>
    <s v="Dl-13600"/>
    <s v="dorris liebe"/>
    <s v="Corporate"/>
    <s v="United States-Texas-Pasadena"/>
    <s v="Central"/>
    <n v="77506"/>
    <s v="OFF-AP-10002203"/>
    <x v="1"/>
    <s v="Appliances"/>
    <s v="Eureka Disposable Bags for Sanitaire Vibra Groomer I Upright Vac"/>
    <n v="1.6240000000000001"/>
    <n v="2"/>
    <n v="0.8"/>
    <n v="-4.4660000000000002"/>
  </r>
  <r>
    <n v="263"/>
    <s v="US-2018-106992"/>
    <n v="19"/>
    <n v="9"/>
    <n v="2018"/>
    <s v="Second Class"/>
    <s v="SB-20290"/>
    <s v="sean braxton"/>
    <s v="Corporate"/>
    <s v="United States-Texas-Houston"/>
    <s v="Central"/>
    <n v="77036"/>
    <s v="TEC-MA-10000822"/>
    <x v="2"/>
    <s v="Machines"/>
    <s v="Lexmark MX611dhe Monochrome Laser Printer"/>
    <n v="8159.9520000000002"/>
    <n v="8"/>
    <n v="0.4"/>
    <n v="-1359.992"/>
  </r>
  <r>
    <n v="264"/>
    <s v="US-2018-106992"/>
    <n v="19"/>
    <n v="9"/>
    <n v="2018"/>
    <s v="Second Class"/>
    <s v="SB-20290"/>
    <s v="sean braxton"/>
    <s v="Corporate"/>
    <s v="United States-Texas-Houston"/>
    <s v="Central"/>
    <n v="77036"/>
    <s v="TEC-MA-10003353"/>
    <x v="2"/>
    <s v="Machines"/>
    <s v="Xerox WorkCentre 6505DN Laser Multifunction Printer"/>
    <n v="2519.9580000000001"/>
    <n v="7"/>
    <n v="0.4"/>
    <n v="-251.9958"/>
  </r>
  <r>
    <n v="265"/>
    <s v="CA-2020-125318"/>
    <n v="6"/>
    <n v="6"/>
    <n v="2020"/>
    <s v="Standard Class"/>
    <s v="RC-19825"/>
    <s v="roy collins"/>
    <s v="Consumer"/>
    <s v="United States-Illinois-Chicago"/>
    <s v="Central"/>
    <n v="60610"/>
    <s v="TEC-PH-10001433"/>
    <x v="2"/>
    <s v="Phones"/>
    <s v="Cisco Small Business SPA 502G VoIP phone"/>
    <n v="328.22399999999999"/>
    <n v="4"/>
    <n v="0.2"/>
    <n v="28.7196"/>
  </r>
  <r>
    <n v="266"/>
    <s v="CA-2019-155040"/>
    <n v="10"/>
    <n v="11"/>
    <n v="2019"/>
    <s v="Standard Class"/>
    <s v="AH-10210"/>
    <s v="alan hwang"/>
    <s v="Consumer"/>
    <s v="United States-California-Brentwood"/>
    <s v="West"/>
    <n v="94513"/>
    <s v="TEC-AC-10004469"/>
    <x v="2"/>
    <s v="Accessories"/>
    <s v="Microsoft Sculpt Comfort Mouse"/>
    <n v="79.900000000000006"/>
    <n v="2"/>
    <n v="0"/>
    <n v="35.155999999999999"/>
  </r>
  <r>
    <n v="267"/>
    <s v="CA-2021-136826"/>
    <n v="16"/>
    <n v="6"/>
    <n v="2021"/>
    <s v="Standard Class"/>
    <s v="CB-12535"/>
    <s v="claudia bergmann"/>
    <s v="Corporate"/>
    <s v="United States-North Carolina-Chapel Hill"/>
    <s v="South"/>
    <n v="27514"/>
    <s v="OFF-AR-10003602"/>
    <x v="1"/>
    <s v="Art"/>
    <s v="Quartet Omega Colored Chalk, 12/Pack"/>
    <n v="14.016"/>
    <n v="3"/>
    <n v="0.2"/>
    <n v="4.7304000000000004"/>
  </r>
  <r>
    <n v="268"/>
    <s v="CA-2020-111010"/>
    <n v="22"/>
    <n v="1"/>
    <n v="2020"/>
    <s v="Standard Class"/>
    <s v="PG-18895"/>
    <s v="paul gonzalez"/>
    <s v="Consumer"/>
    <s v="United States-New Jersey-Morristown"/>
    <s v="East"/>
    <n v="7960"/>
    <s v="OFF-FA-10003472"/>
    <x v="1"/>
    <s v="Fasteners"/>
    <s v="Bagged Rubber Bands"/>
    <n v="7.56"/>
    <n v="6"/>
    <n v="0"/>
    <n v="0.3024"/>
  </r>
  <r>
    <n v="269"/>
    <s v="US-2021-145366"/>
    <n v="9"/>
    <n v="12"/>
    <n v="2021"/>
    <s v="Standard Class"/>
    <s v="CA-12310"/>
    <s v="christine abelman"/>
    <s v="Corporate"/>
    <s v="United States-Ohio-Cincinnati"/>
    <s v="East"/>
    <n v="45231"/>
    <s v="OFF-ST-10004180"/>
    <x v="1"/>
    <s v="Storage"/>
    <s v="Safco Commercial Shelving"/>
    <n v="37.207999999999998"/>
    <n v="1"/>
    <n v="0.2"/>
    <n v="-7.4416000000000002"/>
  </r>
  <r>
    <n v="270"/>
    <s v="US-2021-145366"/>
    <n v="9"/>
    <n v="12"/>
    <n v="2021"/>
    <s v="Standard Class"/>
    <s v="CA-12310"/>
    <s v="christine abelman"/>
    <s v="Corporate"/>
    <s v="United States-Ohio-Cincinnati"/>
    <s v="East"/>
    <n v="45231"/>
    <s v="OFF-EN-10004386"/>
    <x v="1"/>
    <s v="Envelopes"/>
    <s v="Recycled Interoffice Envelopes with String and Button Closure, 10 x 13"/>
    <n v="57.576000000000001"/>
    <n v="3"/>
    <n v="0.2"/>
    <n v="21.591000000000001"/>
  </r>
  <r>
    <n v="271"/>
    <s v="CA-2021-163979"/>
    <n v="28"/>
    <n v="12"/>
    <n v="2021"/>
    <s v="Second Class"/>
    <s v="KH-16690"/>
    <s v="kristen hastings"/>
    <s v="Corporate"/>
    <s v="United States-California-San Francisco"/>
    <s v="West"/>
    <n v="94110"/>
    <s v="OFF-ST-10003208"/>
    <x v="1"/>
    <s v="Storage"/>
    <s v="Adjustable Depth Letter/Legal Cart"/>
    <n v="725.84"/>
    <n v="4"/>
    <n v="0"/>
    <n v="210.49359999999999"/>
  </r>
  <r>
    <n v="272"/>
    <s v="CA-2019-155334"/>
    <n v="30"/>
    <n v="7"/>
    <n v="2019"/>
    <s v="First Class"/>
    <s v="HA-14920"/>
    <s v="helen andreada"/>
    <s v="Consumer"/>
    <s v="United States-California-San Francisco"/>
    <s v="West"/>
    <n v="94109"/>
    <s v="TEC-AC-10003628"/>
    <x v="2"/>
    <s v="Accessories"/>
    <s v="Logitech 910-002974 M325 Wireless Mouse for Web Scrolling"/>
    <n v="209.93"/>
    <n v="7"/>
    <n v="0"/>
    <n v="92.369200000000006"/>
  </r>
  <r>
    <n v="273"/>
    <s v="CA-2019-155334"/>
    <n v="30"/>
    <n v="7"/>
    <n v="2019"/>
    <s v="First Class"/>
    <s v="HA-14920"/>
    <s v="helen andreada"/>
    <s v="Consumer"/>
    <s v="United States-California-San Francisco"/>
    <s v="West"/>
    <n v="94109"/>
    <s v="FUR-FU-10003274"/>
    <x v="0"/>
    <s v="Furnishings"/>
    <s v="Regeneration Desk Collection"/>
    <n v="5.28"/>
    <n v="3"/>
    <n v="0"/>
    <n v="2.3231999999999999"/>
  </r>
  <r>
    <n v="274"/>
    <s v="CA-2019-155334"/>
    <n v="30"/>
    <n v="7"/>
    <n v="2019"/>
    <s v="First Class"/>
    <s v="HA-14920"/>
    <s v="helen andreada"/>
    <s v="Consumer"/>
    <s v="United States-California-San Francisco"/>
    <s v="West"/>
    <n v="94109"/>
    <s v="OFF-BI-10002557"/>
    <x v="1"/>
    <s v="Binders"/>
    <s v="Presstex Flexible Ring Binders"/>
    <n v="10.92"/>
    <n v="3"/>
    <n v="0.2"/>
    <n v="4.0949999999999998"/>
  </r>
  <r>
    <n v="275"/>
    <s v="CA-2021-118136"/>
    <n v="16"/>
    <n v="9"/>
    <n v="2021"/>
    <s v="First Class"/>
    <s v="BB-10990"/>
    <s v="barry blumstein"/>
    <s v="Corporate"/>
    <s v="United States-California-Inglewood"/>
    <s v="West"/>
    <n v="90301"/>
    <s v="OFF-PA-10002615"/>
    <x v="1"/>
    <s v="Paper"/>
    <s v="Ampad Gold Fibre Wirebound Steno Books, 6&quot; x 9&quot;, Gregg Ruled"/>
    <n v="8.82"/>
    <n v="2"/>
    <n v="0"/>
    <n v="4.0571999999999999"/>
  </r>
  <r>
    <n v="276"/>
    <s v="CA-2021-118136"/>
    <n v="16"/>
    <n v="9"/>
    <n v="2021"/>
    <s v="First Class"/>
    <s v="BB-10990"/>
    <s v="barry blumstein"/>
    <s v="Corporate"/>
    <s v="United States-California-Inglewood"/>
    <s v="West"/>
    <n v="90301"/>
    <s v="OFF-AR-10001427"/>
    <x v="1"/>
    <s v="Art"/>
    <s v="Newell 330"/>
    <n v="5.98"/>
    <n v="1"/>
    <n v="0"/>
    <n v="1.5548"/>
  </r>
  <r>
    <n v="277"/>
    <s v="CA-2021-132976"/>
    <n v="13"/>
    <n v="10"/>
    <n v="2021"/>
    <s v="Standard Class"/>
    <s v="AG-10495"/>
    <s v="andrew gjertsen"/>
    <s v="Corporate"/>
    <s v="United States-Pennsylvania-Philadelphia"/>
    <s v="East"/>
    <n v="19140"/>
    <s v="OFF-PA-10000673"/>
    <x v="1"/>
    <s v="Paper"/>
    <s v="Post-it “Important Message” Note Pad, Neon Colors, 50 Sheets/Pad"/>
    <n v="11.648"/>
    <n v="2"/>
    <n v="0.2"/>
    <n v="4.0768000000000004"/>
  </r>
  <r>
    <n v="278"/>
    <s v="CA-2021-132976"/>
    <n v="13"/>
    <n v="10"/>
    <n v="2021"/>
    <s v="Standard Class"/>
    <s v="AG-10495"/>
    <s v="andrew gjertsen"/>
    <s v="Corporate"/>
    <s v="United States-Pennsylvania-Philadelphia"/>
    <s v="East"/>
    <n v="19140"/>
    <s v="OFF-PA-10004470"/>
    <x v="1"/>
    <s v="Paper"/>
    <s v="Adams Write n' Stick Phone Message Book, 11&quot; X 5 1/4&quot;, 200 Messages"/>
    <n v="18.175999999999998"/>
    <n v="4"/>
    <n v="0.2"/>
    <n v="5.9071999999999996"/>
  </r>
  <r>
    <n v="279"/>
    <s v="CA-2021-132976"/>
    <n v="13"/>
    <n v="10"/>
    <n v="2021"/>
    <s v="Standard Class"/>
    <s v="AG-10495"/>
    <s v="andrew gjertsen"/>
    <s v="Corporate"/>
    <s v="United States-Pennsylvania-Philadelphia"/>
    <s v="East"/>
    <n v="19140"/>
    <s v="OFF-ST-10000876"/>
    <x v="1"/>
    <s v="Storage"/>
    <s v="Eldon Simplefile Box Office"/>
    <n v="59.712000000000003"/>
    <n v="6"/>
    <n v="0.2"/>
    <n v="5.9711999999999996"/>
  </r>
  <r>
    <n v="280"/>
    <s v="CA-2021-132976"/>
    <n v="13"/>
    <n v="10"/>
    <n v="2021"/>
    <s v="Standard Class"/>
    <s v="AG-10495"/>
    <s v="andrew gjertsen"/>
    <s v="Corporate"/>
    <s v="United States-Pennsylvania-Philadelphia"/>
    <s v="East"/>
    <n v="19140"/>
    <s v="OFF-LA-10002043"/>
    <x v="1"/>
    <s v="Labels"/>
    <s v="Avery 489"/>
    <n v="24.84"/>
    <n v="3"/>
    <n v="0.2"/>
    <n v="8.6940000000000008"/>
  </r>
  <r>
    <n v="281"/>
    <s v="US-2019-161991"/>
    <n v="26"/>
    <n v="9"/>
    <n v="2019"/>
    <s v="Second Class"/>
    <s v="SC-20725"/>
    <s v="steven cartwright"/>
    <s v="Consumer"/>
    <s v="United States-Texas-Houston"/>
    <s v="Central"/>
    <n v="77070"/>
    <s v="OFF-BI-10004967"/>
    <x v="1"/>
    <s v="Binders"/>
    <s v="Round Ring Binders"/>
    <n v="2.08"/>
    <n v="5"/>
    <n v="0.8"/>
    <n v="-3.4319999999999999"/>
  </r>
  <r>
    <n v="282"/>
    <s v="US-2019-161991"/>
    <n v="26"/>
    <n v="9"/>
    <n v="2019"/>
    <s v="Second Class"/>
    <s v="SC-20725"/>
    <s v="steven cartwright"/>
    <s v="Consumer"/>
    <s v="United States-Texas-Houston"/>
    <s v="Central"/>
    <n v="77070"/>
    <s v="TEC-PH-10001760"/>
    <x v="2"/>
    <s v="Phones"/>
    <s v="Bose SoundLink Bluetooth Speaker"/>
    <n v="1114.4000000000001"/>
    <n v="7"/>
    <n v="0.2"/>
    <n v="376.11"/>
  </r>
  <r>
    <n v="283"/>
    <s v="CA-2019-130890"/>
    <n v="2"/>
    <n v="11"/>
    <n v="2019"/>
    <s v="Standard Class"/>
    <s v="JO-15280"/>
    <s v="jas o'carroll"/>
    <s v="Consumer"/>
    <s v="United States-California-Los Angeles"/>
    <s v="West"/>
    <n v="90004"/>
    <s v="FUR-TA-10002903"/>
    <x v="0"/>
    <s v="Tables"/>
    <s v="Bevis Round Bullnose 29&quot; High Table Top"/>
    <n v="1038.8399999999999"/>
    <n v="5"/>
    <n v="0.2"/>
    <n v="51.942"/>
  </r>
  <r>
    <n v="284"/>
    <s v="CA-2019-130883"/>
    <n v="26"/>
    <n v="9"/>
    <n v="2019"/>
    <s v="Standard Class"/>
    <s v="TB-21520"/>
    <s v="tracy blumstein"/>
    <s v="Consumer"/>
    <s v="United States-Oregon-Portland"/>
    <s v="West"/>
    <n v="97206"/>
    <s v="OFF-PA-10000474"/>
    <x v="1"/>
    <s v="Paper"/>
    <s v="Easy-staple paper"/>
    <n v="29.472000000000001"/>
    <n v="3"/>
    <n v="0.2"/>
    <n v="9.9467999999999996"/>
  </r>
  <r>
    <n v="285"/>
    <s v="CA-2019-130883"/>
    <n v="26"/>
    <n v="9"/>
    <n v="2019"/>
    <s v="Standard Class"/>
    <s v="TB-21520"/>
    <s v="tracy blumstein"/>
    <s v="Consumer"/>
    <s v="United States-Oregon-Portland"/>
    <s v="West"/>
    <n v="97206"/>
    <s v="TEC-AC-10001956"/>
    <x v="2"/>
    <s v="Accessories"/>
    <s v="Microsoft Arc Touch Mouse"/>
    <n v="239.8"/>
    <n v="5"/>
    <n v="0.2"/>
    <n v="47.96"/>
  </r>
  <r>
    <n v="286"/>
    <s v="CA-2019-130883"/>
    <n v="26"/>
    <n v="9"/>
    <n v="2019"/>
    <s v="Standard Class"/>
    <s v="TB-21520"/>
    <s v="tracy blumstein"/>
    <s v="Consumer"/>
    <s v="United States-Oregon-Portland"/>
    <s v="West"/>
    <n v="97206"/>
    <s v="OFF-PA-10004100"/>
    <x v="1"/>
    <s v="Paper"/>
    <s v="Xerox 216"/>
    <n v="31.103999999999999"/>
    <n v="6"/>
    <n v="0.2"/>
    <n v="10.8864"/>
  </r>
  <r>
    <n v="287"/>
    <s v="CA-2020-112697"/>
    <n v="18"/>
    <n v="12"/>
    <n v="2020"/>
    <s v="Second Class"/>
    <s v="AH-10195"/>
    <s v="alan haines"/>
    <s v="Corporate"/>
    <s v="United States-Florida-Tamarac"/>
    <s v="South"/>
    <n v="33319"/>
    <s v="OFF-BI-10000778"/>
    <x v="1"/>
    <s v="Binders"/>
    <s v="GBC VeloBinder Electric Binding Machine"/>
    <n v="254.05799999999999"/>
    <n v="7"/>
    <n v="0.7"/>
    <n v="-169.37200000000001"/>
  </r>
  <r>
    <n v="288"/>
    <s v="CA-2020-112697"/>
    <n v="18"/>
    <n v="12"/>
    <n v="2020"/>
    <s v="Second Class"/>
    <s v="AH-10195"/>
    <s v="alan haines"/>
    <s v="Corporate"/>
    <s v="United States-Florida-Tamarac"/>
    <s v="South"/>
    <n v="33319"/>
    <s v="OFF-AP-10002684"/>
    <x v="1"/>
    <s v="Appliances"/>
    <s v="Acco 7-Outlet Masterpiece Power Center, Wihtout Fax/Phone Line Protection"/>
    <n v="97.263999999999996"/>
    <n v="4"/>
    <n v="0.8"/>
    <n v="-243.16"/>
  </r>
  <r>
    <n v="289"/>
    <s v="CA-2020-112697"/>
    <n v="18"/>
    <n v="12"/>
    <n v="2020"/>
    <s v="Second Class"/>
    <s v="AH-10195"/>
    <s v="alan haines"/>
    <s v="Corporate"/>
    <s v="United States-Florida-Tamarac"/>
    <s v="South"/>
    <n v="33319"/>
    <s v="OFF-SU-10000646"/>
    <x v="1"/>
    <s v="Supplies"/>
    <s v="Premier Automatic Letter Opener"/>
    <n v="961.48"/>
    <n v="5"/>
    <n v="0.2"/>
    <n v="-204.31450000000001"/>
  </r>
  <r>
    <n v="290"/>
    <s v="CA-2020-110772"/>
    <n v="20"/>
    <n v="11"/>
    <n v="2020"/>
    <s v="Second Class"/>
    <s v="NZ-18565"/>
    <s v="nick zandusky"/>
    <s v="Home Office"/>
    <s v="United States-Ohio-Columbus"/>
    <s v="East"/>
    <n v="43229"/>
    <s v="OFF-FA-10002983"/>
    <x v="1"/>
    <s v="Fasteners"/>
    <s v="Advantus SlideClip Paper Clips"/>
    <n v="19.096"/>
    <n v="7"/>
    <n v="0.2"/>
    <n v="6.6836000000000002"/>
  </r>
  <r>
    <n v="291"/>
    <s v="CA-2020-110772"/>
    <n v="20"/>
    <n v="11"/>
    <n v="2020"/>
    <s v="Second Class"/>
    <s v="NZ-18565"/>
    <s v="nick zandusky"/>
    <s v="Home Office"/>
    <s v="United States-Ohio-Columbus"/>
    <s v="East"/>
    <n v="43229"/>
    <s v="OFF-LA-10004689"/>
    <x v="1"/>
    <s v="Labels"/>
    <s v="Avery 512"/>
    <n v="18.495999999999999"/>
    <n v="8"/>
    <n v="0.2"/>
    <n v="6.2423999999999999"/>
  </r>
  <r>
    <n v="292"/>
    <s v="CA-2020-110772"/>
    <n v="20"/>
    <n v="11"/>
    <n v="2020"/>
    <s v="Second Class"/>
    <s v="NZ-18565"/>
    <s v="nick zandusky"/>
    <s v="Home Office"/>
    <s v="United States-Ohio-Columbus"/>
    <s v="East"/>
    <n v="43229"/>
    <s v="TEC-AC-10002001"/>
    <x v="2"/>
    <s v="Accessories"/>
    <s v="Logitech Wireless Gaming Headset G930"/>
    <n v="255.98400000000001"/>
    <n v="2"/>
    <n v="0.2"/>
    <n v="54.396599999999999"/>
  </r>
  <r>
    <n v="293"/>
    <s v="CA-2020-110772"/>
    <n v="20"/>
    <n v="11"/>
    <n v="2020"/>
    <s v="Second Class"/>
    <s v="NZ-18565"/>
    <s v="nick zandusky"/>
    <s v="Home Office"/>
    <s v="United States-Ohio-Columbus"/>
    <s v="East"/>
    <n v="43229"/>
    <s v="FUR-BO-10004709"/>
    <x v="0"/>
    <s v="Bookcases"/>
    <s v="Bush Westfield Collection Bookcases, Medium Cherry Finish"/>
    <n v="86.97"/>
    <n v="3"/>
    <n v="0.5"/>
    <n v="-48.703200000000002"/>
  </r>
  <r>
    <n v="294"/>
    <s v="CA-2018-111451"/>
    <n v="26"/>
    <n v="12"/>
    <n v="2018"/>
    <s v="First Class"/>
    <s v="KL-16555"/>
    <s v="kelly lampkin"/>
    <s v="Corporate"/>
    <s v="United States-Colorado-Colorado Springs"/>
    <s v="West"/>
    <n v="80906"/>
    <s v="FUR-FU-10004091"/>
    <x v="0"/>
    <s v="Furnishings"/>
    <s v="Howard Miller 13&quot; Diameter Goldtone Round Wall Clock"/>
    <n v="300.416"/>
    <n v="8"/>
    <n v="0.2"/>
    <n v="78.859200000000001"/>
  </r>
  <r>
    <n v="295"/>
    <s v="CA-2018-111451"/>
    <n v="26"/>
    <n v="12"/>
    <n v="2018"/>
    <s v="First Class"/>
    <s v="KL-16555"/>
    <s v="kelly lampkin"/>
    <s v="Corporate"/>
    <s v="United States-Colorado-Colorado Springs"/>
    <s v="West"/>
    <n v="80906"/>
    <s v="FUR-CH-10001891"/>
    <x v="0"/>
    <s v="Chairs"/>
    <s v="Global Deluxe Office Fabric Chairs"/>
    <n v="230.352"/>
    <n v="3"/>
    <n v="0.2"/>
    <n v="20.155799999999999"/>
  </r>
  <r>
    <n v="296"/>
    <s v="CA-2018-111451"/>
    <n v="26"/>
    <n v="12"/>
    <n v="2018"/>
    <s v="First Class"/>
    <s v="KL-16555"/>
    <s v="kelly lampkin"/>
    <s v="Corporate"/>
    <s v="United States-Colorado-Colorado Springs"/>
    <s v="West"/>
    <n v="80906"/>
    <s v="FUR-FU-10002918"/>
    <x v="0"/>
    <s v="Furnishings"/>
    <s v="Eldon ClusterMat Chair Mat with Cordless Antistatic Protection"/>
    <n v="218.352"/>
    <n v="3"/>
    <n v="0.2"/>
    <n v="-24.564599999999999"/>
  </r>
  <r>
    <n v="297"/>
    <s v="CA-2018-111451"/>
    <n v="26"/>
    <n v="12"/>
    <n v="2018"/>
    <s v="First Class"/>
    <s v="KL-16555"/>
    <s v="kelly lampkin"/>
    <s v="Corporate"/>
    <s v="United States-Colorado-Colorado Springs"/>
    <s v="West"/>
    <n v="80906"/>
    <s v="OFF-BI-10004593"/>
    <x v="1"/>
    <s v="Binders"/>
    <s v="Ibico Laser Imprintable Binding System Covers"/>
    <n v="78.599999999999994"/>
    <n v="5"/>
    <n v="0.7"/>
    <n v="-62.88"/>
  </r>
  <r>
    <n v="298"/>
    <s v="CA-2018-111451"/>
    <n v="26"/>
    <n v="12"/>
    <n v="2018"/>
    <s v="First Class"/>
    <s v="KL-16555"/>
    <s v="kelly lampkin"/>
    <s v="Corporate"/>
    <s v="United States-Colorado-Colorado Springs"/>
    <s v="West"/>
    <n v="80906"/>
    <s v="OFF-FA-10004854"/>
    <x v="1"/>
    <s v="Fasteners"/>
    <s v="Vinyl Coated Wire Paper Clips in Organizer Box, 800/Box"/>
    <n v="27.552"/>
    <n v="3"/>
    <n v="0.2"/>
    <n v="9.2988"/>
  </r>
  <r>
    <n v="299"/>
    <s v="CA-2020-142545"/>
    <n v="28"/>
    <n v="10"/>
    <n v="2020"/>
    <s v="Standard Class"/>
    <s v="JD-15895"/>
    <s v="jonathan doherty"/>
    <s v="Corporate"/>
    <s v="United States-New Jersey-Belleville"/>
    <s v="East"/>
    <n v="7109"/>
    <s v="OFF-PA-10002105"/>
    <x v="1"/>
    <s v="Paper"/>
    <s v="Xerox 223"/>
    <n v="32.4"/>
    <n v="5"/>
    <n v="0"/>
    <n v="15.552"/>
  </r>
  <r>
    <n v="300"/>
    <s v="CA-2020-142545"/>
    <n v="28"/>
    <n v="10"/>
    <n v="2020"/>
    <s v="Standard Class"/>
    <s v="JD-15895"/>
    <s v="jonathan doherty"/>
    <s v="Corporate"/>
    <s v="United States-New Jersey-Belleville"/>
    <s v="East"/>
    <n v="7109"/>
    <s v="OFF-ST-10002756"/>
    <x v="1"/>
    <s v="Storage"/>
    <s v="Tennsco Stur-D-Stor Boltless Shelving, 5 Shelves, 24&quot; Deep, Sand"/>
    <n v="1082.48"/>
    <n v="8"/>
    <n v="0"/>
    <n v="10.8248"/>
  </r>
  <r>
    <n v="300"/>
    <s v="CA-2020-142545"/>
    <n v="28"/>
    <n v="10"/>
    <n v="2020"/>
    <s v="Standard Class"/>
    <s v="JD-15895"/>
    <s v="jonathan doherty"/>
    <s v="Corporate"/>
    <s v="United States-New Jersey-Belleville"/>
    <s v="East"/>
    <n v="7109"/>
    <s v="OFF-ST-10002756"/>
    <x v="1"/>
    <s v="Storage"/>
    <s v="Tennsco Stur-D-Stor Boltless Shelving, 5 Shelves, 24&quot; Deep, Sand"/>
    <n v="1082.48"/>
    <n v="8"/>
    <n v="0"/>
    <n v="10.8248"/>
  </r>
  <r>
    <n v="301"/>
    <s v="CA-2020-142545"/>
    <n v="28"/>
    <n v="10"/>
    <n v="2020"/>
    <s v="Standard Class"/>
    <s v="JD-15895"/>
    <s v="jonathan doherty"/>
    <s v="Corporate"/>
    <s v="United States-New Jersey-Belleville"/>
    <s v="East"/>
    <n v="7109"/>
    <s v="OFF-PA-10004243"/>
    <x v="1"/>
    <s v="Paper"/>
    <s v="Xerox 1939"/>
    <n v="56.91"/>
    <n v="3"/>
    <n v="0"/>
    <n v="27.316800000000001"/>
  </r>
  <r>
    <n v="302"/>
    <s v="CA-2020-142545"/>
    <n v="28"/>
    <n v="10"/>
    <n v="2020"/>
    <s v="Standard Class"/>
    <s v="JD-15895"/>
    <s v="jonathan doherty"/>
    <s v="Corporate"/>
    <s v="United States-New Jersey-Belleville"/>
    <s v="East"/>
    <n v="7109"/>
    <s v="FUR-FU-10001861"/>
    <x v="0"/>
    <s v="Furnishings"/>
    <s v="Floodlight Indoor Halogen Bulbs, 1 Bulb per Pack, 60 Watts"/>
    <n v="77.599999999999994"/>
    <n v="4"/>
    <n v="0"/>
    <n v="38.024000000000001"/>
  </r>
  <r>
    <n v="303"/>
    <s v="CA-2020-142545"/>
    <n v="28"/>
    <n v="10"/>
    <n v="2020"/>
    <s v="Standard Class"/>
    <s v="JD-15895"/>
    <s v="jonathan doherty"/>
    <s v="Corporate"/>
    <s v="United States-New Jersey-Belleville"/>
    <s v="East"/>
    <n v="7109"/>
    <s v="OFF-BI-10002706"/>
    <x v="1"/>
    <s v="Binders"/>
    <s v="Avery Premier Heavy-Duty Binder with Round Locking Rings"/>
    <n v="14.28"/>
    <n v="1"/>
    <n v="0"/>
    <n v="6.5688000000000004"/>
  </r>
  <r>
    <n v="304"/>
    <s v="US-2021-152380"/>
    <n v="19"/>
    <n v="11"/>
    <n v="2021"/>
    <s v="Standard Class"/>
    <s v="JH-15910"/>
    <s v="jonathan howell"/>
    <s v="Consumer"/>
    <s v="United States-Illinois-Chicago"/>
    <s v="Central"/>
    <n v="60623"/>
    <s v="FUR-TA-10002533"/>
    <x v="0"/>
    <s v="Tables"/>
    <s v="BPI Conference Tables"/>
    <n v="219.07499999999999"/>
    <n v="3"/>
    <n v="0.5"/>
    <n v="-131.44499999999999"/>
  </r>
  <r>
    <n v="305"/>
    <s v="CA-2019-144253"/>
    <n v="4"/>
    <n v="5"/>
    <n v="2019"/>
    <s v="Second Class"/>
    <s v="AS-10225"/>
    <s v="alan schoenberger"/>
    <s v="Corporate"/>
    <s v="United States-New York-New York City"/>
    <s v="East"/>
    <n v="10024"/>
    <s v="FUR-FU-10002671"/>
    <x v="0"/>
    <s v="Furnishings"/>
    <s v="Electrix 20W Halogen Replacement Bulb for Zoom-In Desk Lamp"/>
    <n v="26.8"/>
    <n v="2"/>
    <n v="0"/>
    <n v="12.864000000000001"/>
  </r>
  <r>
    <n v="306"/>
    <s v="CA-2018-130960"/>
    <n v="30"/>
    <n v="12"/>
    <n v="2018"/>
    <s v="Standard Class"/>
    <s v="KB-16600"/>
    <s v="ken brennan"/>
    <s v="Corporate"/>
    <s v="United States-Michigan-Taylor"/>
    <s v="Central"/>
    <n v="48180"/>
    <s v="OFF-AR-10003651"/>
    <x v="1"/>
    <s v="Art"/>
    <s v="Newell 350"/>
    <n v="9.84"/>
    <n v="3"/>
    <n v="0"/>
    <n v="2.8536000000000001"/>
  </r>
  <r>
    <n v="307"/>
    <s v="CA-2018-111003"/>
    <n v="1"/>
    <n v="6"/>
    <n v="2018"/>
    <s v="Standard Class"/>
    <s v="CR-12625"/>
    <s v="corey roper"/>
    <s v="Home Office"/>
    <s v="United States-New Jersey-Lakewood"/>
    <s v="East"/>
    <n v="8701"/>
    <s v="OFF-BI-10001072"/>
    <x v="1"/>
    <s v="Binders"/>
    <s v="GBC Clear Cover, 8-1/2 x 11, unpunched, 25 covers per pack"/>
    <n v="45.48"/>
    <n v="3"/>
    <n v="0"/>
    <n v="20.9208"/>
  </r>
  <r>
    <n v="308"/>
    <s v="CA-2018-111003"/>
    <n v="1"/>
    <n v="6"/>
    <n v="2018"/>
    <s v="Standard Class"/>
    <s v="CR-12625"/>
    <s v="corey roper"/>
    <s v="Home Office"/>
    <s v="United States-New Jersey-Lakewood"/>
    <s v="East"/>
    <n v="8701"/>
    <s v="OFF-AR-10002135"/>
    <x v="1"/>
    <s v="Art"/>
    <s v="Boston Heavy-Duty Trimline Electric Pencil Sharpeners"/>
    <n v="289.2"/>
    <n v="6"/>
    <n v="0"/>
    <n v="83.867999999999995"/>
  </r>
  <r>
    <n v="309"/>
    <s v="CA-2021-126774"/>
    <n v="15"/>
    <n v="4"/>
    <n v="2021"/>
    <s v="First Class"/>
    <s v="SH-20395"/>
    <s v="shahid hopkins"/>
    <s v="Consumer"/>
    <s v="United States-Virginia-Arlington"/>
    <s v="South"/>
    <n v="22204"/>
    <s v="OFF-AR-10002804"/>
    <x v="1"/>
    <s v="Art"/>
    <s v="Faber Castell Col-Erase Pencils"/>
    <n v="4.8899999999999997"/>
    <n v="1"/>
    <n v="0"/>
    <n v="2.0049000000000001"/>
  </r>
  <r>
    <n v="310"/>
    <s v="CA-2020-142902"/>
    <n v="12"/>
    <n v="9"/>
    <n v="2020"/>
    <s v="Second Class"/>
    <s v="BP-11185"/>
    <s v="ben peterman"/>
    <s v="Corporate"/>
    <s v="United States-Colorado-Arvada"/>
    <s v="West"/>
    <n v="80004"/>
    <s v="FUR-FU-10001918"/>
    <x v="0"/>
    <s v="Furnishings"/>
    <s v="C-Line Cubicle Keepers Polyproplyene Holder With Velcro Backings"/>
    <n v="15.135999999999999"/>
    <n v="4"/>
    <n v="0.2"/>
    <n v="3.5948000000000002"/>
  </r>
  <r>
    <n v="311"/>
    <s v="CA-2020-142902"/>
    <n v="12"/>
    <n v="9"/>
    <n v="2020"/>
    <s v="Second Class"/>
    <s v="BP-11185"/>
    <s v="ben peterman"/>
    <s v="Corporate"/>
    <s v="United States-Colorado-Arvada"/>
    <s v="West"/>
    <n v="80004"/>
    <s v="FUR-CH-10004086"/>
    <x v="0"/>
    <s v="Chairs"/>
    <s v="Hon 4070 Series Pagoda Armless Upholstered Stacking Chairs"/>
    <n v="466.76799999999997"/>
    <n v="2"/>
    <n v="0.2"/>
    <n v="52.511400000000002"/>
  </r>
  <r>
    <n v="312"/>
    <s v="CA-2020-142902"/>
    <n v="12"/>
    <n v="9"/>
    <n v="2020"/>
    <s v="Second Class"/>
    <s v="BP-11185"/>
    <s v="ben peterman"/>
    <s v="Corporate"/>
    <s v="United States-Colorado-Arvada"/>
    <s v="West"/>
    <n v="80004"/>
    <s v="FUR-FU-10001756"/>
    <x v="0"/>
    <s v="Furnishings"/>
    <s v="Eldon Expressions Desk Accessory, Wood Photo Frame, Mahogany"/>
    <n v="15.231999999999999"/>
    <n v="1"/>
    <n v="0.2"/>
    <n v="1.7136"/>
  </r>
  <r>
    <n v="313"/>
    <s v="CA-2020-142902"/>
    <n v="12"/>
    <n v="9"/>
    <n v="2020"/>
    <s v="Second Class"/>
    <s v="BP-11185"/>
    <s v="ben peterman"/>
    <s v="Corporate"/>
    <s v="United States-Colorado-Arvada"/>
    <s v="West"/>
    <n v="80004"/>
    <s v="OFF-LA-10000634"/>
    <x v="1"/>
    <s v="Labels"/>
    <s v="Avery 509"/>
    <n v="6.2640000000000002"/>
    <n v="3"/>
    <n v="0.2"/>
    <n v="2.0358000000000001"/>
  </r>
  <r>
    <n v="314"/>
    <s v="CA-2018-120887"/>
    <n v="27"/>
    <n v="9"/>
    <n v="2018"/>
    <s v="Standard Class"/>
    <s v="TS-21205"/>
    <s v="thomas seio"/>
    <s v="Corporate"/>
    <s v="United States-New Jersey-Hackensack"/>
    <s v="East"/>
    <n v="7601"/>
    <s v="FUR-FU-10001588"/>
    <x v="0"/>
    <s v="Furnishings"/>
    <s v="Deflect-o SuperTray Unbreakable Stackable Tray, Letter, Black"/>
    <n v="87.54"/>
    <n v="3"/>
    <n v="0"/>
    <n v="37.642200000000003"/>
  </r>
  <r>
    <n v="315"/>
    <s v="CA-2018-167850"/>
    <n v="9"/>
    <n v="8"/>
    <n v="2018"/>
    <s v="Standard Class"/>
    <s v="AG-10525"/>
    <s v="andy gerbode"/>
    <s v="Corporate"/>
    <s v="United States-Florida-Saint Petersburg"/>
    <s v="South"/>
    <n v="33710"/>
    <s v="TEC-PH-10002398"/>
    <x v="2"/>
    <s v="Phones"/>
    <s v="AT&amp;T 1070 Corded Phone"/>
    <n v="178.38399999999999"/>
    <n v="2"/>
    <n v="0.2"/>
    <n v="22.297999999999998"/>
  </r>
  <r>
    <n v="316"/>
    <s v="CA-2018-167850"/>
    <n v="9"/>
    <n v="8"/>
    <n v="2018"/>
    <s v="Standard Class"/>
    <s v="AG-10525"/>
    <s v="andy gerbode"/>
    <s v="Corporate"/>
    <s v="United States-Florida-Saint Petersburg"/>
    <s v="South"/>
    <n v="33710"/>
    <s v="OFF-PA-10001937"/>
    <x v="1"/>
    <s v="Paper"/>
    <s v="Xerox 21"/>
    <n v="15.552"/>
    <n v="3"/>
    <n v="0.2"/>
    <n v="5.4432"/>
  </r>
  <r>
    <n v="317"/>
    <s v="CA-2018-164259"/>
    <n v="28"/>
    <n v="12"/>
    <n v="2018"/>
    <s v="First Class"/>
    <s v="SP-20860"/>
    <s v="sung pak"/>
    <s v="Corporate"/>
    <s v="United States-Pennsylvania-Philadelphia"/>
    <s v="East"/>
    <n v="19143"/>
    <s v="OFF-AR-10003373"/>
    <x v="1"/>
    <s v="Art"/>
    <s v="Boston School Pro Electric Pencil Sharpener, 1670"/>
    <n v="99.135999999999996"/>
    <n v="4"/>
    <n v="0.2"/>
    <n v="8.6744000000000003"/>
  </r>
  <r>
    <n v="318"/>
    <s v="CA-2018-164973"/>
    <n v="4"/>
    <n v="11"/>
    <n v="2018"/>
    <s v="Standard Class"/>
    <s v="NM-18445"/>
    <s v="nathan mautz"/>
    <s v="Home Office"/>
    <s v="United States-New York-New York City"/>
    <s v="East"/>
    <n v="10024"/>
    <s v="FUR-CH-10002602"/>
    <x v="0"/>
    <s v="Chairs"/>
    <s v="DMI Arturo Collection Mission-style Design Wood Chair"/>
    <n v="135.88200000000001"/>
    <n v="1"/>
    <n v="0.1"/>
    <n v="24.1568"/>
  </r>
  <r>
    <n v="319"/>
    <s v="CA-2018-164973"/>
    <n v="4"/>
    <n v="11"/>
    <n v="2018"/>
    <s v="Standard Class"/>
    <s v="NM-18445"/>
    <s v="nathan mautz"/>
    <s v="Home Office"/>
    <s v="United States-New York-New York City"/>
    <s v="East"/>
    <n v="10024"/>
    <s v="TEC-MA-10002927"/>
    <x v="2"/>
    <s v="Machines"/>
    <s v="Canon imageCLASS MF7460 Monochrome Digital Laser Multifunction Copier"/>
    <n v="3991.98"/>
    <n v="2"/>
    <n v="0"/>
    <n v="1995.99"/>
  </r>
  <r>
    <n v="320"/>
    <s v="CA-2018-164973"/>
    <n v="4"/>
    <n v="11"/>
    <n v="2018"/>
    <s v="Standard Class"/>
    <s v="NM-18445"/>
    <s v="nathan mautz"/>
    <s v="Home Office"/>
    <s v="United States-New York-New York City"/>
    <s v="East"/>
    <n v="10024"/>
    <s v="TEC-PH-10004093"/>
    <x v="2"/>
    <s v="Phones"/>
    <s v="Panasonic Kx-TS550"/>
    <n v="147.16800000000001"/>
    <n v="4"/>
    <n v="0.2"/>
    <n v="16.5564"/>
  </r>
  <r>
    <n v="321"/>
    <s v="CA-2018-164973"/>
    <n v="4"/>
    <n v="11"/>
    <n v="2018"/>
    <s v="Standard Class"/>
    <s v="NM-18445"/>
    <s v="nathan mautz"/>
    <s v="Home Office"/>
    <s v="United States-New York-New York City"/>
    <s v="East"/>
    <n v="10024"/>
    <s v="TEC-AC-10000892"/>
    <x v="2"/>
    <s v="Accessories"/>
    <s v="NETGEAR N750 Dual Band Wi-Fi Gigabit Router"/>
    <n v="360"/>
    <n v="4"/>
    <n v="0"/>
    <n v="129.6"/>
  </r>
  <r>
    <n v="322"/>
    <s v="CA-2018-164973"/>
    <n v="4"/>
    <n v="11"/>
    <n v="2018"/>
    <s v="Standard Class"/>
    <s v="NM-18445"/>
    <s v="nathan mautz"/>
    <s v="Home Office"/>
    <s v="United States-New York-New York City"/>
    <s v="East"/>
    <n v="10024"/>
    <s v="OFF-ST-10002974"/>
    <x v="1"/>
    <s v="Storage"/>
    <s v="Trav-L-File Heavy-Duty Shuttle II, Black"/>
    <n v="243.99199999999999"/>
    <n v="7"/>
    <n v="0.2"/>
    <n v="30.498999999999999"/>
  </r>
  <r>
    <n v="323"/>
    <s v="CA-2018-156601"/>
    <n v="19"/>
    <n v="9"/>
    <n v="2018"/>
    <s v="Standard Class"/>
    <s v="FA-14230"/>
    <s v="frank atkinson"/>
    <s v="Corporate"/>
    <s v="United States-California-Long Beach"/>
    <s v="West"/>
    <n v="90805"/>
    <s v="OFF-FA-10000624"/>
    <x v="1"/>
    <s v="Fasteners"/>
    <s v="OIC Binder Clips"/>
    <n v="7.16"/>
    <n v="2"/>
    <n v="0"/>
    <n v="3.58"/>
  </r>
  <r>
    <n v="324"/>
    <s v="CA-2020-162138"/>
    <n v="23"/>
    <n v="4"/>
    <n v="2020"/>
    <s v="Standard Class"/>
    <s v="GK-14620"/>
    <s v="grace kelly"/>
    <s v="Corporate"/>
    <s v="United States-California-Hesperia"/>
    <s v="West"/>
    <n v="92345"/>
    <s v="OFF-BI-10004593"/>
    <x v="1"/>
    <s v="Binders"/>
    <s v="Ibico Laser Imprintable Binding System Covers"/>
    <n v="78.599999999999994"/>
    <n v="5"/>
    <n v="0.7"/>
    <n v="-62.88"/>
  </r>
  <r>
    <n v="325"/>
    <s v="CA-2020-162138"/>
    <n v="23"/>
    <n v="4"/>
    <n v="2020"/>
    <s v="Standard Class"/>
    <s v="GK-14620"/>
    <s v="grace kelly"/>
    <s v="Corporate"/>
    <s v="United States-California-Hesperia"/>
    <s v="West"/>
    <n v="92345"/>
    <s v="TEC-AC-10001908"/>
    <x v="2"/>
    <s v="Accessories"/>
    <s v="Logitech Wireless Headset h800"/>
    <n v="99.99"/>
    <n v="1"/>
    <n v="0"/>
    <n v="34.996499999999997"/>
  </r>
  <r>
    <n v="326"/>
    <s v="CA-2021-153339"/>
    <n v="3"/>
    <n v="11"/>
    <n v="2021"/>
    <s v="Second Class"/>
    <s v="DJ-13510"/>
    <s v="don jones"/>
    <s v="Corporate"/>
    <s v="United States-Tennessee-Murfreesboro"/>
    <s v="South"/>
    <n v="37130"/>
    <s v="FUR-FU-10001967"/>
    <x v="0"/>
    <s v="Furnishings"/>
    <s v="Telescoping Adjustable Floor Lamp"/>
    <n v="15.992000000000001"/>
    <n v="1"/>
    <n v="0.2"/>
    <n v="0.99950000000000006"/>
  </r>
  <r>
    <n v="327"/>
    <s v="US-2020-141544"/>
    <n v="30"/>
    <n v="8"/>
    <n v="2020"/>
    <s v="First Class"/>
    <s v="PO-18850"/>
    <s v="patrick o'brill"/>
    <s v="Consumer"/>
    <s v="United States-Pennsylvania-Philadelphia"/>
    <s v="East"/>
    <n v="19143"/>
    <s v="TEC-PH-10003645"/>
    <x v="2"/>
    <s v="Phones"/>
    <s v="Aastra 57i VoIP phone"/>
    <n v="290.89800000000002"/>
    <n v="3"/>
    <n v="0.4"/>
    <n v="-67.876199999999997"/>
  </r>
  <r>
    <n v="328"/>
    <s v="US-2020-141544"/>
    <n v="30"/>
    <n v="8"/>
    <n v="2020"/>
    <s v="First Class"/>
    <s v="PO-18850"/>
    <s v="patrick o'brill"/>
    <s v="Consumer"/>
    <s v="United States-Pennsylvania-Philadelphia"/>
    <s v="East"/>
    <n v="19143"/>
    <s v="OFF-ST-10000675"/>
    <x v="1"/>
    <s v="Storage"/>
    <s v="File Shuttle II and Handi-File, Black"/>
    <n v="54.223999999999997"/>
    <n v="2"/>
    <n v="0.2"/>
    <n v="3.3889999999999998"/>
  </r>
  <r>
    <n v="329"/>
    <s v="US-2020-141544"/>
    <n v="30"/>
    <n v="8"/>
    <n v="2020"/>
    <s v="First Class"/>
    <s v="PO-18850"/>
    <s v="patrick o'brill"/>
    <s v="Consumer"/>
    <s v="United States-Pennsylvania-Philadelphia"/>
    <s v="East"/>
    <n v="19143"/>
    <s v="FUR-CH-10003312"/>
    <x v="0"/>
    <s v="Chairs"/>
    <s v="Hon 2090 “Pillow Soft” Series Mid Back Swivel/Tilt Chairs"/>
    <n v="786.74400000000003"/>
    <n v="4"/>
    <n v="0.3"/>
    <n v="-258.5016"/>
  </r>
  <r>
    <n v="330"/>
    <s v="US-2020-141544"/>
    <n v="30"/>
    <n v="8"/>
    <n v="2020"/>
    <s v="First Class"/>
    <s v="PO-18850"/>
    <s v="patrick o'brill"/>
    <s v="Consumer"/>
    <s v="United States-Pennsylvania-Philadelphia"/>
    <s v="East"/>
    <n v="19143"/>
    <s v="OFF-LA-10001074"/>
    <x v="1"/>
    <s v="Labels"/>
    <s v="Round Specialty Laser Printer Labels"/>
    <n v="100.24"/>
    <n v="10"/>
    <n v="0.2"/>
    <n v="33.831000000000003"/>
  </r>
  <r>
    <n v="331"/>
    <s v="US-2020-141544"/>
    <n v="30"/>
    <n v="8"/>
    <n v="2020"/>
    <s v="First Class"/>
    <s v="PO-18850"/>
    <s v="patrick o'brill"/>
    <s v="Consumer"/>
    <s v="United States-Pennsylvania-Philadelphia"/>
    <s v="East"/>
    <n v="19143"/>
    <s v="OFF-BI-10001524"/>
    <x v="1"/>
    <s v="Binders"/>
    <s v="GBC Premium Transparent Covers with Diagonal Lined Pattern"/>
    <n v="37.764000000000003"/>
    <n v="6"/>
    <n v="0.7"/>
    <n v="-27.6936"/>
  </r>
  <r>
    <n v="332"/>
    <s v="US-2020-150147"/>
    <n v="25"/>
    <n v="4"/>
    <n v="2020"/>
    <s v="Second Class"/>
    <s v="JL-15850"/>
    <s v="john lucas"/>
    <s v="Consumer"/>
    <s v="United States-Pennsylvania-Philadelphia"/>
    <s v="East"/>
    <n v="19134"/>
    <s v="TEC-PH-10004614"/>
    <x v="2"/>
    <s v="Phones"/>
    <s v="AT&amp;T 841000 Phone"/>
    <n v="82.8"/>
    <n v="2"/>
    <n v="0.4"/>
    <n v="-20.7"/>
  </r>
  <r>
    <n v="333"/>
    <s v="US-2020-150147"/>
    <n v="25"/>
    <n v="4"/>
    <n v="2020"/>
    <s v="Second Class"/>
    <s v="JL-15850"/>
    <s v="john lucas"/>
    <s v="Consumer"/>
    <s v="United States-Pennsylvania-Philadelphia"/>
    <s v="East"/>
    <n v="19134"/>
    <s v="OFF-BI-10001153"/>
    <x v="1"/>
    <s v="Binders"/>
    <s v="Ibico Recycled Grain-Textured Covers"/>
    <n v="20.724"/>
    <n v="2"/>
    <n v="0.7"/>
    <n v="-13.816000000000001"/>
  </r>
  <r>
    <n v="334"/>
    <s v="US-2020-150147"/>
    <n v="25"/>
    <n v="4"/>
    <n v="2020"/>
    <s v="Second Class"/>
    <s v="JL-15850"/>
    <s v="john lucas"/>
    <s v="Consumer"/>
    <s v="United States-Pennsylvania-Philadelphia"/>
    <s v="East"/>
    <n v="19134"/>
    <s v="OFF-BI-10001982"/>
    <x v="1"/>
    <s v="Binders"/>
    <s v="Wilson Jones Custom Binder Spines &amp; Labels"/>
    <n v="4.8959999999999999"/>
    <n v="3"/>
    <n v="0.7"/>
    <n v="-3.4272"/>
  </r>
  <r>
    <n v="335"/>
    <s v="CA-2019-137946"/>
    <n v="1"/>
    <n v="9"/>
    <n v="2019"/>
    <s v="Second Class"/>
    <s v="DB-13615"/>
    <s v="doug bickford"/>
    <s v="Consumer"/>
    <s v="United States-California-Los Angeles"/>
    <s v="West"/>
    <n v="90045"/>
    <s v="OFF-BI-10001922"/>
    <x v="1"/>
    <s v="Binders"/>
    <s v="Storex Dura Pro Binders"/>
    <n v="4.7519999999999998"/>
    <n v="1"/>
    <n v="0.2"/>
    <n v="1.6037999999999999"/>
  </r>
  <r>
    <n v="336"/>
    <s v="CA-2019-137946"/>
    <n v="1"/>
    <n v="9"/>
    <n v="2019"/>
    <s v="Second Class"/>
    <s v="DB-13615"/>
    <s v="doug bickford"/>
    <s v="Consumer"/>
    <s v="United States-California-Los Angeles"/>
    <s v="West"/>
    <n v="90045"/>
    <s v="TEC-CO-10001449"/>
    <x v="2"/>
    <s v="Copiers"/>
    <s v="Hewlett Packard LaserJet 3310 Copier"/>
    <n v="959.98400000000004"/>
    <n v="2"/>
    <n v="0.2"/>
    <n v="335.99439999999998"/>
  </r>
  <r>
    <n v="337"/>
    <s v="CA-2019-137946"/>
    <n v="1"/>
    <n v="9"/>
    <n v="2019"/>
    <s v="Second Class"/>
    <s v="DB-13615"/>
    <s v="doug bickford"/>
    <s v="Consumer"/>
    <s v="United States-California-Los Angeles"/>
    <s v="West"/>
    <n v="90045"/>
    <s v="OFF-BI-10004140"/>
    <x v="1"/>
    <s v="Binders"/>
    <s v="Avery Non-Stick Binders"/>
    <n v="14.368"/>
    <n v="4"/>
    <n v="0.2"/>
    <n v="4.49"/>
  </r>
  <r>
    <n v="338"/>
    <s v="CA-2018-129924"/>
    <n v="12"/>
    <n v="7"/>
    <n v="2018"/>
    <s v="Standard Class"/>
    <s v="AC-10420"/>
    <s v="alyssa crouse"/>
    <s v="Corporate"/>
    <s v="United States-California-San Francisco"/>
    <s v="West"/>
    <n v="94122"/>
    <s v="OFF-BI-10003314"/>
    <x v="1"/>
    <s v="Binders"/>
    <s v="Tuff Stuff Recycled Round Ring Binders"/>
    <n v="7.7119999999999997"/>
    <n v="2"/>
    <n v="0.2"/>
    <n v="2.7955999999999999"/>
  </r>
  <r>
    <n v="339"/>
    <s v="CA-2018-129924"/>
    <n v="12"/>
    <n v="7"/>
    <n v="2018"/>
    <s v="Standard Class"/>
    <s v="AC-10420"/>
    <s v="alyssa crouse"/>
    <s v="Corporate"/>
    <s v="United States-California-San Francisco"/>
    <s v="West"/>
    <n v="94122"/>
    <s v="FUR-TA-10004575"/>
    <x v="0"/>
    <s v="Tables"/>
    <s v="Hon 5100 Series Wood Tables"/>
    <n v="698.35199999999998"/>
    <n v="3"/>
    <n v="0.2"/>
    <n v="-17.4588"/>
  </r>
  <r>
    <n v="340"/>
    <s v="CA-2019-128167"/>
    <n v="22"/>
    <n v="6"/>
    <n v="2019"/>
    <s v="Second Class"/>
    <s v="KL-16645"/>
    <s v="ken lonsdale"/>
    <s v="Consumer"/>
    <s v="United States-Utah-Layton"/>
    <s v="West"/>
    <n v="84041"/>
    <s v="OFF-FA-10000490"/>
    <x v="1"/>
    <s v="Fasteners"/>
    <s v="OIC Binder Clips, Mini, 1/4&quot; Capacity, Black"/>
    <n v="4.96"/>
    <n v="4"/>
    <n v="0"/>
    <n v="2.3311999999999999"/>
  </r>
  <r>
    <n v="341"/>
    <s v="CA-2018-122336"/>
    <n v="13"/>
    <n v="4"/>
    <n v="2018"/>
    <s v="Second Class"/>
    <s v="JD-15895"/>
    <s v="jonathan doherty"/>
    <s v="Corporate"/>
    <s v="United States-Pennsylvania-Philadelphia"/>
    <s v="East"/>
    <n v="19140"/>
    <s v="OFF-AR-10000122"/>
    <x v="1"/>
    <s v="Art"/>
    <s v="Newell 314"/>
    <n v="17.856000000000002"/>
    <n v="4"/>
    <n v="0.2"/>
    <n v="1.1160000000000001"/>
  </r>
  <r>
    <n v="342"/>
    <s v="CA-2018-122336"/>
    <n v="13"/>
    <n v="4"/>
    <n v="2018"/>
    <s v="Second Class"/>
    <s v="JD-15895"/>
    <s v="jonathan doherty"/>
    <s v="Corporate"/>
    <s v="United States-Pennsylvania-Philadelphia"/>
    <s v="East"/>
    <n v="19140"/>
    <s v="OFF-BI-10003656"/>
    <x v="1"/>
    <s v="Binders"/>
    <s v="Fellowes PB200 Plastic Comb Binding Machine"/>
    <n v="407.976"/>
    <n v="3"/>
    <n v="0.2"/>
    <n v="132.59219999999999"/>
  </r>
  <r>
    <n v="343"/>
    <s v="CA-2018-122336"/>
    <n v="13"/>
    <n v="4"/>
    <n v="2018"/>
    <s v="Second Class"/>
    <s v="JD-15895"/>
    <s v="jonathan doherty"/>
    <s v="Corporate"/>
    <s v="United States-Pennsylvania-Philadelphia"/>
    <s v="East"/>
    <n v="19140"/>
    <s v="OFF-FA-10002780"/>
    <x v="1"/>
    <s v="Fasteners"/>
    <s v="Staples"/>
    <n v="21.456"/>
    <n v="9"/>
    <n v="0.2"/>
    <n v="6.9732000000000003"/>
  </r>
  <r>
    <n v="344"/>
    <s v="CA-2018-122336"/>
    <n v="13"/>
    <n v="4"/>
    <n v="2018"/>
    <s v="Second Class"/>
    <s v="JD-15895"/>
    <s v="jonathan doherty"/>
    <s v="Corporate"/>
    <s v="United States-Pennsylvania-Philadelphia"/>
    <s v="East"/>
    <n v="19140"/>
    <s v="TEC-PH-10000702"/>
    <x v="2"/>
    <s v="Phones"/>
    <s v="Square Credit Card Reader, 4 1/2&quot; x 4 1/2&quot; x 1&quot;, White"/>
    <n v="71.927999999999997"/>
    <n v="12"/>
    <n v="0.4"/>
    <n v="8.3916000000000004"/>
  </r>
  <r>
    <n v="345"/>
    <s v="US-2019-120712"/>
    <n v="20"/>
    <n v="12"/>
    <n v="2019"/>
    <s v="Standard Class"/>
    <s v="CS-12130"/>
    <s v="chad sievert"/>
    <s v="Consumer"/>
    <s v="United States-Texas-Austin"/>
    <s v="Central"/>
    <n v="78745"/>
    <s v="OFF-ST-10000107"/>
    <x v="1"/>
    <s v="Storage"/>
    <s v="Fellowes Super Stor/Drawer"/>
    <n v="55.5"/>
    <n v="2"/>
    <n v="0"/>
    <n v="9.99"/>
  </r>
  <r>
    <n v="346"/>
    <s v="CA-2021-169901"/>
    <n v="15"/>
    <n v="6"/>
    <n v="2021"/>
    <s v="Standard Class"/>
    <s v="CC-12550"/>
    <s v="clay cheatham"/>
    <s v="Consumer"/>
    <s v="United States-California-San Francisco"/>
    <s v="West"/>
    <n v="94122"/>
    <s v="TEC-PH-10002293"/>
    <x v="2"/>
    <s v="Phones"/>
    <s v="Anker 36W 4-Port USB Wall Charger Travel Power Adapter for iPhone 5s 5c 5"/>
    <n v="59.97"/>
    <n v="5"/>
    <n v="0.4"/>
    <n v="-11.994"/>
  </r>
  <r>
    <n v="347"/>
    <s v="CA-2021-134306"/>
    <n v="8"/>
    <n v="7"/>
    <n v="2021"/>
    <s v="Standard Class"/>
    <s v="TD-20995"/>
    <s v="tamara dahlen"/>
    <s v="Consumer"/>
    <s v="United States-Massachusetts-Lowell"/>
    <s v="East"/>
    <n v="1852"/>
    <s v="OFF-AR-10004027"/>
    <x v="1"/>
    <s v="Art"/>
    <s v="Binney &amp; Smith inkTank Erasable Desk Highlighter, Chisel Tip, Yellow, 12/Box"/>
    <n v="6.048"/>
    <n v="3"/>
    <n v="0.2"/>
    <n v="1.5875999999999999"/>
  </r>
  <r>
    <n v="348"/>
    <s v="CA-2021-134306"/>
    <n v="8"/>
    <n v="7"/>
    <n v="2021"/>
    <s v="Standard Class"/>
    <s v="TD-20995"/>
    <s v="tamara dahlen"/>
    <s v="Consumer"/>
    <s v="United States-Massachusetts-Lowell"/>
    <s v="East"/>
    <n v="1852"/>
    <s v="OFF-PA-10000249"/>
    <x v="1"/>
    <s v="Paper"/>
    <s v="Easy-staple paper"/>
    <n v="29.472000000000001"/>
    <n v="3"/>
    <n v="0.2"/>
    <n v="9.9467999999999996"/>
  </r>
  <r>
    <n v="349"/>
    <s v="CA-2021-134306"/>
    <n v="8"/>
    <n v="7"/>
    <n v="2021"/>
    <s v="Standard Class"/>
    <s v="TD-20995"/>
    <s v="tamara dahlen"/>
    <s v="Consumer"/>
    <s v="United States-Massachusetts-Lowell"/>
    <s v="East"/>
    <n v="1852"/>
    <s v="OFF-AR-10001374"/>
    <x v="1"/>
    <s v="Art"/>
    <s v="BIC Brite Liner Highlighters, Chisel Tip"/>
    <n v="12.96"/>
    <n v="2"/>
    <n v="0"/>
    <n v="4.1471999999999998"/>
  </r>
  <r>
    <n v="350"/>
    <s v="CA-2020-129714"/>
    <n v="1"/>
    <n v="9"/>
    <n v="2020"/>
    <s v="First Class"/>
    <s v="AB-10060"/>
    <s v="adam bellavance"/>
    <s v="Home Office"/>
    <s v="United States-New York-New York City"/>
    <s v="East"/>
    <n v="10009"/>
    <s v="TEC-AC-10000290"/>
    <x v="2"/>
    <s v="Accessories"/>
    <s v="Sabrent 4-Port USB 2.0 Hub"/>
    <n v="20.37"/>
    <n v="3"/>
    <n v="0"/>
    <n v="6.9257999999999997"/>
  </r>
  <r>
    <n v="351"/>
    <s v="CA-2020-129714"/>
    <n v="1"/>
    <n v="9"/>
    <n v="2020"/>
    <s v="First Class"/>
    <s v="AB-10060"/>
    <s v="adam bellavance"/>
    <s v="Home Office"/>
    <s v="United States-New York-New York City"/>
    <s v="East"/>
    <n v="10009"/>
    <s v="OFF-PA-10001970"/>
    <x v="1"/>
    <s v="Paper"/>
    <s v="Xerox 1881"/>
    <n v="24.56"/>
    <n v="2"/>
    <n v="0"/>
    <n v="11.543200000000001"/>
  </r>
  <r>
    <n v="352"/>
    <s v="CA-2020-129714"/>
    <n v="1"/>
    <n v="9"/>
    <n v="2020"/>
    <s v="First Class"/>
    <s v="AB-10060"/>
    <s v="adam bellavance"/>
    <s v="Home Office"/>
    <s v="United States-New York-New York City"/>
    <s v="East"/>
    <n v="10009"/>
    <s v="OFF-BI-10002160"/>
    <x v="1"/>
    <s v="Binders"/>
    <s v="Acco Hanging Data Binders"/>
    <n v="3.048"/>
    <n v="1"/>
    <n v="0.2"/>
    <n v="1.0668"/>
  </r>
  <r>
    <n v="353"/>
    <s v="CA-2020-129714"/>
    <n v="1"/>
    <n v="9"/>
    <n v="2020"/>
    <s v="First Class"/>
    <s v="AB-10060"/>
    <s v="adam bellavance"/>
    <s v="Home Office"/>
    <s v="United States-New York-New York City"/>
    <s v="East"/>
    <n v="10009"/>
    <s v="OFF-PA-10001970"/>
    <x v="1"/>
    <s v="Paper"/>
    <s v="Xerox 1881"/>
    <n v="24.56"/>
    <n v="2"/>
    <n v="0"/>
    <n v="11.543200000000001"/>
  </r>
  <r>
    <n v="354"/>
    <s v="CA-2020-129714"/>
    <n v="1"/>
    <n v="9"/>
    <n v="2020"/>
    <s v="First Class"/>
    <s v="AB-10060"/>
    <s v="adam bellavance"/>
    <s v="Home Office"/>
    <s v="United States-New York-New York City"/>
    <s v="East"/>
    <n v="10009"/>
    <s v="OFF-BI-10004995"/>
    <x v="1"/>
    <s v="Binders"/>
    <s v="GBC DocuBind P400 Electric Binding System"/>
    <n v="4355.1679999999997"/>
    <n v="4"/>
    <n v="0.2"/>
    <n v="1415.4295999999999"/>
  </r>
  <r>
    <n v="355"/>
    <s v="CA-2020-138520"/>
    <n v="8"/>
    <n v="4"/>
    <n v="2020"/>
    <s v="Standard Class"/>
    <s v="JL-15505"/>
    <s v="jeremy lonsdale"/>
    <s v="Consumer"/>
    <s v="United States-New York-New York City"/>
    <s v="East"/>
    <n v="10035"/>
    <s v="FUR-BO-10002268"/>
    <x v="0"/>
    <s v="Bookcases"/>
    <s v="Sauder Barrister Bookcases"/>
    <n v="388.70400000000001"/>
    <n v="6"/>
    <n v="0.2"/>
    <n v="-4.8587999999999996"/>
  </r>
  <r>
    <n v="356"/>
    <s v="CA-2020-138520"/>
    <n v="8"/>
    <n v="4"/>
    <n v="2020"/>
    <s v="Standard Class"/>
    <s v="JL-15505"/>
    <s v="jeremy lonsdale"/>
    <s v="Consumer"/>
    <s v="United States-New York-New York City"/>
    <s v="East"/>
    <n v="10035"/>
    <s v="OFF-EN-10001137"/>
    <x v="1"/>
    <s v="Envelopes"/>
    <s v="#10 Gummed Flap White Envelopes, 100/Box"/>
    <n v="8.26"/>
    <n v="2"/>
    <n v="0"/>
    <n v="3.7995999999999999"/>
  </r>
  <r>
    <n v="357"/>
    <s v="CA-2020-138520"/>
    <n v="8"/>
    <n v="4"/>
    <n v="2020"/>
    <s v="Standard Class"/>
    <s v="JL-15505"/>
    <s v="jeremy lonsdale"/>
    <s v="Consumer"/>
    <s v="United States-New York-New York City"/>
    <s v="East"/>
    <n v="10035"/>
    <s v="OFF-AR-10002399"/>
    <x v="1"/>
    <s v="Art"/>
    <s v="Dixon Prang Watercolor Pencils, 10-Color Set with Brush"/>
    <n v="17.04"/>
    <n v="4"/>
    <n v="0"/>
    <n v="6.9863999999999997"/>
  </r>
  <r>
    <n v="358"/>
    <s v="CA-2020-138520"/>
    <n v="8"/>
    <n v="4"/>
    <n v="2020"/>
    <s v="Standard Class"/>
    <s v="JL-15505"/>
    <s v="jeremy lonsdale"/>
    <s v="Consumer"/>
    <s v="United States-New York-New York City"/>
    <s v="East"/>
    <n v="10035"/>
    <s v="OFF-PA-10002713"/>
    <x v="1"/>
    <s v="Paper"/>
    <s v="Adams Phone Message Book, 200 Message Capacity, 8 1/16” x 11”"/>
    <n v="34.4"/>
    <n v="5"/>
    <n v="0"/>
    <n v="15.824"/>
  </r>
  <r>
    <n v="359"/>
    <s v="CA-2020-130001"/>
    <n v="23"/>
    <n v="4"/>
    <n v="2020"/>
    <s v="Standard Class"/>
    <s v="HK-14890"/>
    <s v="heather kirkland"/>
    <s v="Corporate"/>
    <s v="United States-North Carolina-Charlotte"/>
    <s v="South"/>
    <n v="28205"/>
    <s v="OFF-PA-10002666"/>
    <x v="1"/>
    <s v="Paper"/>
    <s v="Southworth 25% Cotton Linen-Finish Paper &amp; Envelopes"/>
    <n v="21.744"/>
    <n v="3"/>
    <n v="0.2"/>
    <n v="6.7949999999999999"/>
  </r>
  <r>
    <n v="360"/>
    <s v="CA-2021-155698"/>
    <n v="8"/>
    <n v="3"/>
    <n v="2021"/>
    <s v="First Class"/>
    <s v="VB-21745"/>
    <s v="victoria brennan"/>
    <s v="Corporate"/>
    <s v="United States-Georgia-Columbus"/>
    <s v="South"/>
    <n v="31907"/>
    <s v="OFF-AP-10001124"/>
    <x v="1"/>
    <s v="Appliances"/>
    <s v="Belkin 8 Outlet SurgeMaster II Gold Surge Protector with Phone Protection"/>
    <n v="647.84"/>
    <n v="8"/>
    <n v="0"/>
    <n v="168.4384"/>
  </r>
  <r>
    <n v="361"/>
    <s v="CA-2021-155698"/>
    <n v="8"/>
    <n v="3"/>
    <n v="2021"/>
    <s v="First Class"/>
    <s v="VB-21745"/>
    <s v="victoria brennan"/>
    <s v="Corporate"/>
    <s v="United States-Georgia-Columbus"/>
    <s v="South"/>
    <n v="31907"/>
    <s v="OFF-LA-10001158"/>
    <x v="1"/>
    <s v="Labels"/>
    <s v="Avery Address/Shipping Labels for Typewriters, 4&quot; x 2&quot;"/>
    <n v="20.7"/>
    <n v="2"/>
    <n v="0"/>
    <n v="9.9359999999999999"/>
  </r>
  <r>
    <n v="362"/>
    <s v="CA-2021-144904"/>
    <n v="25"/>
    <n v="9"/>
    <n v="2021"/>
    <s v="Standard Class"/>
    <s v="KW-16435"/>
    <s v="katrina willman"/>
    <s v="Consumer"/>
    <s v="United States-New York-New York City"/>
    <s v="East"/>
    <n v="10009"/>
    <s v="OFF-LA-10001158"/>
    <x v="1"/>
    <s v="Labels"/>
    <s v="Avery Address/Shipping Labels for Typewriters, 4&quot; x 2&quot;"/>
    <n v="20.7"/>
    <n v="2"/>
    <n v="0"/>
    <n v="9.9359999999999999"/>
  </r>
  <r>
    <n v="363"/>
    <s v="CA-2021-144904"/>
    <n v="25"/>
    <n v="9"/>
    <n v="2021"/>
    <s v="Standard Class"/>
    <s v="KW-16435"/>
    <s v="katrina willman"/>
    <s v="Consumer"/>
    <s v="United States-New York-New York City"/>
    <s v="East"/>
    <n v="10009"/>
    <s v="FUR-CH-10000785"/>
    <x v="0"/>
    <s v="Chairs"/>
    <s v="Global Ergonomic Managers Chair"/>
    <n v="488.64600000000002"/>
    <n v="3"/>
    <n v="0.1"/>
    <n v="86.870400000000004"/>
  </r>
  <r>
    <n v="364"/>
    <s v="CA-2021-144904"/>
    <n v="25"/>
    <n v="9"/>
    <n v="2021"/>
    <s v="Standard Class"/>
    <s v="KW-16435"/>
    <s v="katrina willman"/>
    <s v="Consumer"/>
    <s v="United States-New York-New York City"/>
    <s v="East"/>
    <n v="10009"/>
    <s v="OFF-AR-10003732"/>
    <x v="1"/>
    <s v="Art"/>
    <s v="Newell 333"/>
    <n v="5.56"/>
    <n v="2"/>
    <n v="0"/>
    <n v="1.4456"/>
  </r>
  <r>
    <n v="365"/>
    <s v="CA-2021-144904"/>
    <n v="25"/>
    <n v="9"/>
    <n v="2021"/>
    <s v="Standard Class"/>
    <s v="KW-16435"/>
    <s v="katrina willman"/>
    <s v="Consumer"/>
    <s v="United States-New York-New York City"/>
    <s v="East"/>
    <n v="10009"/>
    <s v="FUR-FU-10000023"/>
    <x v="0"/>
    <s v="Furnishings"/>
    <s v="Eldon Wave Desk Accessories"/>
    <n v="47.12"/>
    <n v="8"/>
    <n v="0"/>
    <n v="20.732800000000001"/>
  </r>
  <r>
    <n v="366"/>
    <s v="CA-2018-123344"/>
    <n v="24"/>
    <n v="9"/>
    <n v="2018"/>
    <s v="Standard Class"/>
    <s v="JD-16060"/>
    <s v="julia dunbar"/>
    <s v="Consumer"/>
    <s v="United States-California-San Francisco"/>
    <s v="West"/>
    <n v="94109"/>
    <s v="OFF-ST-10001713"/>
    <x v="1"/>
    <s v="Storage"/>
    <s v="Gould Plastics 9-Pocket Panel Bin, 18-3/8w x 5-1/4d x 20-1/2h, Black"/>
    <n v="211.96"/>
    <n v="4"/>
    <n v="0"/>
    <n v="8.4784000000000006"/>
  </r>
  <r>
    <n v="367"/>
    <s v="CA-2020-155516"/>
    <n v="21"/>
    <n v="10"/>
    <n v="2020"/>
    <s v="Same Day"/>
    <s v="MK-17905"/>
    <s v="michael kennedy"/>
    <s v="Corporate"/>
    <s v="United States-Connecticut-Manchester"/>
    <s v="East"/>
    <n v="6040"/>
    <s v="OFF-BI-10002412"/>
    <x v="1"/>
    <s v="Binders"/>
    <s v="Wilson Jones “Snap” Scratch Pad Binder Tool for Ring Binders"/>
    <n v="23.2"/>
    <n v="4"/>
    <n v="0"/>
    <n v="10.44"/>
  </r>
  <r>
    <n v="368"/>
    <s v="CA-2020-155516"/>
    <n v="21"/>
    <n v="10"/>
    <n v="2020"/>
    <s v="Same Day"/>
    <s v="MK-17905"/>
    <s v="michael kennedy"/>
    <s v="Corporate"/>
    <s v="United States-Connecticut-Manchester"/>
    <s v="East"/>
    <n v="6040"/>
    <s v="OFF-SU-10001225"/>
    <x v="1"/>
    <s v="Supplies"/>
    <s v="Staple remover"/>
    <n v="7.36"/>
    <n v="2"/>
    <n v="0"/>
    <n v="0.1472"/>
  </r>
  <r>
    <n v="369"/>
    <s v="CA-2020-155516"/>
    <n v="21"/>
    <n v="10"/>
    <n v="2020"/>
    <s v="Same Day"/>
    <s v="MK-17905"/>
    <s v="michael kennedy"/>
    <s v="Corporate"/>
    <s v="United States-Connecticut-Manchester"/>
    <s v="East"/>
    <n v="6040"/>
    <s v="OFF-ST-10002406"/>
    <x v="1"/>
    <s v="Storage"/>
    <s v="Pizazz Global Quick File"/>
    <n v="104.79"/>
    <n v="7"/>
    <n v="0"/>
    <n v="29.341200000000001"/>
  </r>
  <r>
    <n v="370"/>
    <s v="CA-2020-155516"/>
    <n v="21"/>
    <n v="10"/>
    <n v="2020"/>
    <s v="Same Day"/>
    <s v="MK-17905"/>
    <s v="michael kennedy"/>
    <s v="Corporate"/>
    <s v="United States-Connecticut-Manchester"/>
    <s v="East"/>
    <n v="6040"/>
    <s v="FUR-BO-10002545"/>
    <x v="0"/>
    <s v="Bookcases"/>
    <s v="Atlantic Metals Mobile 3-Shelf Bookcases, Custom Colors"/>
    <n v="532.39919999999995"/>
    <n v="3"/>
    <n v="0.32"/>
    <n v="-46.976399999999998"/>
  </r>
  <r>
    <n v="371"/>
    <s v="CA-2021-104745"/>
    <n v="29"/>
    <n v="5"/>
    <n v="2021"/>
    <s v="Standard Class"/>
    <s v="GT-14755"/>
    <s v="guy thornton"/>
    <s v="Consumer"/>
    <s v="United States-Texas-Harlingen"/>
    <s v="Central"/>
    <n v="78550"/>
    <s v="OFF-PA-10002036"/>
    <x v="1"/>
    <s v="Paper"/>
    <s v="Xerox 1930"/>
    <n v="25.92"/>
    <n v="5"/>
    <n v="0.2"/>
    <n v="9.3960000000000008"/>
  </r>
  <r>
    <n v="372"/>
    <s v="CA-2021-104745"/>
    <n v="29"/>
    <n v="5"/>
    <n v="2021"/>
    <s v="Standard Class"/>
    <s v="GT-14755"/>
    <s v="guy thornton"/>
    <s v="Consumer"/>
    <s v="United States-Texas-Harlingen"/>
    <s v="Central"/>
    <n v="78550"/>
    <s v="OFF-ST-10002205"/>
    <x v="1"/>
    <s v="Storage"/>
    <s v="File Shuttle I and Handi-File"/>
    <n v="53.423999999999999"/>
    <n v="3"/>
    <n v="0.2"/>
    <n v="4.6745999999999999"/>
  </r>
  <r>
    <n v="373"/>
    <s v="US-2018-119137"/>
    <n v="23"/>
    <n v="7"/>
    <n v="2018"/>
    <s v="Standard Class"/>
    <s v="AG-10900"/>
    <s v="arthur gainer"/>
    <s v="Consumer"/>
    <s v="United States-Arizona-Tucson"/>
    <s v="West"/>
    <n v="85705"/>
    <s v="OFF-BI-10001982"/>
    <x v="1"/>
    <s v="Binders"/>
    <s v="Wilson Jones Custom Binder Spines &amp; Labels"/>
    <n v="4.8959999999999999"/>
    <n v="3"/>
    <n v="0.7"/>
    <n v="-3.4272"/>
  </r>
  <r>
    <n v="374"/>
    <s v="US-2018-119137"/>
    <n v="23"/>
    <n v="7"/>
    <n v="2018"/>
    <s v="Standard Class"/>
    <s v="AG-10900"/>
    <s v="arthur gainer"/>
    <s v="Consumer"/>
    <s v="United States-Arizona-Tucson"/>
    <s v="West"/>
    <n v="85705"/>
    <s v="TEC-AC-10003911"/>
    <x v="2"/>
    <s v="Accessories"/>
    <s v="NETGEAR AC1750 Dual Band Gigabit Smart WiFi Router"/>
    <n v="1023.936"/>
    <n v="8"/>
    <n v="0.2"/>
    <n v="179.18879999999999"/>
  </r>
  <r>
    <n v="375"/>
    <s v="US-2018-119137"/>
    <n v="23"/>
    <n v="7"/>
    <n v="2018"/>
    <s v="Standard Class"/>
    <s v="AG-10900"/>
    <s v="arthur gainer"/>
    <s v="Consumer"/>
    <s v="United States-Arizona-Tucson"/>
    <s v="West"/>
    <n v="85705"/>
    <s v="OFF-AR-10000658"/>
    <x v="1"/>
    <s v="Art"/>
    <s v="Newell 324"/>
    <n v="9.24"/>
    <n v="1"/>
    <n v="0.2"/>
    <n v="0.92400000000000004"/>
  </r>
  <r>
    <n v="376"/>
    <s v="US-2018-119137"/>
    <n v="23"/>
    <n v="7"/>
    <n v="2018"/>
    <s v="Standard Class"/>
    <s v="AG-10900"/>
    <s v="arthur gainer"/>
    <s v="Consumer"/>
    <s v="United States-Arizona-Tucson"/>
    <s v="West"/>
    <n v="85705"/>
    <s v="TEC-AC-10002076"/>
    <x v="2"/>
    <s v="Accessories"/>
    <s v="Microsoft Natural Keyboard Elite"/>
    <n v="479.04"/>
    <n v="10"/>
    <n v="0.2"/>
    <n v="-29.94"/>
  </r>
  <r>
    <n v="377"/>
    <s v="US-2020-134656"/>
    <n v="28"/>
    <n v="9"/>
    <n v="2020"/>
    <s v="First Class"/>
    <s v="MM-18280"/>
    <s v="muhammed macintyre"/>
    <s v="Corporate"/>
    <s v="United States-Illinois-Quincy"/>
    <s v="Central"/>
    <n v="62301"/>
    <s v="OFF-PA-10003039"/>
    <x v="1"/>
    <s v="Paper"/>
    <s v="Xerox 1960"/>
    <n v="99.135999999999996"/>
    <n v="4"/>
    <n v="0.2"/>
    <n v="30.98"/>
  </r>
  <r>
    <n v="378"/>
    <s v="US-2021-134481"/>
    <n v="27"/>
    <n v="8"/>
    <n v="2021"/>
    <s v="Standard Class"/>
    <s v="AR-10405"/>
    <s v="allen rosenblatt"/>
    <s v="Corporate"/>
    <s v="United States-Massachusetts-Franklin"/>
    <s v="East"/>
    <n v="2038"/>
    <s v="FUR-TA-10004915"/>
    <x v="0"/>
    <s v="Tables"/>
    <s v="Office Impressions End Table, 20-1/2&quot;H x 24&quot;W x 20&quot;D"/>
    <n v="1488.424"/>
    <n v="7"/>
    <n v="0.3"/>
    <n v="-297.6848"/>
  </r>
  <r>
    <n v="379"/>
    <s v="CA-2019-130792"/>
    <n v="28"/>
    <n v="4"/>
    <n v="2019"/>
    <s v="Standard Class"/>
    <s v="RA-19915"/>
    <s v="russell applegate"/>
    <s v="Consumer"/>
    <s v="United States-Texas-Houston"/>
    <s v="Central"/>
    <n v="77095"/>
    <s v="OFF-AP-10000696"/>
    <x v="1"/>
    <s v="Appliances"/>
    <s v="Holmes Odor Grabber"/>
    <n v="8.6519999999999992"/>
    <n v="3"/>
    <n v="0.8"/>
    <n v="-20.3322"/>
  </r>
  <r>
    <n v="380"/>
    <s v="CA-2019-130792"/>
    <n v="28"/>
    <n v="4"/>
    <n v="2019"/>
    <s v="Standard Class"/>
    <s v="RA-19915"/>
    <s v="russell applegate"/>
    <s v="Consumer"/>
    <s v="United States-Texas-Houston"/>
    <s v="Central"/>
    <n v="77095"/>
    <s v="OFF-ST-10003327"/>
    <x v="1"/>
    <s v="Storage"/>
    <s v="Akro-Mils 12-Gallon Tote"/>
    <n v="23.832000000000001"/>
    <n v="3"/>
    <n v="0.2"/>
    <n v="2.6810999999999998"/>
  </r>
  <r>
    <n v="381"/>
    <s v="CA-2019-130792"/>
    <n v="28"/>
    <n v="4"/>
    <n v="2019"/>
    <s v="Standard Class"/>
    <s v="RA-19915"/>
    <s v="russell applegate"/>
    <s v="Consumer"/>
    <s v="United States-Texas-Houston"/>
    <s v="Central"/>
    <n v="77095"/>
    <s v="OFF-BI-10000309"/>
    <x v="1"/>
    <s v="Binders"/>
    <s v="GBC Twin Loop Wire Binding Elements, 9/16&quot; Spine, Black"/>
    <n v="12.176"/>
    <n v="4"/>
    <n v="0.8"/>
    <n v="-18.872800000000002"/>
  </r>
  <r>
    <n v="382"/>
    <s v="CA-2020-134775"/>
    <n v="28"/>
    <n v="10"/>
    <n v="2020"/>
    <s v="First Class"/>
    <s v="AS-10285"/>
    <s v="alejandro savely"/>
    <s v="Corporate"/>
    <s v="United States-California-San Francisco"/>
    <s v="West"/>
    <n v="94109"/>
    <s v="OFF-PA-10004734"/>
    <x v="1"/>
    <s v="Paper"/>
    <s v="Southworth Structures Collection"/>
    <n v="50.96"/>
    <n v="7"/>
    <n v="0"/>
    <n v="25.48"/>
  </r>
  <r>
    <n v="383"/>
    <s v="CA-2020-134775"/>
    <n v="28"/>
    <n v="10"/>
    <n v="2020"/>
    <s v="First Class"/>
    <s v="AS-10285"/>
    <s v="alejandro savely"/>
    <s v="Corporate"/>
    <s v="United States-California-San Francisco"/>
    <s v="West"/>
    <n v="94109"/>
    <s v="OFF-BI-10002225"/>
    <x v="1"/>
    <s v="Binders"/>
    <s v="Square Ring Data Binders, Rigid 75 Pt. Covers, 11&quot; x 14-7/8&quot;"/>
    <n v="49.536000000000001"/>
    <n v="3"/>
    <n v="0.2"/>
    <n v="17.337599999999998"/>
  </r>
  <r>
    <n v="384"/>
    <s v="CA-2019-125395"/>
    <n v="26"/>
    <n v="6"/>
    <n v="2019"/>
    <s v="Second Class"/>
    <s v="LA-16780"/>
    <s v="laura armstrong"/>
    <s v="Corporate"/>
    <s v="United States-Michigan-Taylor"/>
    <s v="Central"/>
    <n v="48180"/>
    <s v="TEC-AC-10004708"/>
    <x v="2"/>
    <s v="Accessories"/>
    <s v="Sony 32GB Class 10 Micro SDHC R40 Memory Card"/>
    <n v="41.9"/>
    <n v="2"/>
    <n v="0"/>
    <n v="8.7989999999999995"/>
  </r>
  <r>
    <n v="385"/>
    <s v="US-2019-168935"/>
    <n v="27"/>
    <n v="11"/>
    <n v="2019"/>
    <s v="Standard Class"/>
    <s v="DO-13435"/>
    <s v="denny ordway"/>
    <s v="Consumer"/>
    <s v="United States-Florida-Pembroke Pines"/>
    <s v="South"/>
    <n v="33024"/>
    <s v="FUR-TA-10000617"/>
    <x v="0"/>
    <s v="Tables"/>
    <s v="Hon Practical Foundations 30 x 60 Training Table, Light Gray/Charcoal"/>
    <n v="375.45749999999998"/>
    <n v="3"/>
    <n v="0.45"/>
    <n v="-157.0095"/>
  </r>
  <r>
    <n v="386"/>
    <s v="US-2019-168935"/>
    <n v="27"/>
    <n v="11"/>
    <n v="2019"/>
    <s v="Standard Class"/>
    <s v="DO-13435"/>
    <s v="denny ordway"/>
    <s v="Consumer"/>
    <s v="United States-Florida-Pembroke Pines"/>
    <s v="South"/>
    <n v="33024"/>
    <s v="TEC-AC-10002335"/>
    <x v="2"/>
    <s v="Accessories"/>
    <s v="Logitech Media Keyboard K200"/>
    <n v="83.975999999999999"/>
    <n v="3"/>
    <n v="0.2"/>
    <n v="-1.0497000000000001"/>
  </r>
  <r>
    <n v="387"/>
    <s v="CA-2019-122756"/>
    <n v="3"/>
    <n v="12"/>
    <n v="2019"/>
    <s v="Standard Class"/>
    <s v="DK-13225"/>
    <s v="dean katz"/>
    <s v="Corporate"/>
    <s v="United States-Pennsylvania-Philadelphia"/>
    <s v="East"/>
    <n v="19140"/>
    <s v="TEC-MA-10001681"/>
    <x v="2"/>
    <s v="Machines"/>
    <s v="Lexmark MarkNet N8150 Wireless Print Server"/>
    <n v="482.34"/>
    <n v="4"/>
    <n v="0.7"/>
    <n v="-337.63799999999998"/>
  </r>
  <r>
    <n v="388"/>
    <s v="CA-2019-122756"/>
    <n v="3"/>
    <n v="12"/>
    <n v="2019"/>
    <s v="Standard Class"/>
    <s v="DK-13225"/>
    <s v="dean katz"/>
    <s v="Corporate"/>
    <s v="United States-Pennsylvania-Philadelphia"/>
    <s v="East"/>
    <n v="19140"/>
    <s v="FUR-FU-10001935"/>
    <x v="0"/>
    <s v="Furnishings"/>
    <s v="3M Hangers With Command Adhesive"/>
    <n v="2.96"/>
    <n v="1"/>
    <n v="0.2"/>
    <n v="0.77700000000000002"/>
  </r>
  <r>
    <n v="389"/>
    <s v="CA-2018-115973"/>
    <n v="24"/>
    <n v="11"/>
    <n v="2018"/>
    <s v="First Class"/>
    <s v="NG-18430"/>
    <s v="nathan gelder"/>
    <s v="Consumer"/>
    <s v="United States-Ohio-Cincinnati"/>
    <s v="East"/>
    <n v="45231"/>
    <s v="OFF-AR-10004757"/>
    <x v="1"/>
    <s v="Art"/>
    <s v="Crayola Colored Pencils"/>
    <n v="2.6240000000000001"/>
    <n v="1"/>
    <n v="0.2"/>
    <n v="0.4264"/>
  </r>
  <r>
    <n v="390"/>
    <s v="CA-2021-101798"/>
    <n v="11"/>
    <n v="12"/>
    <n v="2021"/>
    <s v="Standard Class"/>
    <s v="MV-18190"/>
    <s v="mike vittorini"/>
    <s v="Consumer"/>
    <s v="United States-New York-New York City"/>
    <s v="East"/>
    <n v="10009"/>
    <s v="OFF-BI-10000050"/>
    <x v="1"/>
    <s v="Binders"/>
    <s v="Angle-D Binders with Locking Rings, Label Holders"/>
    <n v="23.36"/>
    <n v="4"/>
    <n v="0.2"/>
    <n v="7.8840000000000003"/>
  </r>
  <r>
    <n v="391"/>
    <s v="CA-2021-101798"/>
    <n v="11"/>
    <n v="12"/>
    <n v="2021"/>
    <s v="Standard Class"/>
    <s v="MV-18190"/>
    <s v="mike vittorini"/>
    <s v="Consumer"/>
    <s v="United States-New York-New York City"/>
    <s v="East"/>
    <n v="10009"/>
    <s v="TEC-AC-10001998"/>
    <x v="2"/>
    <s v="Accessories"/>
    <s v="Logitech LS21 Speaker System - PC Multimedia - 2.1-CH - Wired"/>
    <n v="19.989999999999998"/>
    <n v="1"/>
    <n v="0"/>
    <n v="6.7965999999999998"/>
  </r>
  <r>
    <n v="392"/>
    <s v="US-2018-135972"/>
    <n v="21"/>
    <n v="9"/>
    <n v="2018"/>
    <s v="Second Class"/>
    <s v="JG-15115"/>
    <s v="jack garza"/>
    <s v="Consumer"/>
    <s v="United States-Washington-Des Moines"/>
    <s v="West"/>
    <n v="98198"/>
    <s v="TEC-PH-10003012"/>
    <x v="2"/>
    <s v="Phones"/>
    <s v="Nortel Meridian M3904 Professional Digital phone"/>
    <n v="246.38399999999999"/>
    <n v="2"/>
    <n v="0.2"/>
    <n v="27.7182"/>
  </r>
  <r>
    <n v="393"/>
    <s v="US-2018-135972"/>
    <n v="21"/>
    <n v="9"/>
    <n v="2018"/>
    <s v="Second Class"/>
    <s v="JG-15115"/>
    <s v="jack garza"/>
    <s v="Consumer"/>
    <s v="United States-Washington-Des Moines"/>
    <s v="West"/>
    <n v="98198"/>
    <s v="TEC-CO-10002313"/>
    <x v="2"/>
    <s v="Copiers"/>
    <s v="Canon PC1080F Personal Copier"/>
    <n v="1799.97"/>
    <n v="3"/>
    <n v="0"/>
    <n v="701.98829999999998"/>
  </r>
  <r>
    <n v="394"/>
    <s v="US-2018-134971"/>
    <n v="7"/>
    <n v="6"/>
    <n v="2018"/>
    <s v="Second Class"/>
    <s v="BP-11095"/>
    <s v="bart pistole"/>
    <s v="Corporate"/>
    <s v="United States-Illinois-Peoria"/>
    <s v="Central"/>
    <n v="61604"/>
    <s v="OFF-BI-10003982"/>
    <x v="1"/>
    <s v="Binders"/>
    <s v="Wilson Jones Century Plastic Molded Ring Binders"/>
    <n v="12.462"/>
    <n v="3"/>
    <n v="0.8"/>
    <n v="-20.5623"/>
  </r>
  <r>
    <n v="395"/>
    <s v="CA-2021-102946"/>
    <n v="30"/>
    <n v="6"/>
    <n v="2021"/>
    <s v="Standard Class"/>
    <s v="VP-21730"/>
    <s v="victor preis"/>
    <s v="Home Office"/>
    <s v="United States-Nevada-Las Vegas"/>
    <s v="West"/>
    <n v="89115"/>
    <s v="OFF-BI-10004492"/>
    <x v="1"/>
    <s v="Binders"/>
    <s v="Tuf-Vin Binders"/>
    <n v="75.792000000000002"/>
    <n v="3"/>
    <n v="0.2"/>
    <n v="25.579799999999999"/>
  </r>
  <r>
    <n v="396"/>
    <s v="CA-2021-165603"/>
    <n v="17"/>
    <n v="10"/>
    <n v="2021"/>
    <s v="Second Class"/>
    <s v="SS-20140"/>
    <s v="saphhira shifley"/>
    <s v="Corporate"/>
    <s v="United States-Rhode Island-Warwick"/>
    <s v="East"/>
    <n v="2886"/>
    <s v="OFF-ST-10000798"/>
    <x v="1"/>
    <s v="Storage"/>
    <s v="2300 Heavy-Duty Transfer File Systems by Perma"/>
    <n v="49.96"/>
    <n v="2"/>
    <n v="0"/>
    <n v="9.4923999999999999"/>
  </r>
  <r>
    <n v="397"/>
    <s v="CA-2021-165603"/>
    <n v="17"/>
    <n v="10"/>
    <n v="2021"/>
    <s v="Second Class"/>
    <s v="SS-20140"/>
    <s v="saphhira shifley"/>
    <s v="Corporate"/>
    <s v="United States-Rhode Island-Warwick"/>
    <s v="East"/>
    <n v="2886"/>
    <s v="OFF-PA-10002552"/>
    <x v="1"/>
    <s v="Paper"/>
    <s v="Xerox 1958"/>
    <n v="12.96"/>
    <n v="2"/>
    <n v="0"/>
    <n v="6.2207999999999997"/>
  </r>
  <r>
    <n v="398"/>
    <s v="CA-2019-122259"/>
    <n v="31"/>
    <n v="10"/>
    <n v="2019"/>
    <s v="Standard Class"/>
    <s v="HP-14815"/>
    <s v="harold pawlan"/>
    <s v="Home Office"/>
    <s v="United States-Michigan-Jackson"/>
    <s v="Central"/>
    <n v="49201"/>
    <s v="OFF-SU-10002573"/>
    <x v="1"/>
    <s v="Supplies"/>
    <s v="Acme 10&quot; Easy Grip Assistive Scissors"/>
    <n v="70.12"/>
    <n v="4"/>
    <n v="0"/>
    <n v="21.036000000000001"/>
  </r>
  <r>
    <n v="399"/>
    <s v="CA-2020-108987"/>
    <n v="8"/>
    <n v="9"/>
    <n v="2020"/>
    <s v="Second Class"/>
    <s v="AG-10675"/>
    <s v="anna gayman"/>
    <s v="Consumer"/>
    <s v="United States-Texas-Houston"/>
    <s v="Central"/>
    <n v="77036"/>
    <s v="OFF-ST-10001580"/>
    <x v="1"/>
    <s v="Storage"/>
    <s v="Super Decoflex Portable Personal File"/>
    <n v="35.951999999999998"/>
    <n v="3"/>
    <n v="0.2"/>
    <n v="3.5952000000000002"/>
  </r>
  <r>
    <n v="400"/>
    <s v="CA-2020-108987"/>
    <n v="8"/>
    <n v="9"/>
    <n v="2020"/>
    <s v="Second Class"/>
    <s v="AG-10675"/>
    <s v="anna gayman"/>
    <s v="Consumer"/>
    <s v="United States-Texas-Houston"/>
    <s v="Central"/>
    <n v="77036"/>
    <s v="FUR-BO-10004834"/>
    <x v="0"/>
    <s v="Bookcases"/>
    <s v="Riverside Palais Royal Lawyers Bookcase, Royale Cherry Finish"/>
    <n v="3083.43"/>
    <n v="7"/>
    <n v="0.5"/>
    <n v="-1665.0522000000001"/>
  </r>
  <r>
    <n v="401"/>
    <s v="CA-2020-108987"/>
    <n v="8"/>
    <n v="9"/>
    <n v="2020"/>
    <s v="Second Class"/>
    <s v="AG-10675"/>
    <s v="anna gayman"/>
    <s v="Consumer"/>
    <s v="United States-Texas-Houston"/>
    <s v="Central"/>
    <n v="77036"/>
    <s v="OFF-ST-10000934"/>
    <x v="1"/>
    <s v="Storage"/>
    <s v="Contico 72&quot;H Heavy-Duty Storage System"/>
    <n v="131.136"/>
    <n v="4"/>
    <n v="0.2"/>
    <n v="-32.783999999999999"/>
  </r>
  <r>
    <n v="402"/>
    <s v="CA-2020-108987"/>
    <n v="8"/>
    <n v="9"/>
    <n v="2020"/>
    <s v="Second Class"/>
    <s v="AG-10675"/>
    <s v="anna gayman"/>
    <s v="Consumer"/>
    <s v="United States-Texas-Houston"/>
    <s v="Central"/>
    <n v="77036"/>
    <s v="TEC-AC-10000158"/>
    <x v="2"/>
    <s v="Accessories"/>
    <s v="Sony 64GB Class 10 Micro SDHC R40 Memory Card"/>
    <n v="57.584000000000003"/>
    <n v="2"/>
    <n v="0.2"/>
    <n v="0.7198"/>
  </r>
  <r>
    <n v="403"/>
    <s v="CA-2018-113166"/>
    <n v="24"/>
    <n v="12"/>
    <n v="2018"/>
    <s v="First Class"/>
    <s v="LF-17185"/>
    <s v="luke foster"/>
    <s v="Consumer"/>
    <s v="United States-Florida-Miami"/>
    <s v="South"/>
    <n v="33180"/>
    <s v="OFF-PA-10001947"/>
    <x v="1"/>
    <s v="Paper"/>
    <s v="Xerox 1974"/>
    <n v="9.5679999999999996"/>
    <n v="2"/>
    <n v="0.2"/>
    <n v="3.4683999999999999"/>
  </r>
  <r>
    <n v="404"/>
    <s v="CA-2018-155208"/>
    <n v="16"/>
    <n v="4"/>
    <n v="2018"/>
    <s v="Standard Class"/>
    <s v="SP-20650"/>
    <s v="stephanie phelps"/>
    <s v="Corporate"/>
    <s v="United States-North Carolina-Wilmington"/>
    <s v="South"/>
    <n v="28403"/>
    <s v="OFF-AR-10003478"/>
    <x v="1"/>
    <s v="Art"/>
    <s v="Avery Hi-Liter EverBold Pen Style Fluorescent Highlighters, 4/Pack"/>
    <n v="39.072000000000003"/>
    <n v="6"/>
    <n v="0.2"/>
    <n v="9.7680000000000007"/>
  </r>
  <r>
    <n v="405"/>
    <s v="CA-2021-117933"/>
    <n v="24"/>
    <n v="12"/>
    <n v="2021"/>
    <s v="Standard Class"/>
    <s v="RF-19840"/>
    <s v="roy französisch"/>
    <s v="Consumer"/>
    <s v="United States-New York-New York City"/>
    <s v="East"/>
    <n v="10024"/>
    <s v="OFF-AP-10004249"/>
    <x v="1"/>
    <s v="Appliances"/>
    <s v="Staple holder"/>
    <n v="35.909999999999997"/>
    <n v="3"/>
    <n v="0"/>
    <n v="9.6957000000000004"/>
  </r>
  <r>
    <n v="406"/>
    <s v="CA-2021-117457"/>
    <n v="8"/>
    <n v="12"/>
    <n v="2021"/>
    <s v="Standard Class"/>
    <s v="KH-16510"/>
    <s v="keith herrera"/>
    <s v="Consumer"/>
    <s v="United States-California-San Francisco"/>
    <s v="West"/>
    <n v="94110"/>
    <s v="TEC-AC-10000158"/>
    <x v="2"/>
    <s v="Accessories"/>
    <s v="Sony 64GB Class 10 Micro SDHC R40 Memory Card"/>
    <n v="57.584000000000003"/>
    <n v="2"/>
    <n v="0.2"/>
    <n v="0.7198"/>
  </r>
  <r>
    <n v="407"/>
    <s v="CA-2021-117457"/>
    <n v="8"/>
    <n v="12"/>
    <n v="2021"/>
    <s v="Standard Class"/>
    <s v="KH-16510"/>
    <s v="keith herrera"/>
    <s v="Consumer"/>
    <s v="United States-California-San Francisco"/>
    <s v="West"/>
    <n v="94110"/>
    <s v="TEC-CO-10004115"/>
    <x v="2"/>
    <s v="Copiers"/>
    <s v="Sharp AL-1530CS Digital Copier"/>
    <n v="1199.9760000000001"/>
    <n v="3"/>
    <n v="0.2"/>
    <n v="434.99130000000002"/>
  </r>
  <r>
    <n v="408"/>
    <s v="CA-2021-117457"/>
    <n v="8"/>
    <n v="12"/>
    <n v="2021"/>
    <s v="Standard Class"/>
    <s v="KH-16510"/>
    <s v="keith herrera"/>
    <s v="Consumer"/>
    <s v="United States-California-San Francisco"/>
    <s v="West"/>
    <n v="94110"/>
    <s v="OFF-PA-10003724"/>
    <x v="1"/>
    <s v="Paper"/>
    <s v="Wirebound Message Book, 4 per Page"/>
    <n v="27.15"/>
    <n v="5"/>
    <n v="0"/>
    <n v="13.3035"/>
  </r>
  <r>
    <n v="409"/>
    <s v="CA-2021-117457"/>
    <n v="8"/>
    <n v="12"/>
    <n v="2021"/>
    <s v="Standard Class"/>
    <s v="KH-16510"/>
    <s v="keith herrera"/>
    <s v="Consumer"/>
    <s v="United States-California-San Francisco"/>
    <s v="West"/>
    <n v="94110"/>
    <s v="FUR-TA-10002041"/>
    <x v="0"/>
    <s v="Tables"/>
    <s v="Bevis Round Conference Table Top, X-Base"/>
    <n v="1004.024"/>
    <n v="7"/>
    <n v="0.2"/>
    <n v="-112.95269999999999"/>
  </r>
  <r>
    <n v="410"/>
    <s v="CA-2021-117457"/>
    <n v="8"/>
    <n v="12"/>
    <n v="2021"/>
    <s v="Standard Class"/>
    <s v="KH-16510"/>
    <s v="keith herrera"/>
    <s v="Consumer"/>
    <s v="United States-California-San Francisco"/>
    <s v="West"/>
    <n v="94110"/>
    <s v="OFF-PA-10002893"/>
    <x v="1"/>
    <s v="Paper"/>
    <s v="Wirebound Service Call Books, 5 1/2&quot; x 4&quot;"/>
    <n v="9.68"/>
    <n v="1"/>
    <n v="0"/>
    <n v="4.6463999999999999"/>
  </r>
  <r>
    <n v="411"/>
    <s v="CA-2021-117457"/>
    <n v="8"/>
    <n v="12"/>
    <n v="2021"/>
    <s v="Standard Class"/>
    <s v="KH-16510"/>
    <s v="keith herrera"/>
    <s v="Consumer"/>
    <s v="United States-California-San Francisco"/>
    <s v="West"/>
    <n v="94110"/>
    <s v="OFF-LA-10003766"/>
    <x v="1"/>
    <s v="Labels"/>
    <s v="Self-Adhesive Removable Labels"/>
    <n v="28.35"/>
    <n v="9"/>
    <n v="0"/>
    <n v="13.608000000000001"/>
  </r>
  <r>
    <n v="412"/>
    <s v="CA-2021-117457"/>
    <n v="8"/>
    <n v="12"/>
    <n v="2021"/>
    <s v="Standard Class"/>
    <s v="KH-16510"/>
    <s v="keith herrera"/>
    <s v="Consumer"/>
    <s v="United States-California-San Francisco"/>
    <s v="West"/>
    <n v="94110"/>
    <s v="OFF-PA-10001970"/>
    <x v="1"/>
    <s v="Paper"/>
    <s v="Xerox 1908"/>
    <n v="55.98"/>
    <n v="1"/>
    <n v="0"/>
    <n v="27.430199999999999"/>
  </r>
  <r>
    <n v="413"/>
    <s v="CA-2021-117457"/>
    <n v="8"/>
    <n v="12"/>
    <n v="2021"/>
    <s v="Standard Class"/>
    <s v="KH-16510"/>
    <s v="keith herrera"/>
    <s v="Consumer"/>
    <s v="United States-California-San Francisco"/>
    <s v="West"/>
    <n v="94110"/>
    <s v="FUR-BO-10001972"/>
    <x v="0"/>
    <s v="Bookcases"/>
    <s v="O'Sullivan 4-Shelf Bookcase in Odessa Pine"/>
    <n v="1336.829"/>
    <n v="13"/>
    <n v="0.15"/>
    <n v="31.454799999999999"/>
  </r>
  <r>
    <n v="414"/>
    <s v="CA-2021-117457"/>
    <n v="8"/>
    <n v="12"/>
    <n v="2021"/>
    <s v="Standard Class"/>
    <s v="KH-16510"/>
    <s v="keith herrera"/>
    <s v="Consumer"/>
    <s v="United States-California-San Francisco"/>
    <s v="West"/>
    <n v="94110"/>
    <s v="FUR-CH-10003956"/>
    <x v="0"/>
    <s v="Chairs"/>
    <s v="Novimex High-Tech Fabric Mesh Task Chair"/>
    <n v="113.568"/>
    <n v="2"/>
    <n v="0.2"/>
    <n v="-18.454799999999999"/>
  </r>
  <r>
    <n v="415"/>
    <s v="CA-2021-142636"/>
    <n v="3"/>
    <n v="11"/>
    <n v="2021"/>
    <s v="Standard Class"/>
    <s v="KC-16675"/>
    <s v="kimberly carter"/>
    <s v="Corporate"/>
    <s v="United States-Washington-Seattle"/>
    <s v="West"/>
    <n v="98105"/>
    <s v="OFF-PA-10000157"/>
    <x v="1"/>
    <s v="Paper"/>
    <s v="Xerox 191"/>
    <n v="139.86000000000001"/>
    <n v="7"/>
    <n v="0"/>
    <n v="65.734200000000001"/>
  </r>
  <r>
    <n v="416"/>
    <s v="CA-2021-142636"/>
    <n v="3"/>
    <n v="11"/>
    <n v="2021"/>
    <s v="Standard Class"/>
    <s v="KC-16675"/>
    <s v="kimberly carter"/>
    <s v="Corporate"/>
    <s v="United States-Washington-Seattle"/>
    <s v="West"/>
    <n v="98105"/>
    <s v="FUR-CH-10001891"/>
    <x v="0"/>
    <s v="Chairs"/>
    <s v="Global Deluxe Office Fabric Chairs"/>
    <n v="230.352"/>
    <n v="3"/>
    <n v="0.2"/>
    <n v="20.155799999999999"/>
  </r>
  <r>
    <n v="417"/>
    <s v="CA-2021-122105"/>
    <n v="24"/>
    <n v="6"/>
    <n v="2021"/>
    <s v="Standard Class"/>
    <s v="CJ-12010"/>
    <s v="caroline jumper"/>
    <s v="Consumer"/>
    <s v="United States-California-Huntington Beach"/>
    <s v="West"/>
    <n v="92646"/>
    <s v="OFF-AR-10004344"/>
    <x v="1"/>
    <s v="Art"/>
    <s v="Bulldog Vacuum Base Pencil Sharpener"/>
    <n v="95.92"/>
    <n v="8"/>
    <n v="0"/>
    <n v="25.898399999999999"/>
  </r>
  <r>
    <n v="418"/>
    <s v="CA-2020-148796"/>
    <n v="14"/>
    <n v="4"/>
    <n v="2020"/>
    <s v="Standard Class"/>
    <s v="PB-19150"/>
    <s v="philip brown"/>
    <s v="Consumer"/>
    <s v="United States-California-Los Angeles"/>
    <s v="West"/>
    <n v="90004"/>
    <s v="FUR-CH-10004886"/>
    <x v="0"/>
    <s v="Chairs"/>
    <s v="Bevis Steel Folding Chairs"/>
    <n v="383.8"/>
    <n v="5"/>
    <n v="0.2"/>
    <n v="38.380000000000003"/>
  </r>
  <r>
    <n v="419"/>
    <s v="CA-2021-154816"/>
    <n v="6"/>
    <n v="11"/>
    <n v="2021"/>
    <s v="Standard Class"/>
    <s v="VB-21745"/>
    <s v="victoria brennan"/>
    <s v="Corporate"/>
    <s v="United States-Kentucky-Richmond"/>
    <s v="South"/>
    <n v="40475"/>
    <s v="OFF-PA-10003845"/>
    <x v="1"/>
    <s v="Paper"/>
    <s v="Xerox 1987"/>
    <n v="5.78"/>
    <n v="1"/>
    <n v="0"/>
    <n v="2.8321999999999998"/>
  </r>
  <r>
    <n v="420"/>
    <s v="CA-2021-110478"/>
    <n v="4"/>
    <n v="3"/>
    <n v="2021"/>
    <s v="Standard Class"/>
    <s v="SP-20860"/>
    <s v="sung pak"/>
    <s v="Corporate"/>
    <s v="United States-California-Los Angeles"/>
    <s v="West"/>
    <n v="90045"/>
    <s v="OFF-AR-10001573"/>
    <x v="1"/>
    <s v="Art"/>
    <s v="American Pencil"/>
    <n v="9.32"/>
    <n v="4"/>
    <n v="0"/>
    <n v="2.7027999999999999"/>
  </r>
  <r>
    <n v="421"/>
    <s v="CA-2021-110478"/>
    <n v="4"/>
    <n v="3"/>
    <n v="2021"/>
    <s v="Standard Class"/>
    <s v="SP-20860"/>
    <s v="sung pak"/>
    <s v="Corporate"/>
    <s v="United States-California-Los Angeles"/>
    <s v="West"/>
    <n v="90045"/>
    <s v="OFF-EN-10000483"/>
    <x v="1"/>
    <s v="Envelopes"/>
    <s v="White Envelopes, White Envelopes with Clear Poly Window"/>
    <n v="15.25"/>
    <n v="1"/>
    <n v="0"/>
    <n v="7.0149999999999997"/>
  </r>
  <r>
    <n v="422"/>
    <s v="CA-2018-142048"/>
    <n v="22"/>
    <n v="6"/>
    <n v="2018"/>
    <s v="First Class"/>
    <s v="JE-15745"/>
    <s v="joel eaton"/>
    <s v="Consumer"/>
    <s v="United States-Colorado-Louisville"/>
    <s v="West"/>
    <n v="80027"/>
    <s v="TEC-AC-10004114"/>
    <x v="2"/>
    <s v="Accessories"/>
    <s v="KeyTronic 6101 Series - Keyboard - Black"/>
    <n v="196.75200000000001"/>
    <n v="6"/>
    <n v="0.2"/>
    <n v="56.566200000000002"/>
  </r>
  <r>
    <n v="423"/>
    <s v="CA-2021-125388"/>
    <n v="19"/>
    <n v="10"/>
    <n v="2021"/>
    <s v="Standard Class"/>
    <s v="MP-17965"/>
    <s v="michael paige"/>
    <s v="Corporate"/>
    <s v="United States-Massachusetts-Lawrence"/>
    <s v="East"/>
    <n v="1841"/>
    <s v="FUR-FU-10004712"/>
    <x v="0"/>
    <s v="Furnishings"/>
    <s v="Westinghouse Mesh Shade Clip-On Gooseneck Lamp, Black"/>
    <n v="56.56"/>
    <n v="4"/>
    <n v="0"/>
    <n v="14.7056"/>
  </r>
  <r>
    <n v="424"/>
    <s v="CA-2021-125388"/>
    <n v="19"/>
    <n v="10"/>
    <n v="2021"/>
    <s v="Standard Class"/>
    <s v="MP-17965"/>
    <s v="michael paige"/>
    <s v="Corporate"/>
    <s v="United States-Massachusetts-Lawrence"/>
    <s v="East"/>
    <n v="1841"/>
    <s v="OFF-ST-10000918"/>
    <x v="1"/>
    <s v="Storage"/>
    <s v="Crate-A-Files"/>
    <n v="32.700000000000003"/>
    <n v="3"/>
    <n v="0"/>
    <n v="8.5020000000000007"/>
  </r>
  <r>
    <n v="425"/>
    <s v="CA-2021-155705"/>
    <n v="21"/>
    <n v="8"/>
    <n v="2021"/>
    <s v="Second Class"/>
    <s v="NF-18385"/>
    <s v="natalie fritzler"/>
    <s v="Consumer"/>
    <s v="United States-Mississippi-Jackson"/>
    <s v="South"/>
    <n v="39212"/>
    <s v="FUR-CH-10000015"/>
    <x v="0"/>
    <s v="Chairs"/>
    <s v="Hon Multipurpose Stacking Arm Chairs"/>
    <n v="866.4"/>
    <n v="4"/>
    <n v="0"/>
    <n v="225.26400000000001"/>
  </r>
  <r>
    <n v="426"/>
    <s v="CA-2021-149160"/>
    <n v="23"/>
    <n v="11"/>
    <n v="2021"/>
    <s v="Second Class"/>
    <s v="JM-15265"/>
    <s v="janet molinari"/>
    <s v="Corporate"/>
    <s v="United States-Michigan-Canton"/>
    <s v="Central"/>
    <n v="48187"/>
    <s v="FUR-FU-10003347"/>
    <x v="0"/>
    <s v="Furnishings"/>
    <s v="Coloredge Poster Frame"/>
    <n v="28.4"/>
    <n v="2"/>
    <n v="0"/>
    <n v="11.076000000000001"/>
  </r>
  <r>
    <n v="427"/>
    <s v="CA-2021-149160"/>
    <n v="23"/>
    <n v="11"/>
    <n v="2021"/>
    <s v="Second Class"/>
    <s v="JM-15265"/>
    <s v="janet molinari"/>
    <s v="Corporate"/>
    <s v="United States-Michigan-Canton"/>
    <s v="Central"/>
    <n v="48187"/>
    <s v="OFF-BI-10001543"/>
    <x v="1"/>
    <s v="Binders"/>
    <s v="GBC VeloBinder Manual Binding System"/>
    <n v="287.92"/>
    <n v="8"/>
    <n v="0"/>
    <n v="138.20160000000001"/>
  </r>
  <r>
    <n v="428"/>
    <s v="CA-2018-101476"/>
    <n v="12"/>
    <n v="9"/>
    <n v="2018"/>
    <s v="First Class"/>
    <s v="SD-20485"/>
    <s v="shirley daniels"/>
    <s v="Home Office"/>
    <s v="United States-New York-New Rochelle"/>
    <s v="East"/>
    <n v="10801"/>
    <s v="TEC-MA-10000029"/>
    <x v="2"/>
    <s v="Machines"/>
    <s v="Epson WorkForce WF-2530 All-in-One Printer, Copier Scanner"/>
    <n v="69.989999999999995"/>
    <n v="1"/>
    <n v="0"/>
    <n v="30.095700000000001"/>
  </r>
  <r>
    <n v="429"/>
    <s v="CA-2021-152275"/>
    <n v="1"/>
    <n v="10"/>
    <n v="2021"/>
    <s v="Standard Class"/>
    <s v="KH-16630"/>
    <s v="ken heidel"/>
    <s v="Corporate"/>
    <s v="United States-Texas-San Antonio"/>
    <s v="Central"/>
    <n v="78207"/>
    <s v="OFF-AR-10000369"/>
    <x v="1"/>
    <s v="Art"/>
    <s v="Design Ebony Sketching Pencil"/>
    <n v="6.6719999999999997"/>
    <n v="6"/>
    <n v="0.2"/>
    <n v="0.50039999999999996"/>
  </r>
  <r>
    <n v="430"/>
    <s v="US-2020-123750"/>
    <n v="15"/>
    <n v="4"/>
    <n v="2020"/>
    <s v="Standard Class"/>
    <s v="RB-19795"/>
    <s v="ross baird"/>
    <s v="Home Office"/>
    <s v="United States-North Carolina-Gastonia"/>
    <s v="South"/>
    <n v="28052"/>
    <s v="OFF-BI-10004584"/>
    <x v="1"/>
    <s v="Binders"/>
    <s v="GBC ProClick 150 Presentation Binding System"/>
    <n v="189.58799999999999"/>
    <n v="2"/>
    <n v="0.7"/>
    <n v="-145.35079999999999"/>
  </r>
  <r>
    <n v="431"/>
    <s v="US-2020-123750"/>
    <n v="15"/>
    <n v="4"/>
    <n v="2020"/>
    <s v="Standard Class"/>
    <s v="RB-19795"/>
    <s v="ross baird"/>
    <s v="Home Office"/>
    <s v="United States-North Carolina-Gastonia"/>
    <s v="South"/>
    <n v="28052"/>
    <s v="TEC-AC-10004659"/>
    <x v="2"/>
    <s v="Accessories"/>
    <s v="Imation Secure+ Hardware Encrypted USB 2.0 Flash Drive; 16GB"/>
    <n v="408.74400000000003"/>
    <n v="7"/>
    <n v="0.2"/>
    <n v="76.639499999999998"/>
  </r>
  <r>
    <n v="432"/>
    <s v="US-2020-123750"/>
    <n v="15"/>
    <n v="4"/>
    <n v="2020"/>
    <s v="Standard Class"/>
    <s v="RB-19795"/>
    <s v="ross baird"/>
    <s v="Home Office"/>
    <s v="United States-North Carolina-Gastonia"/>
    <s v="South"/>
    <n v="28052"/>
    <s v="TEC-AC-10004659"/>
    <x v="2"/>
    <s v="Accessories"/>
    <s v="Imation Secure+ Hardware Encrypted USB 2.0 Flash Drive; 16GB"/>
    <n v="408.74400000000003"/>
    <n v="7"/>
    <n v="0.2"/>
    <n v="76.639499999999998"/>
  </r>
  <r>
    <n v="433"/>
    <s v="US-2020-123750"/>
    <n v="15"/>
    <n v="4"/>
    <n v="2020"/>
    <s v="Standard Class"/>
    <s v="RB-19795"/>
    <s v="ross baird"/>
    <s v="Home Office"/>
    <s v="United States-North Carolina-Gastonia"/>
    <s v="South"/>
    <n v="28052"/>
    <s v="OFF-ST-10000617"/>
    <x v="1"/>
    <s v="Storage"/>
    <s v="Woodgrain Magazine Files by Perma"/>
    <n v="4.7679999999999998"/>
    <n v="2"/>
    <n v="0.2"/>
    <n v="-0.77480000000000004"/>
  </r>
  <r>
    <n v="434"/>
    <s v="CA-2020-127369"/>
    <n v="6"/>
    <n v="6"/>
    <n v="2020"/>
    <s v="First Class"/>
    <s v="DB-13060"/>
    <s v="dave brooks"/>
    <s v="Consumer"/>
    <s v="United States-Massachusetts-Lowell"/>
    <s v="East"/>
    <n v="1852"/>
    <s v="OFF-ST-10003306"/>
    <x v="1"/>
    <s v="Storage"/>
    <s v="Letter Size Cart"/>
    <n v="714.3"/>
    <n v="5"/>
    <n v="0"/>
    <n v="207.14699999999999"/>
  </r>
  <r>
    <n v="435"/>
    <s v="US-2018-150574"/>
    <n v="19"/>
    <n v="12"/>
    <n v="2018"/>
    <s v="Standard Class"/>
    <s v="MK-18160"/>
    <s v="mike kennedy"/>
    <s v="Consumer"/>
    <s v="United States-Florida-Jacksonville"/>
    <s v="South"/>
    <n v="32216"/>
    <s v="OFF-BI-10000773"/>
    <x v="1"/>
    <s v="Binders"/>
    <s v="Insertable Tab Post Binder Dividers"/>
    <n v="4.8120000000000003"/>
    <n v="2"/>
    <n v="0.7"/>
    <n v="-3.6892"/>
  </r>
  <r>
    <n v="436"/>
    <s v="US-2018-150574"/>
    <n v="19"/>
    <n v="12"/>
    <n v="2018"/>
    <s v="Standard Class"/>
    <s v="MK-18160"/>
    <s v="mike kennedy"/>
    <s v="Consumer"/>
    <s v="United States-Florida-Jacksonville"/>
    <s v="South"/>
    <n v="32216"/>
    <s v="TEC-AC-10002600"/>
    <x v="2"/>
    <s v="Accessories"/>
    <s v="Belkin QODE FastFit Bluetooth Keyboard"/>
    <n v="247.8"/>
    <n v="5"/>
    <n v="0.2"/>
    <n v="-18.585000000000001"/>
  </r>
  <r>
    <n v="437"/>
    <s v="CA-2020-147375"/>
    <n v="12"/>
    <n v="6"/>
    <n v="2020"/>
    <s v="Second Class"/>
    <s v="PO-19180"/>
    <s v="philisse overcash"/>
    <s v="Home Office"/>
    <s v="United States-Illinois-Chicago"/>
    <s v="Central"/>
    <n v="60623"/>
    <s v="TEC-MA-10002937"/>
    <x v="2"/>
    <s v="Machines"/>
    <s v="Canon Color ImageCLASS MF8580Cdw Wireless Laser All-In-One Printer, Copier, Scanner"/>
    <n v="1007.979"/>
    <n v="3"/>
    <n v="0.3"/>
    <n v="43.199100000000001"/>
  </r>
  <r>
    <n v="438"/>
    <s v="CA-2020-147375"/>
    <n v="12"/>
    <n v="6"/>
    <n v="2020"/>
    <s v="Second Class"/>
    <s v="PO-19180"/>
    <s v="philisse overcash"/>
    <s v="Home Office"/>
    <s v="United States-Illinois-Chicago"/>
    <s v="Central"/>
    <n v="60623"/>
    <s v="OFF-PA-10001970"/>
    <x v="1"/>
    <s v="Paper"/>
    <s v="Xerox 1908"/>
    <n v="55.98"/>
    <n v="1"/>
    <n v="0"/>
    <n v="27.430199999999999"/>
  </r>
  <r>
    <n v="439"/>
    <s v="CA-2021-130043"/>
    <n v="15"/>
    <n v="9"/>
    <n v="2021"/>
    <s v="Standard Class"/>
    <s v="BB-11545"/>
    <s v="brenda bowman"/>
    <s v="Corporate"/>
    <s v="United States-Texas-Houston"/>
    <s v="Central"/>
    <n v="77070"/>
    <s v="OFF-PA-10002230"/>
    <x v="1"/>
    <s v="Paper"/>
    <s v="Xerox 1897"/>
    <n v="31.872"/>
    <n v="8"/>
    <n v="0.2"/>
    <n v="11.553599999999999"/>
  </r>
  <r>
    <n v="440"/>
    <s v="CA-2021-157252"/>
    <n v="20"/>
    <n v="1"/>
    <n v="2021"/>
    <s v="Second Class"/>
    <s v="CV-12805"/>
    <s v="cynthia voltz"/>
    <s v="Corporate"/>
    <s v="United States-New York-New York City"/>
    <s v="East"/>
    <n v="10024"/>
    <s v="FUR-CH-10003396"/>
    <x v="0"/>
    <s v="Chairs"/>
    <s v="Global Deluxe Steno Chair"/>
    <n v="207.846"/>
    <n v="3"/>
    <n v="0.1"/>
    <n v="2.3094000000000001"/>
  </r>
  <r>
    <n v="441"/>
    <s v="CA-2020-115756"/>
    <n v="5"/>
    <n v="9"/>
    <n v="2020"/>
    <s v="Second Class"/>
    <s v="PK-19075"/>
    <s v="pete kriz"/>
    <s v="Consumer"/>
    <s v="United States-Michigan-Detroit"/>
    <s v="Central"/>
    <n v="48227"/>
    <s v="FUR-FU-10000246"/>
    <x v="0"/>
    <s v="Furnishings"/>
    <s v="Aluminum Document Frame"/>
    <n v="12.22"/>
    <n v="1"/>
    <n v="0"/>
    <n v="3.6659999999999999"/>
  </r>
  <r>
    <n v="442"/>
    <s v="CA-2020-115756"/>
    <n v="5"/>
    <n v="9"/>
    <n v="2020"/>
    <s v="Second Class"/>
    <s v="PK-19075"/>
    <s v="pete kriz"/>
    <s v="Consumer"/>
    <s v="United States-Michigan-Detroit"/>
    <s v="Central"/>
    <n v="48227"/>
    <s v="OFF-ST-10000060"/>
    <x v="1"/>
    <s v="Storage"/>
    <s v="Fellowes Bankers Box Staxonsteel Drawer File/Stacking System"/>
    <n v="194.94"/>
    <n v="3"/>
    <n v="0"/>
    <n v="23.392800000000001"/>
  </r>
  <r>
    <n v="443"/>
    <s v="CA-2020-115756"/>
    <n v="5"/>
    <n v="9"/>
    <n v="2020"/>
    <s v="Second Class"/>
    <s v="PK-19075"/>
    <s v="pete kriz"/>
    <s v="Consumer"/>
    <s v="United States-Michigan-Detroit"/>
    <s v="Central"/>
    <n v="48227"/>
    <s v="OFF-ST-10003058"/>
    <x v="1"/>
    <s v="Storage"/>
    <s v="Eldon Mobile Mega Data Cart Mega Stackable Add-On Trays"/>
    <n v="70.95"/>
    <n v="3"/>
    <n v="0"/>
    <n v="20.575500000000002"/>
  </r>
  <r>
    <n v="444"/>
    <s v="CA-2020-115756"/>
    <n v="5"/>
    <n v="9"/>
    <n v="2020"/>
    <s v="Second Class"/>
    <s v="PK-19075"/>
    <s v="pete kriz"/>
    <s v="Consumer"/>
    <s v="United States-Michigan-Detroit"/>
    <s v="Central"/>
    <n v="48227"/>
    <s v="OFF-PA-10002222"/>
    <x v="1"/>
    <s v="Paper"/>
    <s v="Xerox Color Copier Paper, 11&quot; x 17&quot;, Ream"/>
    <n v="91.36"/>
    <n v="4"/>
    <n v="0"/>
    <n v="42.025599999999997"/>
  </r>
  <r>
    <n v="445"/>
    <s v="CA-2020-115756"/>
    <n v="5"/>
    <n v="9"/>
    <n v="2020"/>
    <s v="Second Class"/>
    <s v="PK-19075"/>
    <s v="pete kriz"/>
    <s v="Consumer"/>
    <s v="United States-Michigan-Detroit"/>
    <s v="Central"/>
    <n v="48227"/>
    <s v="FUR-CH-10002372"/>
    <x v="0"/>
    <s v="Chairs"/>
    <s v="Office Star - Ergonomically Designed Knee Chair"/>
    <n v="242.94"/>
    <n v="3"/>
    <n v="0"/>
    <n v="29.152799999999999"/>
  </r>
  <r>
    <n v="446"/>
    <s v="CA-2020-115756"/>
    <n v="5"/>
    <n v="9"/>
    <n v="2020"/>
    <s v="Second Class"/>
    <s v="PK-19075"/>
    <s v="pete kriz"/>
    <s v="Consumer"/>
    <s v="United States-Michigan-Detroit"/>
    <s v="Central"/>
    <n v="48227"/>
    <s v="OFF-LA-10001317"/>
    <x v="1"/>
    <s v="Labels"/>
    <s v="Avery 520"/>
    <n v="22.05"/>
    <n v="7"/>
    <n v="0"/>
    <n v="10.584"/>
  </r>
  <r>
    <n v="447"/>
    <s v="CA-2021-154214"/>
    <n v="20"/>
    <n v="3"/>
    <n v="2021"/>
    <s v="Second Class"/>
    <s v="TB-21595"/>
    <s v="troy blackwell"/>
    <s v="Consumer"/>
    <s v="United States-Indiana-Columbus"/>
    <s v="Central"/>
    <n v="47201"/>
    <s v="FUR-FU-10000206"/>
    <x v="0"/>
    <s v="Furnishings"/>
    <s v="GE General Purpose, Extra Long Life, Showcase &amp; Floodlight Incandescent Bulbs"/>
    <n v="2.91"/>
    <n v="1"/>
    <n v="0"/>
    <n v="1.3676999999999999"/>
  </r>
  <r>
    <n v="448"/>
    <s v="CA-2020-166674"/>
    <n v="1"/>
    <n v="4"/>
    <n v="2020"/>
    <s v="Second Class"/>
    <s v="RB-19360"/>
    <s v="raymond buch"/>
    <s v="Consumer"/>
    <s v="United States-New York-Auburn"/>
    <s v="East"/>
    <n v="13021"/>
    <s v="OFF-AR-10000588"/>
    <x v="1"/>
    <s v="Art"/>
    <s v="Newell 345"/>
    <n v="59.52"/>
    <n v="3"/>
    <n v="0"/>
    <n v="15.475199999999999"/>
  </r>
  <r>
    <n v="449"/>
    <s v="CA-2020-166674"/>
    <n v="1"/>
    <n v="4"/>
    <n v="2020"/>
    <s v="Second Class"/>
    <s v="RB-19360"/>
    <s v="raymond buch"/>
    <s v="Consumer"/>
    <s v="United States-New York-Auburn"/>
    <s v="East"/>
    <n v="13021"/>
    <s v="OFF-ST-10001469"/>
    <x v="1"/>
    <s v="Storage"/>
    <s v="Fellowes Bankers Box Recycled Super Stor/Drawer"/>
    <n v="161.94"/>
    <n v="3"/>
    <n v="0"/>
    <n v="9.7164000000000001"/>
  </r>
  <r>
    <n v="450"/>
    <s v="CA-2020-166674"/>
    <n v="1"/>
    <n v="4"/>
    <n v="2020"/>
    <s v="Second Class"/>
    <s v="RB-19360"/>
    <s v="raymond buch"/>
    <s v="Consumer"/>
    <s v="United States-New York-Auburn"/>
    <s v="East"/>
    <n v="13021"/>
    <s v="OFF-AR-10001953"/>
    <x v="1"/>
    <s v="Art"/>
    <s v="Boston 1645 Deluxe Heavier-Duty Electric Pencil Sharpener"/>
    <n v="263.88"/>
    <n v="6"/>
    <n v="0"/>
    <n v="71.247600000000006"/>
  </r>
  <r>
    <n v="451"/>
    <s v="CA-2020-166674"/>
    <n v="1"/>
    <n v="4"/>
    <n v="2020"/>
    <s v="Second Class"/>
    <s v="RB-19360"/>
    <s v="raymond buch"/>
    <s v="Consumer"/>
    <s v="United States-New York-Auburn"/>
    <s v="East"/>
    <n v="13021"/>
    <s v="OFF-AR-10003156"/>
    <x v="1"/>
    <s v="Art"/>
    <s v="50 Colored Long Pencils"/>
    <n v="30.48"/>
    <n v="3"/>
    <n v="0"/>
    <n v="7.9248000000000003"/>
  </r>
  <r>
    <n v="452"/>
    <s v="CA-2020-166674"/>
    <n v="1"/>
    <n v="4"/>
    <n v="2020"/>
    <s v="Second Class"/>
    <s v="RB-19360"/>
    <s v="raymond buch"/>
    <s v="Consumer"/>
    <s v="United States-New York-Auburn"/>
    <s v="East"/>
    <n v="13021"/>
    <s v="OFF-AR-10004974"/>
    <x v="1"/>
    <s v="Art"/>
    <s v="Newell 342"/>
    <n v="9.84"/>
    <n v="3"/>
    <n v="0"/>
    <n v="2.8536000000000001"/>
  </r>
  <r>
    <n v="453"/>
    <s v="CA-2020-166674"/>
    <n v="1"/>
    <n v="4"/>
    <n v="2020"/>
    <s v="Second Class"/>
    <s v="RB-19360"/>
    <s v="raymond buch"/>
    <s v="Consumer"/>
    <s v="United States-New York-Auburn"/>
    <s v="East"/>
    <n v="13021"/>
    <s v="TEC-PH-10002365"/>
    <x v="2"/>
    <s v="Phones"/>
    <s v="Belkin Grip Candy Sheer Case / Cover for iPhone 5 and 5S"/>
    <n v="35.119999999999997"/>
    <n v="4"/>
    <n v="0"/>
    <n v="9.1311999999999998"/>
  </r>
  <r>
    <n v="454"/>
    <s v="CA-2021-147277"/>
    <n v="20"/>
    <n v="10"/>
    <n v="2021"/>
    <s v="Standard Class"/>
    <s v="EB-13705"/>
    <s v="ed braxton"/>
    <s v="Corporate"/>
    <s v="United States-Ohio-Akron"/>
    <s v="East"/>
    <n v="44312"/>
    <s v="FUR-TA-10001539"/>
    <x v="0"/>
    <s v="Tables"/>
    <s v="Chromcraft Rectangular Conference Tables"/>
    <n v="1706.184"/>
    <n v="9"/>
    <n v="0.2"/>
    <n v="85.309200000000004"/>
  </r>
  <r>
    <n v="455"/>
    <s v="CA-2021-147277"/>
    <n v="20"/>
    <n v="10"/>
    <n v="2021"/>
    <s v="Standard Class"/>
    <s v="EB-13705"/>
    <s v="ed braxton"/>
    <s v="Corporate"/>
    <s v="United States-Ohio-Akron"/>
    <s v="East"/>
    <n v="44312"/>
    <s v="OFF-ST-10000142"/>
    <x v="1"/>
    <s v="Storage"/>
    <s v="Deluxe Rollaway Locking File with Drawer"/>
    <n v="665.40800000000002"/>
    <n v="2"/>
    <n v="0.2"/>
    <n v="66.540800000000004"/>
  </r>
  <r>
    <n v="456"/>
    <s v="CA-2020-100153"/>
    <n v="13"/>
    <n v="12"/>
    <n v="2020"/>
    <s v="Standard Class"/>
    <s v="KH-16630"/>
    <s v="ken heidel"/>
    <s v="Corporate"/>
    <s v="United States-Oklahoma-Norman"/>
    <s v="Central"/>
    <n v="73071"/>
    <s v="TEC-AC-10001772"/>
    <x v="2"/>
    <s v="Accessories"/>
    <s v="Memorex Mini Travel Drive 16 GB USB 2.0 Flash Drive"/>
    <n v="63.88"/>
    <n v="4"/>
    <n v="0"/>
    <n v="24.9132"/>
  </r>
  <r>
    <n v="457"/>
    <s v="US-2018-110674"/>
    <n v="12"/>
    <n v="2"/>
    <n v="2018"/>
    <s v="Standard Class"/>
    <s v="SC-20095"/>
    <s v="sanjit chand"/>
    <s v="Consumer"/>
    <s v="United States-California-Concord"/>
    <s v="West"/>
    <n v="94521"/>
    <s v="FUR-CH-10000225"/>
    <x v="0"/>
    <s v="Chairs"/>
    <s v="Global Geo Office Task Chair, Gray"/>
    <n v="129.56800000000001"/>
    <n v="2"/>
    <n v="0.2"/>
    <n v="-24.294"/>
  </r>
  <r>
    <n v="458"/>
    <s v="US-2020-157945"/>
    <n v="26"/>
    <n v="9"/>
    <n v="2020"/>
    <s v="Standard Class"/>
    <s v="NF-18385"/>
    <s v="natalie fritzler"/>
    <s v="Consumer"/>
    <s v="United States-Illinois-Decatur"/>
    <s v="Central"/>
    <n v="62521"/>
    <s v="FUR-CH-10002331"/>
    <x v="0"/>
    <s v="Chairs"/>
    <s v="Hon 4700 Series Mobuis Mid-Back Task Chairs with Adjustable Arms"/>
    <n v="747.55799999999999"/>
    <n v="3"/>
    <n v="0.3"/>
    <n v="-96.114599999999996"/>
  </r>
  <r>
    <n v="459"/>
    <s v="US-2020-157945"/>
    <n v="26"/>
    <n v="9"/>
    <n v="2020"/>
    <s v="Standard Class"/>
    <s v="NF-18385"/>
    <s v="natalie fritzler"/>
    <s v="Consumer"/>
    <s v="United States-Illinois-Decatur"/>
    <s v="Central"/>
    <n v="62521"/>
    <s v="OFF-EN-10001415"/>
    <x v="1"/>
    <s v="Envelopes"/>
    <s v="Staple envelope"/>
    <n v="28.4"/>
    <n v="5"/>
    <n v="0"/>
    <n v="13.348000000000001"/>
  </r>
  <r>
    <n v="460"/>
    <s v="CA-2019-109638"/>
    <n v="15"/>
    <n v="12"/>
    <n v="2019"/>
    <s v="Standard Class"/>
    <s v="JH-15985"/>
    <s v="joseph holt"/>
    <s v="Consumer"/>
    <s v="United States-Washington-Seattle"/>
    <s v="West"/>
    <n v="98115"/>
    <s v="OFF-AP-10002472"/>
    <x v="1"/>
    <s v="Appliances"/>
    <s v="3M Office Air Cleaner"/>
    <n v="103.92"/>
    <n v="4"/>
    <n v="0"/>
    <n v="36.372"/>
  </r>
  <r>
    <n v="461"/>
    <s v="CA-2019-109638"/>
    <n v="15"/>
    <n v="12"/>
    <n v="2019"/>
    <s v="Standard Class"/>
    <s v="JH-15985"/>
    <s v="joseph holt"/>
    <s v="Consumer"/>
    <s v="United States-Washington-Seattle"/>
    <s v="West"/>
    <n v="98115"/>
    <s v="TEC-AC-10004571"/>
    <x v="2"/>
    <s v="Accessories"/>
    <s v="Logitech G700s Rechargeable Gaming Mouse"/>
    <n v="899.91"/>
    <n v="9"/>
    <n v="0"/>
    <n v="377.9622"/>
  </r>
  <r>
    <n v="462"/>
    <s v="CA-2019-109638"/>
    <n v="15"/>
    <n v="12"/>
    <n v="2019"/>
    <s v="Standard Class"/>
    <s v="JH-15985"/>
    <s v="joseph holt"/>
    <s v="Consumer"/>
    <s v="United States-Washington-Seattle"/>
    <s v="West"/>
    <n v="98115"/>
    <s v="OFF-BI-10001098"/>
    <x v="1"/>
    <s v="Binders"/>
    <s v="Acco D-Ring Binder w/DublLock"/>
    <n v="51.311999999999998"/>
    <n v="3"/>
    <n v="0.2"/>
    <n v="18.6006"/>
  </r>
  <r>
    <n v="463"/>
    <s v="CA-2020-109869"/>
    <n v="22"/>
    <n v="4"/>
    <n v="2020"/>
    <s v="Standard Class"/>
    <s v="TN-21040"/>
    <s v="tanja norvell"/>
    <s v="Home Office"/>
    <s v="United States-Arizona-Phoenix"/>
    <s v="West"/>
    <n v="85023"/>
    <s v="FUR-FU-10000023"/>
    <x v="0"/>
    <s v="Furnishings"/>
    <s v="Eldon Wave Desk Accessories"/>
    <n v="47.12"/>
    <n v="8"/>
    <n v="0"/>
    <n v="20.732800000000001"/>
  </r>
  <r>
    <n v="464"/>
    <s v="CA-2020-109869"/>
    <n v="22"/>
    <n v="4"/>
    <n v="2020"/>
    <s v="Standard Class"/>
    <s v="TN-21040"/>
    <s v="tanja norvell"/>
    <s v="Home Office"/>
    <s v="United States-Arizona-Phoenix"/>
    <s v="West"/>
    <n v="85023"/>
    <s v="FUR-TA-10001889"/>
    <x v="0"/>
    <s v="Tables"/>
    <s v="Bush Advantage Collection Racetrack Conference Table"/>
    <n v="1272.6300000000001"/>
    <n v="6"/>
    <n v="0.5"/>
    <n v="-814.48320000000001"/>
  </r>
  <r>
    <n v="465"/>
    <s v="CA-2020-109869"/>
    <n v="22"/>
    <n v="4"/>
    <n v="2020"/>
    <s v="Standard Class"/>
    <s v="TN-21040"/>
    <s v="tanja norvell"/>
    <s v="Home Office"/>
    <s v="United States-Arizona-Phoenix"/>
    <s v="West"/>
    <n v="85023"/>
    <s v="OFF-BI-10000315"/>
    <x v="1"/>
    <s v="Binders"/>
    <s v="Poly Designer Cover &amp; Back"/>
    <n v="28.484999999999999"/>
    <n v="5"/>
    <n v="0.7"/>
    <n v="-20.888999999999999"/>
  </r>
  <r>
    <n v="466"/>
    <s v="CA-2020-109869"/>
    <n v="22"/>
    <n v="4"/>
    <n v="2020"/>
    <s v="Standard Class"/>
    <s v="TN-21040"/>
    <s v="tanja norvell"/>
    <s v="Home Office"/>
    <s v="United States-Arizona-Phoenix"/>
    <s v="West"/>
    <n v="85023"/>
    <s v="OFF-SU-10003505"/>
    <x v="1"/>
    <s v="Supplies"/>
    <s v="Premier Electric Letter Opener"/>
    <n v="185.376"/>
    <n v="2"/>
    <n v="0.2"/>
    <n v="-34.758000000000003"/>
  </r>
  <r>
    <n v="467"/>
    <s v="CA-2020-109869"/>
    <n v="22"/>
    <n v="4"/>
    <n v="2020"/>
    <s v="Standard Class"/>
    <s v="TN-21040"/>
    <s v="tanja norvell"/>
    <s v="Home Office"/>
    <s v="United States-Arizona-Phoenix"/>
    <s v="West"/>
    <n v="85023"/>
    <s v="OFF-AP-10002578"/>
    <x v="1"/>
    <s v="Appliances"/>
    <s v="Fellowes Premier Superior Surge Suppressor, 10-Outlet, With Phone and Remote"/>
    <n v="78.272000000000006"/>
    <n v="2"/>
    <n v="0.2"/>
    <n v="5.8704000000000001"/>
  </r>
  <r>
    <n v="468"/>
    <s v="US-2019-101399"/>
    <n v="17"/>
    <n v="1"/>
    <n v="2019"/>
    <s v="Standard Class"/>
    <s v="JS-15940"/>
    <s v="joni sundaresam"/>
    <s v="Home Office"/>
    <s v="United States-Illinois-Park Ridge"/>
    <s v="Central"/>
    <n v="60068"/>
    <s v="FUR-FU-10002918"/>
    <x v="0"/>
    <s v="Furnishings"/>
    <s v="Eldon ClusterMat Chair Mat with Cordless Antistatic Protection"/>
    <n v="218.352"/>
    <n v="3"/>
    <n v="0.2"/>
    <n v="-24.564599999999999"/>
  </r>
  <r>
    <n v="469"/>
    <s v="CA-2021-154907"/>
    <n v="31"/>
    <n v="3"/>
    <n v="2021"/>
    <s v="Standard Class"/>
    <s v="DS-13180"/>
    <s v="david smith"/>
    <s v="Corporate"/>
    <s v="United States-Texas-Amarillo"/>
    <s v="Central"/>
    <n v="79109"/>
    <s v="FUR-BO-10002824"/>
    <x v="0"/>
    <s v="Bookcases"/>
    <s v="Bush Mission Pointe Library"/>
    <n v="205.33279999999999"/>
    <n v="2"/>
    <n v="0.32"/>
    <n v="-36.235199999999999"/>
  </r>
  <r>
    <n v="470"/>
    <s v="US-2020-100419"/>
    <n v="16"/>
    <n v="12"/>
    <n v="2020"/>
    <s v="Second Class"/>
    <s v="CC-12670"/>
    <s v="craig carreira"/>
    <s v="Consumer"/>
    <s v="United States-Illinois-Chicago"/>
    <s v="Central"/>
    <n v="60610"/>
    <s v="OFF-BI-10002194"/>
    <x v="1"/>
    <s v="Binders"/>
    <s v="Cardinal Hold-It CD Pocket"/>
    <n v="4.7880000000000003"/>
    <n v="3"/>
    <n v="0.8"/>
    <n v="-7.9001999999999999"/>
  </r>
  <r>
    <n v="471"/>
    <s v="CA-2019-154144"/>
    <n v="20"/>
    <n v="12"/>
    <n v="2019"/>
    <s v="Standard Class"/>
    <s v="MH-17785"/>
    <s v="maya herman"/>
    <s v="Corporate"/>
    <s v="United States-New York-Lindenhurst"/>
    <s v="East"/>
    <n v="11757"/>
    <s v="OFF-PA-10004071"/>
    <x v="1"/>
    <s v="Paper"/>
    <s v="Eaton Premium Continuous-Feed Paper, 25% Cotton, Letter Size, White, 1000 Shts/Box"/>
    <n v="55.48"/>
    <n v="1"/>
    <n v="0"/>
    <n v="26.630400000000002"/>
  </r>
  <r>
    <n v="472"/>
    <s v="CA-2018-144666"/>
    <n v="9"/>
    <n v="11"/>
    <n v="2018"/>
    <s v="Second Class"/>
    <s v="JP-15520"/>
    <s v="jeremy pistek"/>
    <s v="Consumer"/>
    <s v="United States-California-San Francisco"/>
    <s v="West"/>
    <n v="94110"/>
    <s v="OFF-ST-10002743"/>
    <x v="1"/>
    <s v="Storage"/>
    <s v="SAFCO Boltless Steel Shelving"/>
    <n v="340.92"/>
    <n v="3"/>
    <n v="0"/>
    <n v="3.4091999999999998"/>
  </r>
  <r>
    <n v="473"/>
    <s v="CA-2018-144666"/>
    <n v="9"/>
    <n v="11"/>
    <n v="2018"/>
    <s v="Second Class"/>
    <s v="JP-15520"/>
    <s v="jeremy pistek"/>
    <s v="Consumer"/>
    <s v="United States-California-San Francisco"/>
    <s v="West"/>
    <n v="94110"/>
    <s v="FUR-BO-10001601"/>
    <x v="0"/>
    <s v="Bookcases"/>
    <s v="Sauder Mission Library with Doors, Fruitwood Finish"/>
    <n v="222.666"/>
    <n v="2"/>
    <n v="0.15"/>
    <n v="10.478400000000001"/>
  </r>
  <r>
    <n v="474"/>
    <s v="CA-2018-144666"/>
    <n v="9"/>
    <n v="11"/>
    <n v="2018"/>
    <s v="Second Class"/>
    <s v="JP-15520"/>
    <s v="jeremy pistek"/>
    <s v="Consumer"/>
    <s v="United States-California-San Francisco"/>
    <s v="West"/>
    <n v="94110"/>
    <s v="TEC-PH-10002680"/>
    <x v="2"/>
    <s v="Phones"/>
    <s v="Samsung Galaxy Note 3"/>
    <n v="703.96799999999996"/>
    <n v="4"/>
    <n v="0.2"/>
    <n v="87.995999999999995"/>
  </r>
  <r>
    <n v="475"/>
    <s v="CA-2018-144666"/>
    <n v="9"/>
    <n v="11"/>
    <n v="2018"/>
    <s v="Second Class"/>
    <s v="JP-15520"/>
    <s v="jeremy pistek"/>
    <s v="Consumer"/>
    <s v="United States-California-San Francisco"/>
    <s v="West"/>
    <n v="94110"/>
    <s v="OFF-ST-10001321"/>
    <x v="1"/>
    <s v="Storage"/>
    <s v="Decoflex Hanging Personal Folder File, Blue"/>
    <n v="92.52"/>
    <n v="6"/>
    <n v="0"/>
    <n v="24.980399999999999"/>
  </r>
  <r>
    <n v="476"/>
    <s v="CA-2018-144666"/>
    <n v="9"/>
    <n v="11"/>
    <n v="2018"/>
    <s v="Second Class"/>
    <s v="JP-15520"/>
    <s v="jeremy pistek"/>
    <s v="Consumer"/>
    <s v="United States-California-San Francisco"/>
    <s v="West"/>
    <n v="94110"/>
    <s v="OFF-PA-10001509"/>
    <x v="1"/>
    <s v="Paper"/>
    <s v="Recycled Desk Saver Line &quot;While You Were Out&quot; Book, 5 1/2&quot; X 4&quot;"/>
    <n v="62.65"/>
    <n v="7"/>
    <n v="0"/>
    <n v="28.818999999999999"/>
  </r>
  <r>
    <n v="477"/>
    <s v="CA-2018-144666"/>
    <n v="9"/>
    <n v="11"/>
    <n v="2018"/>
    <s v="Second Class"/>
    <s v="JP-15520"/>
    <s v="jeremy pistek"/>
    <s v="Consumer"/>
    <s v="United States-California-San Francisco"/>
    <s v="West"/>
    <n v="94110"/>
    <s v="OFF-PA-10003465"/>
    <x v="1"/>
    <s v="Paper"/>
    <s v="Xerox 1912"/>
    <n v="94.85"/>
    <n v="5"/>
    <n v="0"/>
    <n v="45.527999999999999"/>
  </r>
  <r>
    <n v="478"/>
    <s v="CA-2020-103891"/>
    <n v="12"/>
    <n v="7"/>
    <n v="2020"/>
    <s v="Standard Class"/>
    <s v="KH-16690"/>
    <s v="kristen hastings"/>
    <s v="Corporate"/>
    <s v="United States-California-Los Angeles"/>
    <s v="West"/>
    <n v="90008"/>
    <s v="TEC-PH-10000149"/>
    <x v="2"/>
    <s v="Phones"/>
    <s v="Cisco SPA525G2 IP Phone - Wireless"/>
    <n v="95.76"/>
    <n v="6"/>
    <n v="0.2"/>
    <n v="7.1820000000000004"/>
  </r>
  <r>
    <n v="479"/>
    <s v="CA-2020-152632"/>
    <n v="27"/>
    <n v="10"/>
    <n v="2020"/>
    <s v="Standard Class"/>
    <s v="JE-15475"/>
    <s v="jeremy ellison"/>
    <s v="Consumer"/>
    <s v="United States-New York-Troy"/>
    <s v="East"/>
    <n v="12180"/>
    <s v="FUR-FU-10002671"/>
    <x v="0"/>
    <s v="Furnishings"/>
    <s v="Electrix 20W Halogen Replacement Bulb for Zoom-In Desk Lamp"/>
    <n v="26.8"/>
    <n v="2"/>
    <n v="0"/>
    <n v="12.864000000000001"/>
  </r>
  <r>
    <n v="480"/>
    <s v="CA-2020-100790"/>
    <n v="26"/>
    <n v="6"/>
    <n v="2020"/>
    <s v="Standard Class"/>
    <s v="JG-15805"/>
    <s v="john grady"/>
    <s v="Corporate"/>
    <s v="United States-New York-New York City"/>
    <s v="East"/>
    <n v="10024"/>
    <s v="OFF-AR-10003045"/>
    <x v="1"/>
    <s v="Art"/>
    <s v="Prang Colored Pencils"/>
    <n v="14.7"/>
    <n v="5"/>
    <n v="0"/>
    <n v="6.6150000000000002"/>
  </r>
  <r>
    <n v="481"/>
    <s v="CA-2020-100790"/>
    <n v="26"/>
    <n v="6"/>
    <n v="2020"/>
    <s v="Standard Class"/>
    <s v="JG-15805"/>
    <s v="john grady"/>
    <s v="Corporate"/>
    <s v="United States-New York-New York City"/>
    <s v="East"/>
    <n v="10024"/>
    <s v="OFF-ST-10000689"/>
    <x v="1"/>
    <s v="Storage"/>
    <s v="Fellowes Strictly Business Drawer File, Letter/Legal Size"/>
    <n v="704.25"/>
    <n v="5"/>
    <n v="0"/>
    <n v="84.51"/>
  </r>
  <r>
    <n v="482"/>
    <s v="CA-2018-134677"/>
    <n v="6"/>
    <n v="10"/>
    <n v="2018"/>
    <s v="Standard Class"/>
    <s v="XP-21865"/>
    <s v="xylona preis"/>
    <s v="Consumer"/>
    <s v="United States-California-San Diego"/>
    <s v="West"/>
    <n v="92024"/>
    <s v="TEC-AC-10001445"/>
    <x v="2"/>
    <s v="Accessories"/>
    <s v="Imation USB 2.0 Swivel Flash Drive USB flash drive - 4 GB - Pink"/>
    <n v="9.09"/>
    <n v="3"/>
    <n v="0"/>
    <n v="1.9089"/>
  </r>
  <r>
    <n v="483"/>
    <s v="CA-2018-127691"/>
    <n v="22"/>
    <n v="7"/>
    <n v="2018"/>
    <s v="Standard Class"/>
    <s v="EM-14065"/>
    <s v="erin mull"/>
    <s v="Consumer"/>
    <s v="United States-New York-New York City"/>
    <s v="East"/>
    <n v="10024"/>
    <s v="OFF-AR-10002053"/>
    <x v="1"/>
    <s v="Art"/>
    <s v="Premium Writing Pencils, Soft, #2 by Central Association for the Blind"/>
    <n v="14.9"/>
    <n v="5"/>
    <n v="0"/>
    <n v="4.1719999999999997"/>
  </r>
  <r>
    <n v="484"/>
    <s v="CA-2018-127691"/>
    <n v="22"/>
    <n v="7"/>
    <n v="2018"/>
    <s v="Standard Class"/>
    <s v="EM-14065"/>
    <s v="erin mull"/>
    <s v="Consumer"/>
    <s v="United States-New York-New York City"/>
    <s v="East"/>
    <n v="10024"/>
    <s v="TEC-AC-10002567"/>
    <x v="2"/>
    <s v="Accessories"/>
    <s v="Logitech G602 Wireless Gaming Mouse"/>
    <n v="159.97999999999999"/>
    <n v="2"/>
    <n v="0"/>
    <n v="57.592799999999997"/>
  </r>
  <r>
    <n v="485"/>
    <s v="CA-2021-140963"/>
    <n v="10"/>
    <n v="6"/>
    <n v="2021"/>
    <s v="First Class"/>
    <s v="MT-18070"/>
    <s v="michelle tran"/>
    <s v="Home Office"/>
    <s v="United States-California-Los Angeles"/>
    <s v="West"/>
    <n v="90045"/>
    <s v="OFF-LA-10003923"/>
    <x v="1"/>
    <s v="Labels"/>
    <s v="Alphabetical Labels for Top Tab Filing"/>
    <n v="29.6"/>
    <n v="2"/>
    <n v="0"/>
    <n v="14.8"/>
  </r>
  <r>
    <n v="486"/>
    <s v="CA-2021-140963"/>
    <n v="10"/>
    <n v="6"/>
    <n v="2021"/>
    <s v="First Class"/>
    <s v="MT-18070"/>
    <s v="michelle tran"/>
    <s v="Home Office"/>
    <s v="United States-California-Los Angeles"/>
    <s v="West"/>
    <n v="90045"/>
    <s v="FUR-BO-10001337"/>
    <x v="0"/>
    <s v="Bookcases"/>
    <s v="O'Sullivan Living Dimensions 2-Shelf Bookcases"/>
    <n v="514.16499999999996"/>
    <n v="5"/>
    <n v="0.15"/>
    <n v="-30.245000000000001"/>
  </r>
  <r>
    <n v="487"/>
    <s v="CA-2021-140963"/>
    <n v="10"/>
    <n v="6"/>
    <n v="2021"/>
    <s v="First Class"/>
    <s v="MT-18070"/>
    <s v="michelle tran"/>
    <s v="Home Office"/>
    <s v="United States-California-Los Angeles"/>
    <s v="West"/>
    <n v="90045"/>
    <s v="TEC-PH-10001924"/>
    <x v="2"/>
    <s v="Phones"/>
    <s v="iHome FM Clock Radio with Lightning Dock"/>
    <n v="279.95999999999998"/>
    <n v="5"/>
    <n v="0.2"/>
    <n v="17.497499999999999"/>
  </r>
  <r>
    <n v="488"/>
    <s v="CA-2018-154627"/>
    <n v="29"/>
    <n v="10"/>
    <n v="2018"/>
    <s v="First Class"/>
    <s v="SA-20830"/>
    <s v="sue ann reed"/>
    <s v="Consumer"/>
    <s v="United States-Illinois-Chicago"/>
    <s v="Central"/>
    <n v="60610"/>
    <s v="TEC-PH-10001363"/>
    <x v="2"/>
    <s v="Phones"/>
    <s v="Apple iPhone 5S"/>
    <n v="2735.9520000000002"/>
    <n v="6"/>
    <n v="0.2"/>
    <n v="341.99400000000003"/>
  </r>
  <r>
    <n v="489"/>
    <s v="CA-2018-133753"/>
    <n v="9"/>
    <n v="6"/>
    <n v="2018"/>
    <s v="Second Class"/>
    <s v="CW-11905"/>
    <s v="carl weiss"/>
    <s v="Home Office"/>
    <s v="United States-Texas-Huntsville"/>
    <s v="Central"/>
    <n v="77340"/>
    <s v="TEC-PH-10000376"/>
    <x v="2"/>
    <s v="Phones"/>
    <s v="Square Credit Card Reader"/>
    <n v="7.992"/>
    <n v="1"/>
    <n v="0.2"/>
    <n v="0.59940000000000004"/>
  </r>
  <r>
    <n v="490"/>
    <s v="CA-2018-133753"/>
    <n v="9"/>
    <n v="6"/>
    <n v="2018"/>
    <s v="Second Class"/>
    <s v="CW-11905"/>
    <s v="carl weiss"/>
    <s v="Home Office"/>
    <s v="United States-Texas-Huntsville"/>
    <s v="Central"/>
    <n v="77340"/>
    <s v="TEC-AC-10000303"/>
    <x v="2"/>
    <s v="Accessories"/>
    <s v="Logitech M510 Wireless Mouse"/>
    <n v="63.984000000000002"/>
    <n v="2"/>
    <n v="0.2"/>
    <n v="10.397399999999999"/>
  </r>
  <r>
    <n v="491"/>
    <s v="CA-2018-133753"/>
    <n v="9"/>
    <n v="6"/>
    <n v="2018"/>
    <s v="Second Class"/>
    <s v="CW-11905"/>
    <s v="carl weiss"/>
    <s v="Home Office"/>
    <s v="United States-Texas-Huntsville"/>
    <s v="Central"/>
    <n v="77340"/>
    <s v="OFF-AR-10001953"/>
    <x v="1"/>
    <s v="Art"/>
    <s v="Boston 1645 Deluxe Heavier-Duty Electric Pencil Sharpener"/>
    <n v="263.88"/>
    <n v="6"/>
    <n v="0"/>
    <n v="71.247600000000006"/>
  </r>
  <r>
    <n v="492"/>
    <s v="CA-2018-113362"/>
    <n v="14"/>
    <n v="9"/>
    <n v="2018"/>
    <s v="Standard Class"/>
    <s v="AJ-10960"/>
    <s v="astrea jones"/>
    <s v="Consumer"/>
    <s v="United States-New York-Rochester"/>
    <s v="East"/>
    <n v="14609"/>
    <s v="OFF-ST-10001809"/>
    <x v="1"/>
    <s v="Storage"/>
    <s v="Fellowes Officeware Wire Shelving"/>
    <n v="449.15"/>
    <n v="5"/>
    <n v="0"/>
    <n v="8.9830000000000005"/>
  </r>
  <r>
    <n v="493"/>
    <s v="CA-2018-113362"/>
    <n v="14"/>
    <n v="9"/>
    <n v="2018"/>
    <s v="Standard Class"/>
    <s v="AJ-10960"/>
    <s v="astrea jones"/>
    <s v="Consumer"/>
    <s v="United States-New York-Rochester"/>
    <s v="East"/>
    <n v="14609"/>
    <s v="OFF-EN-10003845"/>
    <x v="1"/>
    <s v="Envelopes"/>
    <s v="Colored Envelopes"/>
    <n v="11.07"/>
    <n v="3"/>
    <n v="0"/>
    <n v="5.0922000000000001"/>
  </r>
  <r>
    <n v="494"/>
    <s v="CA-2020-169166"/>
    <n v="9"/>
    <n v="5"/>
    <n v="2020"/>
    <s v="Standard Class"/>
    <s v="SS-20590"/>
    <s v="sonia sunley"/>
    <s v="Consumer"/>
    <s v="United States-Washington-Seattle"/>
    <s v="West"/>
    <n v="98115"/>
    <s v="TEC-AC-10000991"/>
    <x v="2"/>
    <s v="Accessories"/>
    <s v="Sony Micro Vault Click 8 GB USB 2.0 Flash Drive"/>
    <n v="93.98"/>
    <n v="2"/>
    <n v="0"/>
    <n v="13.1572"/>
  </r>
  <r>
    <n v="495"/>
    <s v="US-2020-120929"/>
    <n v="18"/>
    <n v="3"/>
    <n v="2020"/>
    <s v="Second Class"/>
    <s v="RO-19780"/>
    <s v="rose o'brian"/>
    <s v="Consumer"/>
    <s v="United States-Tennessee-Memphis"/>
    <s v="South"/>
    <n v="38109"/>
    <s v="FUR-TA-10001857"/>
    <x v="0"/>
    <s v="Tables"/>
    <s v="Balt Solid Wood Rectangular Table"/>
    <n v="189.88200000000001"/>
    <n v="3"/>
    <n v="0.4"/>
    <n v="-94.941000000000003"/>
  </r>
  <r>
    <n v="496"/>
    <s v="CA-2019-134782"/>
    <n v="27"/>
    <n v="12"/>
    <n v="2019"/>
    <s v="Standard Class"/>
    <s v="MD-17350"/>
    <s v="maribeth dona"/>
    <s v="Consumer"/>
    <s v="United States-Arkansas-Fayetteville"/>
    <s v="South"/>
    <n v="72701"/>
    <s v="OFF-EN-10001434"/>
    <x v="1"/>
    <s v="Envelopes"/>
    <s v="Strathmore #10 Envelopes, Ultimate White"/>
    <n v="105.42"/>
    <n v="2"/>
    <n v="0"/>
    <n v="51.655799999999999"/>
  </r>
  <r>
    <n v="497"/>
    <s v="CA-2020-126158"/>
    <n v="25"/>
    <n v="7"/>
    <n v="2020"/>
    <s v="Standard Class"/>
    <s v="SC-20095"/>
    <s v="sanjit chand"/>
    <s v="Consumer"/>
    <s v="United States-California-Costa Mesa"/>
    <s v="West"/>
    <n v="92627"/>
    <s v="OFF-BI-10002498"/>
    <x v="1"/>
    <s v="Binders"/>
    <s v="Clear Mylar Reinforcing Strips"/>
    <n v="119.616"/>
    <n v="8"/>
    <n v="0.2"/>
    <n v="40.370399999999997"/>
  </r>
  <r>
    <n v="498"/>
    <s v="CA-2020-126158"/>
    <n v="25"/>
    <n v="7"/>
    <n v="2020"/>
    <s v="Standard Class"/>
    <s v="SC-20095"/>
    <s v="sanjit chand"/>
    <s v="Consumer"/>
    <s v="United States-California-Costa Mesa"/>
    <s v="West"/>
    <n v="92627"/>
    <s v="FUR-FU-10004864"/>
    <x v="0"/>
    <s v="Furnishings"/>
    <s v="Howard Miller 14-1/2&quot; Diameter Chrome Round Wall Clock"/>
    <n v="255.76"/>
    <n v="4"/>
    <n v="0"/>
    <n v="81.843199999999996"/>
  </r>
  <r>
    <n v="499"/>
    <s v="CA-2020-126158"/>
    <n v="25"/>
    <n v="7"/>
    <n v="2020"/>
    <s v="Standard Class"/>
    <s v="SC-20095"/>
    <s v="sanjit chand"/>
    <s v="Consumer"/>
    <s v="United States-California-Costa Mesa"/>
    <s v="West"/>
    <n v="92627"/>
    <s v="FUR-CH-10002602"/>
    <x v="0"/>
    <s v="Chairs"/>
    <s v="DMI Arturo Collection Mission-style Design Wood Chair"/>
    <n v="135.88200000000001"/>
    <n v="1"/>
    <n v="0.1"/>
    <n v="24.1568"/>
  </r>
  <r>
    <n v="500"/>
    <s v="CA-2020-126158"/>
    <n v="25"/>
    <n v="7"/>
    <n v="2020"/>
    <s v="Standard Class"/>
    <s v="SC-20095"/>
    <s v="sanjit chand"/>
    <s v="Consumer"/>
    <s v="United States-California-Costa Mesa"/>
    <s v="West"/>
    <n v="92627"/>
    <s v="FUR-FU-10000073"/>
    <x v="0"/>
    <s v="Furnishings"/>
    <s v="Deflect-O Glasstique Clear Desk Accessories"/>
    <n v="69.3"/>
    <n v="9"/>
    <n v="0"/>
    <n v="22.869"/>
  </r>
  <r>
    <n v="500"/>
    <s v="CA-2020-126158"/>
    <n v="25"/>
    <n v="7"/>
    <n v="2020"/>
    <s v="Standard Class"/>
    <s v="SC-20095"/>
    <s v="sanjit chand"/>
    <s v="Consumer"/>
    <s v="United States-California-Costa Mesa"/>
    <s v="West"/>
    <n v="92627"/>
    <s v="FUR-FU-10000073"/>
    <x v="0"/>
    <s v="Furnishings"/>
    <s v="Deflect-O Glasstique Clear Desk Accessories"/>
    <n v="69.3"/>
    <n v="9"/>
    <n v="0"/>
    <n v="22.869"/>
  </r>
  <r>
    <n v="501"/>
    <s v="US-2020-105578"/>
    <n v="30"/>
    <n v="5"/>
    <n v="2020"/>
    <s v="Standard Class"/>
    <s v="MY-17380"/>
    <s v="maribeth yedwab"/>
    <s v="Corporate"/>
    <s v="United States-Colorado-Parker"/>
    <s v="West"/>
    <n v="80134"/>
    <s v="OFF-BI-10001670"/>
    <x v="1"/>
    <s v="Binders"/>
    <s v="Vinyl Sectional Post Binders"/>
    <n v="22.62"/>
    <n v="2"/>
    <n v="0.7"/>
    <n v="-15.08"/>
  </r>
  <r>
    <n v="502"/>
    <s v="US-2020-105578"/>
    <n v="30"/>
    <n v="5"/>
    <n v="2020"/>
    <s v="Standard Class"/>
    <s v="MY-17380"/>
    <s v="maribeth yedwab"/>
    <s v="Corporate"/>
    <s v="United States-Colorado-Parker"/>
    <s v="West"/>
    <n v="80134"/>
    <s v="OFF-BI-10001658"/>
    <x v="1"/>
    <s v="Binders"/>
    <s v="GBC Standard Therm-A-Bind Covers"/>
    <n v="14.952"/>
    <n v="2"/>
    <n v="0.7"/>
    <n v="-11.961600000000001"/>
  </r>
  <r>
    <n v="503"/>
    <s v="US-2020-105578"/>
    <n v="30"/>
    <n v="5"/>
    <n v="2020"/>
    <s v="Standard Class"/>
    <s v="MY-17380"/>
    <s v="maribeth yedwab"/>
    <s v="Corporate"/>
    <s v="United States-Colorado-Parker"/>
    <s v="West"/>
    <n v="80134"/>
    <s v="FUR-CH-10001215"/>
    <x v="0"/>
    <s v="Chairs"/>
    <s v="Global Troy Executive Leather Low-Back Tilter"/>
    <n v="801.56799999999998"/>
    <n v="2"/>
    <n v="0.2"/>
    <n v="50.097999999999999"/>
  </r>
  <r>
    <n v="504"/>
    <s v="US-2020-105578"/>
    <n v="30"/>
    <n v="5"/>
    <n v="2020"/>
    <s v="Standard Class"/>
    <s v="MY-17380"/>
    <s v="maribeth yedwab"/>
    <s v="Corporate"/>
    <s v="United States-Colorado-Parker"/>
    <s v="West"/>
    <n v="80134"/>
    <s v="OFF-BI-10000831"/>
    <x v="1"/>
    <s v="Binders"/>
    <s v="Storex Flexible Poly Binders with Double Pockets"/>
    <n v="2.3759999999999999"/>
    <n v="3"/>
    <n v="0.7"/>
    <n v="-1.9008"/>
  </r>
  <r>
    <n v="505"/>
    <s v="US-2020-105578"/>
    <n v="30"/>
    <n v="5"/>
    <n v="2020"/>
    <s v="Standard Class"/>
    <s v="MY-17380"/>
    <s v="maribeth yedwab"/>
    <s v="Corporate"/>
    <s v="United States-Colorado-Parker"/>
    <s v="West"/>
    <n v="80134"/>
    <s v="OFF-PA-10000357"/>
    <x v="1"/>
    <s v="Paper"/>
    <s v="White Dual Perf Computer Printout Paper, 2700 Sheets, 1 Part, Heavyweight, 20 lbs., 14 7/8 x 11"/>
    <n v="32.792000000000002"/>
    <n v="1"/>
    <n v="0.2"/>
    <n v="11.8871"/>
  </r>
  <r>
    <n v="506"/>
    <s v="CA-2021-134978"/>
    <n v="12"/>
    <n v="11"/>
    <n v="2021"/>
    <s v="Second Class"/>
    <s v="EB-13705"/>
    <s v="ed braxton"/>
    <s v="Corporate"/>
    <s v="United States-New York-New York City"/>
    <s v="East"/>
    <n v="10024"/>
    <s v="OFF-BI-10003274"/>
    <x v="1"/>
    <s v="Binders"/>
    <s v="Avery Durable Slant Ring Binders, No Labels"/>
    <n v="2.3879999999999999"/>
    <n v="2"/>
    <n v="0.7"/>
    <n v="-1.8308"/>
  </r>
  <r>
    <n v="507"/>
    <s v="CA-2019-145352"/>
    <n v="16"/>
    <n v="3"/>
    <n v="2019"/>
    <s v="Standard Class"/>
    <s v="CM-12385"/>
    <s v="christopher martinez"/>
    <s v="Consumer"/>
    <s v="United States-Georgia-Atlanta"/>
    <s v="South"/>
    <n v="30318"/>
    <s v="OFF-AR-10001662"/>
    <x v="1"/>
    <s v="Art"/>
    <s v="Rogers Handheld Barrel Pencil Sharpener"/>
    <n v="2.74"/>
    <n v="1"/>
    <n v="0"/>
    <n v="0.73980000000000001"/>
  </r>
  <r>
    <n v="508"/>
    <s v="CA-2019-145352"/>
    <n v="16"/>
    <n v="3"/>
    <n v="2019"/>
    <s v="Standard Class"/>
    <s v="CM-12385"/>
    <s v="christopher martinez"/>
    <s v="Consumer"/>
    <s v="United States-Georgia-Atlanta"/>
    <s v="South"/>
    <n v="30318"/>
    <s v="OFF-AR-10003856"/>
    <x v="1"/>
    <s v="Art"/>
    <s v="Newell 344"/>
    <n v="8.34"/>
    <n v="3"/>
    <n v="0"/>
    <n v="2.1684000000000001"/>
  </r>
  <r>
    <n v="509"/>
    <s v="CA-2019-145352"/>
    <n v="16"/>
    <n v="3"/>
    <n v="2019"/>
    <s v="Standard Class"/>
    <s v="CM-12385"/>
    <s v="christopher martinez"/>
    <s v="Consumer"/>
    <s v="United States-Georgia-Atlanta"/>
    <s v="South"/>
    <n v="30318"/>
    <s v="OFF-ST-10001228"/>
    <x v="1"/>
    <s v="Storage"/>
    <s v="Personal File Boxes with Fold-Down Carry Handle"/>
    <n v="46.74"/>
    <n v="3"/>
    <n v="0"/>
    <n v="11.685"/>
  </r>
  <r>
    <n v="510"/>
    <s v="CA-2019-145352"/>
    <n v="16"/>
    <n v="3"/>
    <n v="2019"/>
    <s v="Standard Class"/>
    <s v="CM-12385"/>
    <s v="christopher martinez"/>
    <s v="Consumer"/>
    <s v="United States-Georgia-Atlanta"/>
    <s v="South"/>
    <n v="30318"/>
    <s v="OFF-BI-10003527"/>
    <x v="1"/>
    <s v="Binders"/>
    <s v="Fellowes PB500 Electric Punch Plastic Comb Binding Machine with Manual Bind"/>
    <n v="6354.95"/>
    <n v="5"/>
    <n v="0"/>
    <n v="3177.4749999999999"/>
  </r>
  <r>
    <n v="511"/>
    <s v="CA-2021-135307"/>
    <n v="26"/>
    <n v="11"/>
    <n v="2021"/>
    <s v="First Class"/>
    <s v="LS-17245"/>
    <s v="lynn smith"/>
    <s v="Consumer"/>
    <s v="United States-Missouri-Gladstone"/>
    <s v="Central"/>
    <n v="64118"/>
    <s v="FUR-FU-10001290"/>
    <x v="0"/>
    <s v="Furnishings"/>
    <s v="Executive Impressions Supervisor Wall Clock"/>
    <n v="126.3"/>
    <n v="3"/>
    <n v="0"/>
    <n v="40.415999999999997"/>
  </r>
  <r>
    <n v="512"/>
    <s v="CA-2021-135307"/>
    <n v="26"/>
    <n v="11"/>
    <n v="2021"/>
    <s v="First Class"/>
    <s v="LS-17245"/>
    <s v="lynn smith"/>
    <s v="Consumer"/>
    <s v="United States-Missouri-Gladstone"/>
    <s v="Central"/>
    <n v="64118"/>
    <s v="TEC-AC-10002399"/>
    <x v="2"/>
    <s v="Accessories"/>
    <s v="SanDisk Cruzer 32 GB USB Flash Drive"/>
    <n v="38.04"/>
    <n v="2"/>
    <n v="0"/>
    <n v="12.172800000000001"/>
  </r>
  <r>
    <n v="513"/>
    <s v="CA-2020-106341"/>
    <n v="20"/>
    <n v="10"/>
    <n v="2020"/>
    <s v="First Class"/>
    <s v="LF-17185"/>
    <s v="luke foster"/>
    <s v="Consumer"/>
    <s v="United States-Ohio-Newark"/>
    <s v="East"/>
    <n v="43055"/>
    <s v="OFF-AR-10002053"/>
    <x v="1"/>
    <s v="Art"/>
    <s v="Premium Writing Pencils, Soft, #2 by Central Association for the Blind"/>
    <n v="14.9"/>
    <n v="5"/>
    <n v="0"/>
    <n v="4.1719999999999997"/>
  </r>
  <r>
    <n v="514"/>
    <s v="CA-2021-163405"/>
    <n v="21"/>
    <n v="12"/>
    <n v="2021"/>
    <s v="Standard Class"/>
    <s v="BN-11515"/>
    <s v="bradley nguyen"/>
    <s v="Consumer"/>
    <s v="United States-California-Los Angeles"/>
    <s v="West"/>
    <n v="90049"/>
    <s v="OFF-AR-10003811"/>
    <x v="1"/>
    <s v="Art"/>
    <s v="Newell 327"/>
    <n v="6.63"/>
    <n v="3"/>
    <n v="0"/>
    <n v="1.7901"/>
  </r>
  <r>
    <n v="515"/>
    <s v="CA-2021-163405"/>
    <n v="21"/>
    <n v="12"/>
    <n v="2021"/>
    <s v="Standard Class"/>
    <s v="BN-11515"/>
    <s v="bradley nguyen"/>
    <s v="Consumer"/>
    <s v="United States-California-Los Angeles"/>
    <s v="West"/>
    <n v="90049"/>
    <s v="OFF-AR-10001246"/>
    <x v="1"/>
    <s v="Art"/>
    <s v="Newell 317"/>
    <n v="5.88"/>
    <n v="2"/>
    <n v="0"/>
    <n v="1.7052"/>
  </r>
  <r>
    <n v="516"/>
    <s v="CA-2021-127432"/>
    <n v="22"/>
    <n v="1"/>
    <n v="2021"/>
    <s v="Standard Class"/>
    <s v="AD-10180"/>
    <s v="alan dominguez"/>
    <s v="Home Office"/>
    <s v="United States-Montana-Great Falls"/>
    <s v="West"/>
    <n v="59405"/>
    <s v="TEC-CO-10003236"/>
    <x v="2"/>
    <s v="Copiers"/>
    <s v="Canon Image Class D660 Copier"/>
    <n v="2999.95"/>
    <n v="5"/>
    <n v="0"/>
    <n v="1379.9770000000001"/>
  </r>
  <r>
    <n v="517"/>
    <s v="CA-2021-127432"/>
    <n v="22"/>
    <n v="1"/>
    <n v="2021"/>
    <s v="Standard Class"/>
    <s v="AD-10180"/>
    <s v="alan dominguez"/>
    <s v="Home Office"/>
    <s v="United States-Montana-Great Falls"/>
    <s v="West"/>
    <n v="59405"/>
    <s v="OFF-ST-10004507"/>
    <x v="1"/>
    <s v="Storage"/>
    <s v="Advantus Rolling Storage Box"/>
    <n v="51.45"/>
    <n v="3"/>
    <n v="0"/>
    <n v="13.891500000000001"/>
  </r>
  <r>
    <n v="518"/>
    <s v="CA-2021-127432"/>
    <n v="22"/>
    <n v="1"/>
    <n v="2021"/>
    <s v="Standard Class"/>
    <s v="AD-10180"/>
    <s v="alan dominguez"/>
    <s v="Home Office"/>
    <s v="United States-Montana-Great Falls"/>
    <s v="West"/>
    <n v="59405"/>
    <s v="OFF-PA-10001667"/>
    <x v="1"/>
    <s v="Paper"/>
    <s v="Great White Multi-Use Recycled Paper (20Lb. and 84 Bright)"/>
    <n v="11.96"/>
    <n v="2"/>
    <n v="0"/>
    <n v="5.3819999999999997"/>
  </r>
  <r>
    <n v="519"/>
    <s v="CA-2021-127432"/>
    <n v="22"/>
    <n v="1"/>
    <n v="2021"/>
    <s v="Standard Class"/>
    <s v="AD-10180"/>
    <s v="alan dominguez"/>
    <s v="Home Office"/>
    <s v="United States-Montana-Great Falls"/>
    <s v="West"/>
    <n v="59405"/>
    <s v="OFF-ST-10004459"/>
    <x v="1"/>
    <s v="Storage"/>
    <s v="Tennsco Single-Tier Lockers"/>
    <n v="1126.02"/>
    <n v="3"/>
    <n v="0"/>
    <n v="56.301000000000002"/>
  </r>
  <r>
    <n v="520"/>
    <s v="CA-2019-157812"/>
    <n v="22"/>
    <n v="3"/>
    <n v="2019"/>
    <s v="Standard Class"/>
    <s v="DB-13210"/>
    <s v="dean braden"/>
    <s v="Consumer"/>
    <s v="United States-Texas-Houston"/>
    <s v="Central"/>
    <n v="77041"/>
    <s v="TEC-AC-10000171"/>
    <x v="2"/>
    <s v="Accessories"/>
    <s v="Verbatim 25 GB 6x Blu-ray Single Layer Recordable Disc, 25/Pack"/>
    <n v="45.98"/>
    <n v="2"/>
    <n v="0"/>
    <n v="19.7714"/>
  </r>
  <r>
    <n v="521"/>
    <s v="CA-2019-157812"/>
    <n v="22"/>
    <n v="3"/>
    <n v="2019"/>
    <s v="Standard Class"/>
    <s v="DB-13210"/>
    <s v="dean braden"/>
    <s v="Consumer"/>
    <s v="United States-Texas-Houston"/>
    <s v="Central"/>
    <n v="77041"/>
    <s v="OFF-ST-10000736"/>
    <x v="1"/>
    <s v="Storage"/>
    <s v="Carina Double Wide Media Storage Towers in Natural &amp; Black"/>
    <n v="129.56800000000001"/>
    <n v="2"/>
    <n v="0.2"/>
    <n v="-25.913599999999999"/>
  </r>
  <r>
    <n v="522"/>
    <s v="CA-2019-157812"/>
    <n v="22"/>
    <n v="3"/>
    <n v="2019"/>
    <s v="Standard Class"/>
    <s v="DB-13210"/>
    <s v="dean braden"/>
    <s v="Consumer"/>
    <s v="United States-Texas-Houston"/>
    <s v="Central"/>
    <n v="77041"/>
    <s v="OFF-BI-10000285"/>
    <x v="1"/>
    <s v="Binders"/>
    <s v="XtraLife ClearVue Slant-D Ring Binders by Cardinal"/>
    <n v="14.112"/>
    <n v="9"/>
    <n v="0.8"/>
    <n v="-21.167999999999999"/>
  </r>
  <r>
    <n v="523"/>
    <s v="CA-2021-145142"/>
    <n v="23"/>
    <n v="1"/>
    <n v="2021"/>
    <s v="First Class"/>
    <s v="MC-17605"/>
    <s v="matt connell"/>
    <s v="Corporate"/>
    <s v="United States-Michigan-Detroit"/>
    <s v="Central"/>
    <n v="48234"/>
    <s v="FUR-TA-10001857"/>
    <x v="0"/>
    <s v="Tables"/>
    <s v="Balt Solid Wood Rectangular Table"/>
    <n v="189.88200000000001"/>
    <n v="3"/>
    <n v="0.4"/>
    <n v="-94.941000000000003"/>
  </r>
  <r>
    <n v="524"/>
    <s v="US-2020-139486"/>
    <n v="21"/>
    <n v="5"/>
    <n v="2020"/>
    <s v="First Class"/>
    <s v="LH-17155"/>
    <s v="logan haushalter"/>
    <s v="Consumer"/>
    <s v="United States-California-Los Angeles"/>
    <s v="West"/>
    <n v="90032"/>
    <s v="TEC-PH-10003555"/>
    <x v="2"/>
    <s v="Phones"/>
    <s v="Motorola HK250 Universal Bluetooth Headset"/>
    <n v="55.176000000000002"/>
    <n v="3"/>
    <n v="0.2"/>
    <n v="-12.4146"/>
  </r>
  <r>
    <n v="525"/>
    <s v="US-2020-139486"/>
    <n v="21"/>
    <n v="5"/>
    <n v="2020"/>
    <s v="First Class"/>
    <s v="LH-17155"/>
    <s v="logan haushalter"/>
    <s v="Consumer"/>
    <s v="United States-California-Los Angeles"/>
    <s v="West"/>
    <n v="90032"/>
    <s v="TEC-AC-10003832"/>
    <x v="2"/>
    <s v="Accessories"/>
    <s v="Imation 16GB Mini TravelDrive USB 2.0 Flash Drive"/>
    <n v="66.260000000000005"/>
    <n v="2"/>
    <n v="0"/>
    <n v="27.166599999999999"/>
  </r>
  <r>
    <n v="526"/>
    <s v="CA-2019-158792"/>
    <n v="26"/>
    <n v="12"/>
    <n v="2019"/>
    <s v="Standard Class"/>
    <s v="BD-11605"/>
    <s v="brian dahlen"/>
    <s v="Consumer"/>
    <s v="United States-Massachusetts-Lawrence"/>
    <s v="East"/>
    <n v="1841"/>
    <s v="OFF-FA-10002815"/>
    <x v="1"/>
    <s v="Fasteners"/>
    <s v="Staples"/>
    <n v="21.456"/>
    <n v="9"/>
    <n v="0.2"/>
    <n v="6.9732000000000003"/>
  </r>
  <r>
    <n v="527"/>
    <s v="CA-2021-113558"/>
    <n v="21"/>
    <n v="10"/>
    <n v="2021"/>
    <s v="Standard Class"/>
    <s v="PH-18790"/>
    <s v="patricia hirasaki"/>
    <s v="Home Office"/>
    <s v="United States-Florida-Lakeland"/>
    <s v="South"/>
    <n v="33801"/>
    <s v="FUR-CH-10003379"/>
    <x v="0"/>
    <s v="Chairs"/>
    <s v="Global Commerce Series High-Back Swivel/Tilt Chairs"/>
    <n v="683.952"/>
    <n v="3"/>
    <n v="0.2"/>
    <n v="42.747"/>
  </r>
  <r>
    <n v="528"/>
    <s v="CA-2021-113558"/>
    <n v="21"/>
    <n v="10"/>
    <n v="2021"/>
    <s v="Standard Class"/>
    <s v="PH-18790"/>
    <s v="patricia hirasaki"/>
    <s v="Home Office"/>
    <s v="United States-Florida-Lakeland"/>
    <s v="South"/>
    <n v="33801"/>
    <s v="FUR-FU-10001756"/>
    <x v="0"/>
    <s v="Furnishings"/>
    <s v="Eldon Expressions Desk Accessory, Wood Photo Frame, Mahogany"/>
    <n v="15.231999999999999"/>
    <n v="1"/>
    <n v="0.2"/>
    <n v="1.7136"/>
  </r>
  <r>
    <n v="529"/>
    <s v="US-2019-138303"/>
    <n v="3"/>
    <n v="9"/>
    <n v="2019"/>
    <s v="Standard Class"/>
    <s v="MG-18145"/>
    <s v="mike gockenbach"/>
    <s v="Consumer"/>
    <s v="United States-Pennsylvania-Philadelphia"/>
    <s v="East"/>
    <n v="19134"/>
    <s v="OFF-ST-10004963"/>
    <x v="1"/>
    <s v="Storage"/>
    <s v="Eldon Gobal File Keepers"/>
    <n v="36.335999999999999"/>
    <n v="3"/>
    <n v="0.2"/>
    <n v="-7.2671999999999999"/>
  </r>
  <r>
    <n v="530"/>
    <s v="US-2019-138303"/>
    <n v="3"/>
    <n v="9"/>
    <n v="2019"/>
    <s v="Standard Class"/>
    <s v="MG-18145"/>
    <s v="mike gockenbach"/>
    <s v="Consumer"/>
    <s v="United States-Pennsylvania-Philadelphia"/>
    <s v="East"/>
    <n v="19134"/>
    <s v="OFF-SU-10002881"/>
    <x v="1"/>
    <s v="Supplies"/>
    <s v="Martin Yale Chadless Opener Electric Letter Opener"/>
    <n v="666.24800000000005"/>
    <n v="1"/>
    <n v="0.2"/>
    <n v="-149.9058"/>
  </r>
  <r>
    <n v="531"/>
    <s v="US-2019-138303"/>
    <n v="3"/>
    <n v="9"/>
    <n v="2019"/>
    <s v="Standard Class"/>
    <s v="MG-18145"/>
    <s v="mike gockenbach"/>
    <s v="Consumer"/>
    <s v="United States-Pennsylvania-Philadelphia"/>
    <s v="East"/>
    <n v="19134"/>
    <s v="OFF-EN-10001335"/>
    <x v="1"/>
    <s v="Envelopes"/>
    <s v="White Business Envelopes with Contemporary Seam, Recycled White Business Envelopes"/>
    <n v="52.512"/>
    <n v="6"/>
    <n v="0.2"/>
    <n v="19.692"/>
  </r>
  <r>
    <n v="532"/>
    <s v="CA-2019-102848"/>
    <n v="7"/>
    <n v="11"/>
    <n v="2019"/>
    <s v="Second Class"/>
    <s v="KB-16240"/>
    <s v="karen bern"/>
    <s v="Corporate"/>
    <s v="United States-California-Los Angeles"/>
    <s v="West"/>
    <n v="90036"/>
    <s v="FUR-CH-10000595"/>
    <x v="0"/>
    <s v="Chairs"/>
    <s v="Safco Contoured Stacking Chairs"/>
    <n v="190.72"/>
    <n v="1"/>
    <n v="0.2"/>
    <n v="11.92"/>
  </r>
  <r>
    <n v="533"/>
    <s v="US-2021-129441"/>
    <n v="7"/>
    <n v="9"/>
    <n v="2021"/>
    <s v="Standard Class"/>
    <s v="JC-15340"/>
    <s v="jasper cacioppo"/>
    <s v="Consumer"/>
    <s v="United States-California-Los Angeles"/>
    <s v="West"/>
    <n v="90032"/>
    <s v="FUR-FU-10000448"/>
    <x v="0"/>
    <s v="Furnishings"/>
    <s v="Tenex Chairmats For Use With Carpeted Floors"/>
    <n v="47.94"/>
    <n v="3"/>
    <n v="0"/>
    <n v="2.3969999999999998"/>
  </r>
  <r>
    <n v="534"/>
    <s v="CA-2020-168753"/>
    <n v="29"/>
    <n v="5"/>
    <n v="2020"/>
    <s v="Second Class"/>
    <s v="RL-19615"/>
    <s v="rob lucas"/>
    <s v="Consumer"/>
    <s v="United States-Alabama-Montgomery"/>
    <s v="South"/>
    <n v="36116"/>
    <s v="TEC-PH-10000984"/>
    <x v="2"/>
    <s v="Phones"/>
    <s v="Panasonic KX-TG9471B"/>
    <n v="979.95"/>
    <n v="5"/>
    <n v="0"/>
    <n v="274.38600000000002"/>
  </r>
  <r>
    <n v="535"/>
    <s v="CA-2020-168753"/>
    <n v="29"/>
    <n v="5"/>
    <n v="2020"/>
    <s v="Second Class"/>
    <s v="RL-19615"/>
    <s v="rob lucas"/>
    <s v="Consumer"/>
    <s v="United States-Alabama-Montgomery"/>
    <s v="South"/>
    <n v="36116"/>
    <s v="OFF-BI-10002557"/>
    <x v="1"/>
    <s v="Binders"/>
    <s v="Presstex Flexible Ring Binders"/>
    <n v="10.92"/>
    <n v="3"/>
    <n v="0.2"/>
    <n v="4.0949999999999998"/>
  </r>
  <r>
    <n v="536"/>
    <s v="CA-2020-126613"/>
    <n v="10"/>
    <n v="7"/>
    <n v="2020"/>
    <s v="Standard Class"/>
    <s v="AA-10375"/>
    <s v="allen armold"/>
    <s v="Consumer"/>
    <s v="United States-Arizona-Mesa"/>
    <s v="West"/>
    <n v="85204"/>
    <s v="OFF-ST-10001325"/>
    <x v="1"/>
    <s v="Storage"/>
    <s v="Sterilite Officeware Hinged File Box"/>
    <n v="16.768000000000001"/>
    <n v="2"/>
    <n v="0.2"/>
    <n v="1.4672000000000001"/>
  </r>
  <r>
    <n v="537"/>
    <s v="US-2021-122637"/>
    <n v="3"/>
    <n v="9"/>
    <n v="2021"/>
    <s v="Second Class"/>
    <s v="EP-13915"/>
    <s v="emily phan"/>
    <s v="Consumer"/>
    <s v="United States-Illinois-Chicago"/>
    <s v="Central"/>
    <n v="60653"/>
    <s v="OFF-BI-10002429"/>
    <x v="1"/>
    <s v="Binders"/>
    <s v="Premier Elliptical Ring Binder, Black"/>
    <n v="42.616"/>
    <n v="7"/>
    <n v="0.8"/>
    <n v="-68.185599999999994"/>
  </r>
  <r>
    <n v="538"/>
    <s v="CA-2019-147851"/>
    <n v="3"/>
    <n v="12"/>
    <n v="2019"/>
    <s v="Standard Class"/>
    <s v="MP-17470"/>
    <s v="mark packer"/>
    <s v="Home Office"/>
    <s v="United States-New York-New York City"/>
    <s v="East"/>
    <n v="10009"/>
    <s v="OFF-BI-10004528"/>
    <x v="1"/>
    <s v="Binders"/>
    <s v="Cardinal Poly Pocket Divider Pockets for Ring Binders"/>
    <n v="10.752000000000001"/>
    <n v="4"/>
    <n v="0.2"/>
    <n v="3.36"/>
  </r>
  <r>
    <n v="539"/>
    <s v="CA-2019-134894"/>
    <n v="7"/>
    <n v="12"/>
    <n v="2019"/>
    <s v="Standard Class"/>
    <s v="DK-12985"/>
    <s v="darren koutras"/>
    <s v="Consumer"/>
    <s v="United States-Kentucky-Henderson"/>
    <s v="South"/>
    <n v="42420"/>
    <s v="OFF-AP-10001271"/>
    <x v="1"/>
    <s v="Appliances"/>
    <s v="Eureka The Boss Cordless Rechargeable Stick Vac"/>
    <n v="152.94"/>
    <n v="3"/>
    <n v="0"/>
    <n v="41.293799999999997"/>
  </r>
  <r>
    <n v="540"/>
    <s v="CA-2019-134894"/>
    <n v="7"/>
    <n v="12"/>
    <n v="2019"/>
    <s v="Standard Class"/>
    <s v="DK-12985"/>
    <s v="darren koutras"/>
    <s v="Consumer"/>
    <s v="United States-Kentucky-Henderson"/>
    <s v="South"/>
    <n v="42420"/>
    <s v="FUR-CH-10002647"/>
    <x v="0"/>
    <s v="Chairs"/>
    <s v="Situations Contoured Folding Chairs, 4/Set"/>
    <n v="283.92"/>
    <n v="4"/>
    <n v="0"/>
    <n v="70.98"/>
  </r>
  <r>
    <n v="541"/>
    <s v="CA-2018-140795"/>
    <n v="1"/>
    <n v="2"/>
    <n v="2018"/>
    <s v="First Class"/>
    <s v="BD-11500"/>
    <s v="bradley drucker"/>
    <s v="Consumer"/>
    <s v="United States-Wisconsin-Green Bay"/>
    <s v="Central"/>
    <n v="54302"/>
    <s v="TEC-AC-10001432"/>
    <x v="2"/>
    <s v="Accessories"/>
    <s v="Enermax Aurora Lite Keyboard"/>
    <n v="468.9"/>
    <n v="6"/>
    <n v="0"/>
    <n v="206.316"/>
  </r>
  <r>
    <n v="542"/>
    <s v="CA-2020-136924"/>
    <n v="14"/>
    <n v="7"/>
    <n v="2020"/>
    <s v="First Class"/>
    <s v="ES-14080"/>
    <s v="erin smith"/>
    <s v="Corporate"/>
    <s v="United States-Arizona-Tucson"/>
    <s v="West"/>
    <n v="85705"/>
    <s v="TEC-PH-10002262"/>
    <x v="2"/>
    <s v="Phones"/>
    <s v="LG Electronics Tone+ HBS-730 Bluetooth Headset"/>
    <n v="380.86399999999998"/>
    <n v="8"/>
    <n v="0.2"/>
    <n v="38.086399999999998"/>
  </r>
  <r>
    <n v="543"/>
    <s v="US-2019-120161"/>
    <n v="18"/>
    <n v="12"/>
    <n v="2019"/>
    <s v="Standard Class"/>
    <s v="LM-17065"/>
    <s v="liz mackendrick"/>
    <s v="Consumer"/>
    <s v="United States-Ohio-Springfield"/>
    <s v="East"/>
    <n v="45503"/>
    <s v="OFF-ST-10001809"/>
    <x v="1"/>
    <s v="Storage"/>
    <s v="Fellowes Officeware Wire Shelving"/>
    <n v="449.15"/>
    <n v="5"/>
    <n v="0"/>
    <n v="8.9830000000000005"/>
  </r>
  <r>
    <n v="544"/>
    <s v="CA-2018-103849"/>
    <n v="11"/>
    <n v="5"/>
    <n v="2018"/>
    <s v="Standard Class"/>
    <s v="PG-18895"/>
    <s v="paul gonzalez"/>
    <s v="Consumer"/>
    <s v="United States-Texas-Fort Worth"/>
    <s v="Central"/>
    <n v="76106"/>
    <s v="TEC-AC-10001465"/>
    <x v="2"/>
    <s v="Accessories"/>
    <s v="SanDisk Cruzer 64 GB USB Flash Drive"/>
    <n v="58.112000000000002"/>
    <n v="2"/>
    <n v="0.2"/>
    <n v="7.2640000000000002"/>
  </r>
  <r>
    <n v="545"/>
    <s v="CA-2018-103849"/>
    <n v="11"/>
    <n v="5"/>
    <n v="2018"/>
    <s v="Standard Class"/>
    <s v="PG-18895"/>
    <s v="paul gonzalez"/>
    <s v="Consumer"/>
    <s v="United States-Texas-Fort Worth"/>
    <s v="Central"/>
    <n v="76106"/>
    <s v="TEC-PH-10002597"/>
    <x v="2"/>
    <s v="Phones"/>
    <s v="Xblue XB-1670-86 X16 Small Office Telephone - Titanium"/>
    <n v="100.792"/>
    <n v="1"/>
    <n v="0.2"/>
    <n v="6.2995000000000001"/>
  </r>
  <r>
    <n v="546"/>
    <s v="CA-2018-103849"/>
    <n v="11"/>
    <n v="5"/>
    <n v="2018"/>
    <s v="Standard Class"/>
    <s v="PG-18895"/>
    <s v="paul gonzalez"/>
    <s v="Consumer"/>
    <s v="United States-Texas-Fort Worth"/>
    <s v="Central"/>
    <n v="76106"/>
    <s v="FUR-FU-10000723"/>
    <x v="0"/>
    <s v="Furnishings"/>
    <s v="Deflect-o EconoMat Studded, No Bevel Mat for Low Pile Carpeting"/>
    <n v="66.111999999999995"/>
    <n v="4"/>
    <n v="0.6"/>
    <n v="-84.2928"/>
  </r>
  <r>
    <n v="547"/>
    <s v="CA-2021-162929"/>
    <n v="19"/>
    <n v="11"/>
    <n v="2021"/>
    <s v="First Class"/>
    <s v="AS-10135"/>
    <s v="adrian shami"/>
    <s v="Home Office"/>
    <s v="United States-New York-New York City"/>
    <s v="East"/>
    <n v="10035"/>
    <s v="OFF-BI-10000404"/>
    <x v="1"/>
    <s v="Binders"/>
    <s v="Avery Printable Repositionable Plastic Tabs"/>
    <n v="41.28"/>
    <n v="6"/>
    <n v="0.2"/>
    <n v="13.932"/>
  </r>
  <r>
    <n v="548"/>
    <s v="CA-2021-162929"/>
    <n v="19"/>
    <n v="11"/>
    <n v="2021"/>
    <s v="First Class"/>
    <s v="AS-10135"/>
    <s v="adrian shami"/>
    <s v="Home Office"/>
    <s v="United States-New York-New York City"/>
    <s v="East"/>
    <n v="10035"/>
    <s v="OFF-PA-10002986"/>
    <x v="1"/>
    <s v="Paper"/>
    <s v="Xerox 1898"/>
    <n v="13.36"/>
    <n v="2"/>
    <n v="0"/>
    <n v="6.4127999999999998"/>
  </r>
  <r>
    <n v="549"/>
    <s v="CA-2019-113173"/>
    <n v="15"/>
    <n v="11"/>
    <n v="2019"/>
    <s v="Second Class"/>
    <s v="DK-13225"/>
    <s v="dean katz"/>
    <s v="Corporate"/>
    <s v="United States-Illinois-Chicago"/>
    <s v="Central"/>
    <n v="60653"/>
    <s v="OFF-ST-10000604"/>
    <x v="1"/>
    <s v="Storage"/>
    <s v="Home/Office Personal File Carts"/>
    <n v="208.56"/>
    <n v="6"/>
    <n v="0"/>
    <n v="52.14"/>
  </r>
  <r>
    <n v="550"/>
    <s v="CA-2019-113173"/>
    <n v="15"/>
    <n v="11"/>
    <n v="2019"/>
    <s v="Second Class"/>
    <s v="DK-13225"/>
    <s v="dean katz"/>
    <s v="Corporate"/>
    <s v="United States-Illinois-Chicago"/>
    <s v="Central"/>
    <n v="60653"/>
    <s v="OFF-BI-10004738"/>
    <x v="1"/>
    <s v="Binders"/>
    <s v="Flexible Leather- Look Classic Collection Ring Binder"/>
    <n v="5.6820000000000004"/>
    <n v="1"/>
    <n v="0.7"/>
    <n v="-3.7879999999999998"/>
  </r>
  <r>
    <n v="551"/>
    <s v="CA-2019-113173"/>
    <n v="15"/>
    <n v="11"/>
    <n v="2019"/>
    <s v="Second Class"/>
    <s v="DK-13225"/>
    <s v="dean katz"/>
    <s v="Corporate"/>
    <s v="United States-Illinois-Chicago"/>
    <s v="Central"/>
    <n v="60653"/>
    <s v="OFF-SU-10001935"/>
    <x v="1"/>
    <s v="Supplies"/>
    <s v="Staple remover"/>
    <n v="7.36"/>
    <n v="2"/>
    <n v="0"/>
    <n v="0.1472"/>
  </r>
  <r>
    <n v="552"/>
    <s v="CA-2020-136406"/>
    <n v="15"/>
    <n v="4"/>
    <n v="2020"/>
    <s v="Second Class"/>
    <s v="BD-11320"/>
    <s v="bill donatelli"/>
    <s v="Consumer"/>
    <s v="United States-California-San Francisco"/>
    <s v="West"/>
    <n v="94110"/>
    <s v="FUR-CH-10002024"/>
    <x v="0"/>
    <s v="Chairs"/>
    <s v="HON 5400 Series Task Chairs for Big and Tall"/>
    <n v="1121.568"/>
    <n v="2"/>
    <n v="0.2"/>
    <n v="0"/>
  </r>
  <r>
    <n v="553"/>
    <s v="CA-2021-112774"/>
    <n v="11"/>
    <n v="9"/>
    <n v="2021"/>
    <s v="First Class"/>
    <s v="RC-19960"/>
    <s v="ryan crowe"/>
    <s v="Consumer"/>
    <s v="United States-Florida-Jacksonville"/>
    <s v="South"/>
    <n v="32216"/>
    <s v="FUR-FU-10003039"/>
    <x v="0"/>
    <s v="Furnishings"/>
    <s v="Howard Miller 11-1/2&quot; Diameter Grantwood Wall Clock"/>
    <n v="34.503999999999998"/>
    <n v="1"/>
    <n v="0.2"/>
    <n v="6.0381999999999998"/>
  </r>
  <r>
    <n v="554"/>
    <s v="CA-2021-101945"/>
    <n v="24"/>
    <n v="11"/>
    <n v="2021"/>
    <s v="Standard Class"/>
    <s v="GT-14710"/>
    <s v="greg tran"/>
    <s v="Consumer"/>
    <s v="United States-Texas-Houston"/>
    <s v="Central"/>
    <n v="77070"/>
    <s v="OFF-FA-10004248"/>
    <x v="1"/>
    <s v="Fasteners"/>
    <s v="Advantus T-Pin Paper Clips"/>
    <n v="10.824"/>
    <n v="3"/>
    <n v="0.2"/>
    <n v="2.5707"/>
  </r>
  <r>
    <n v="555"/>
    <s v="CA-2021-100650"/>
    <n v="29"/>
    <n v="6"/>
    <n v="2021"/>
    <s v="Second Class"/>
    <s v="DK-13225"/>
    <s v="dean katz"/>
    <s v="Corporate"/>
    <s v="United States-California-Anaheim"/>
    <s v="West"/>
    <n v="92804"/>
    <s v="OFF-ST-10001780"/>
    <x v="1"/>
    <s v="Storage"/>
    <s v="Tennsco 16-Compartment Lockers with Coat Rack"/>
    <n v="1295.78"/>
    <n v="2"/>
    <n v="0"/>
    <n v="310.98719999999997"/>
  </r>
  <r>
    <n v="556"/>
    <s v="CA-2018-155852"/>
    <n v="3"/>
    <n v="3"/>
    <n v="2018"/>
    <s v="Second Class"/>
    <s v="AJ-10945"/>
    <s v="ashley jarboe"/>
    <s v="Consumer"/>
    <s v="United States-North Carolina-Wilmington"/>
    <s v="South"/>
    <n v="28403"/>
    <s v="OFF-AR-10003560"/>
    <x v="1"/>
    <s v="Art"/>
    <s v="Zebra Zazzle Fluorescent Highlighters"/>
    <n v="19.456"/>
    <n v="4"/>
    <n v="0.2"/>
    <n v="3.4047999999999998"/>
  </r>
  <r>
    <n v="557"/>
    <s v="CA-2020-113243"/>
    <n v="10"/>
    <n v="6"/>
    <n v="2020"/>
    <s v="Standard Class"/>
    <s v="OT-18730"/>
    <s v="olvera toch"/>
    <s v="Consumer"/>
    <s v="United States-California-Los Angeles"/>
    <s v="West"/>
    <n v="90045"/>
    <s v="OFF-LA-10001297"/>
    <x v="1"/>
    <s v="Labels"/>
    <s v="Avery 473"/>
    <n v="20.7"/>
    <n v="2"/>
    <n v="0"/>
    <n v="9.9359999999999999"/>
  </r>
  <r>
    <n v="558"/>
    <s v="CA-2020-113243"/>
    <n v="10"/>
    <n v="6"/>
    <n v="2020"/>
    <s v="Standard Class"/>
    <s v="OT-18730"/>
    <s v="olvera toch"/>
    <s v="Consumer"/>
    <s v="United States-California-Los Angeles"/>
    <s v="West"/>
    <n v="90045"/>
    <s v="FUR-TA-10004256"/>
    <x v="0"/>
    <s v="Tables"/>
    <s v="Bretford “Just In Time” Height-Adjustable Multi-Task Work Tables"/>
    <n v="1335.68"/>
    <n v="4"/>
    <n v="0.2"/>
    <n v="-217.048"/>
  </r>
  <r>
    <n v="559"/>
    <s v="CA-2020-113243"/>
    <n v="10"/>
    <n v="6"/>
    <n v="2020"/>
    <s v="Standard Class"/>
    <s v="OT-18730"/>
    <s v="olvera toch"/>
    <s v="Consumer"/>
    <s v="United States-California-Los Angeles"/>
    <s v="West"/>
    <n v="90045"/>
    <s v="OFF-PA-10003441"/>
    <x v="1"/>
    <s v="Paper"/>
    <s v="Xerox 226"/>
    <n v="32.4"/>
    <n v="5"/>
    <n v="0"/>
    <n v="15.552"/>
  </r>
  <r>
    <n v="560"/>
    <s v="CA-2021-118731"/>
    <n v="20"/>
    <n v="11"/>
    <n v="2021"/>
    <s v="Second Class"/>
    <s v="LP-17080"/>
    <s v="liz pelletier"/>
    <s v="Consumer"/>
    <s v="United States-California-San Francisco"/>
    <s v="West"/>
    <n v="94110"/>
    <s v="FUR-FU-10003347"/>
    <x v="0"/>
    <s v="Furnishings"/>
    <s v="Coloredge Poster Frame"/>
    <n v="28.4"/>
    <n v="2"/>
    <n v="0"/>
    <n v="11.076000000000001"/>
  </r>
  <r>
    <n v="561"/>
    <s v="CA-2021-118731"/>
    <n v="20"/>
    <n v="11"/>
    <n v="2021"/>
    <s v="Second Class"/>
    <s v="LP-17080"/>
    <s v="liz pelletier"/>
    <s v="Consumer"/>
    <s v="United States-California-San Francisco"/>
    <s v="West"/>
    <n v="94110"/>
    <s v="OFF-BI-10000069"/>
    <x v="1"/>
    <s v="Binders"/>
    <s v="GBC Prepunched Paper, 19-Hole, for Binding Systems, 24-lb"/>
    <n v="84.055999999999997"/>
    <n v="7"/>
    <n v="0.2"/>
    <n v="27.318200000000001"/>
  </r>
  <r>
    <n v="562"/>
    <s v="CA-2018-145576"/>
    <n v="14"/>
    <n v="9"/>
    <n v="2018"/>
    <s v="Second Class"/>
    <s v="CA-12775"/>
    <s v="cynthia arntzen"/>
    <s v="Consumer"/>
    <s v="United States-Florida-Tampa"/>
    <s v="South"/>
    <n v="33614"/>
    <s v="OFF-AP-10003914"/>
    <x v="1"/>
    <s v="Appliances"/>
    <s v="Sanitaire Vibra Groomer IR Commercial Upright Vacuum, Replacement Belts"/>
    <n v="13"/>
    <n v="5"/>
    <n v="0.2"/>
    <n v="1.3"/>
  </r>
  <r>
    <n v="563"/>
    <s v="CA-2018-145576"/>
    <n v="14"/>
    <n v="9"/>
    <n v="2018"/>
    <s v="Second Class"/>
    <s v="CA-12775"/>
    <s v="cynthia arntzen"/>
    <s v="Consumer"/>
    <s v="United States-Florida-Tampa"/>
    <s v="South"/>
    <n v="33614"/>
    <s v="FUR-FU-10004020"/>
    <x v="0"/>
    <s v="Furnishings"/>
    <s v="Advantus Panel Wall Acrylic Frame"/>
    <n v="13.128"/>
    <n v="3"/>
    <n v="0.2"/>
    <n v="3.7743000000000002"/>
  </r>
  <r>
    <n v="564"/>
    <s v="CA-2019-130736"/>
    <n v="7"/>
    <n v="12"/>
    <n v="2019"/>
    <s v="First Class"/>
    <s v="JF-15490"/>
    <s v="jeremy farry"/>
    <s v="Consumer"/>
    <s v="United States-Washington-Seattle"/>
    <s v="West"/>
    <n v="98105"/>
    <s v="OFF-FA-10003467"/>
    <x v="1"/>
    <s v="Fasteners"/>
    <s v="Alliance Big Bands Rubber Bands, 12/Pack"/>
    <n v="3.96"/>
    <n v="2"/>
    <n v="0"/>
    <n v="0"/>
  </r>
  <r>
    <n v="565"/>
    <s v="CA-2019-130736"/>
    <n v="7"/>
    <n v="12"/>
    <n v="2019"/>
    <s v="First Class"/>
    <s v="JF-15490"/>
    <s v="jeremy farry"/>
    <s v="Consumer"/>
    <s v="United States-Washington-Seattle"/>
    <s v="West"/>
    <n v="98105"/>
    <s v="OFF-LA-10000634"/>
    <x v="1"/>
    <s v="Labels"/>
    <s v="Avery 509"/>
    <n v="6.2640000000000002"/>
    <n v="3"/>
    <n v="0.2"/>
    <n v="2.0358000000000001"/>
  </r>
  <r>
    <n v="566"/>
    <s v="CA-2021-137099"/>
    <n v="7"/>
    <n v="12"/>
    <n v="2021"/>
    <s v="First Class"/>
    <s v="FP-14320"/>
    <s v="frank preis"/>
    <s v="Consumer"/>
    <s v="United States-California-Los Angeles"/>
    <s v="West"/>
    <n v="90008"/>
    <s v="TEC-PH-10002496"/>
    <x v="2"/>
    <s v="Phones"/>
    <s v="Cisco SPA301"/>
    <n v="374.37599999999998"/>
    <n v="3"/>
    <n v="0.2"/>
    <n v="46.796999999999997"/>
  </r>
  <r>
    <n v="567"/>
    <s v="CA-2021-156951"/>
    <n v="1"/>
    <n v="10"/>
    <n v="2021"/>
    <s v="Standard Class"/>
    <s v="EB-13840"/>
    <s v="ellis ballard"/>
    <s v="Corporate"/>
    <s v="United States-Washington-Seattle"/>
    <s v="West"/>
    <n v="98105"/>
    <s v="OFF-PA-10004530"/>
    <x v="1"/>
    <s v="Paper"/>
    <s v="Personal Creations Ink Jet Cards and Labels"/>
    <n v="91.84"/>
    <n v="8"/>
    <n v="0"/>
    <n v="45.001600000000003"/>
  </r>
  <r>
    <n v="568"/>
    <s v="CA-2021-156951"/>
    <n v="1"/>
    <n v="10"/>
    <n v="2021"/>
    <s v="Standard Class"/>
    <s v="EB-13840"/>
    <s v="ellis ballard"/>
    <s v="Corporate"/>
    <s v="United States-Washington-Seattle"/>
    <s v="West"/>
    <n v="98105"/>
    <s v="OFF-BI-10001107"/>
    <x v="1"/>
    <s v="Binders"/>
    <s v="GBC White Gloss Covers, Plain Front"/>
    <n v="81.087999999999994"/>
    <n v="7"/>
    <n v="0.2"/>
    <n v="27.3672"/>
  </r>
  <r>
    <n v="569"/>
    <s v="CA-2021-156951"/>
    <n v="1"/>
    <n v="10"/>
    <n v="2021"/>
    <s v="Standard Class"/>
    <s v="EB-13840"/>
    <s v="ellis ballard"/>
    <s v="Corporate"/>
    <s v="United States-Washington-Seattle"/>
    <s v="West"/>
    <n v="98105"/>
    <s v="OFF-PA-10004451"/>
    <x v="1"/>
    <s v="Paper"/>
    <s v="Xerox 222"/>
    <n v="19.440000000000001"/>
    <n v="3"/>
    <n v="0"/>
    <n v="9.3312000000000008"/>
  </r>
  <r>
    <n v="570"/>
    <s v="CA-2021-156951"/>
    <n v="1"/>
    <n v="10"/>
    <n v="2021"/>
    <s v="Standard Class"/>
    <s v="EB-13840"/>
    <s v="ellis ballard"/>
    <s v="Corporate"/>
    <s v="United States-Washington-Seattle"/>
    <s v="West"/>
    <n v="98105"/>
    <s v="FUR-CH-10004997"/>
    <x v="0"/>
    <s v="Chairs"/>
    <s v="Hon Every-Day Series Multi-Task Chairs"/>
    <n v="451.15199999999999"/>
    <n v="3"/>
    <n v="0.2"/>
    <n v="0"/>
  </r>
  <r>
    <n v="571"/>
    <s v="CA-2021-164826"/>
    <n v="28"/>
    <n v="12"/>
    <n v="2021"/>
    <s v="Standard Class"/>
    <s v="JF-15415"/>
    <s v="jennifer ferguson"/>
    <s v="Consumer"/>
    <s v="United States-New York-New York City"/>
    <s v="East"/>
    <n v="10024"/>
    <s v="OFF-LA-10001297"/>
    <x v="1"/>
    <s v="Labels"/>
    <s v="Avery 473"/>
    <n v="20.7"/>
    <n v="2"/>
    <n v="0"/>
    <n v="9.9359999999999999"/>
  </r>
  <r>
    <n v="572"/>
    <s v="CA-2021-164826"/>
    <n v="28"/>
    <n v="12"/>
    <n v="2021"/>
    <s v="Standard Class"/>
    <s v="JF-15415"/>
    <s v="jennifer ferguson"/>
    <s v="Consumer"/>
    <s v="United States-New York-New York City"/>
    <s v="East"/>
    <n v="10024"/>
    <s v="OFF-FA-10000585"/>
    <x v="1"/>
    <s v="Fasteners"/>
    <s v="OIC Bulk Pack Metal Binder Clips"/>
    <n v="5.5839999999999996"/>
    <n v="2"/>
    <n v="0.2"/>
    <n v="1.8148"/>
  </r>
  <r>
    <n v="573"/>
    <s v="CA-2021-164826"/>
    <n v="28"/>
    <n v="12"/>
    <n v="2021"/>
    <s v="Standard Class"/>
    <s v="JF-15415"/>
    <s v="jennifer ferguson"/>
    <s v="Consumer"/>
    <s v="United States-New York-New York City"/>
    <s v="East"/>
    <n v="10024"/>
    <s v="OFF-BI-10001922"/>
    <x v="1"/>
    <s v="Binders"/>
    <s v="Storex Dura Pro Binders"/>
    <n v="4.7519999999999998"/>
    <n v="1"/>
    <n v="0.2"/>
    <n v="1.6037999999999999"/>
  </r>
  <r>
    <n v="574"/>
    <s v="CA-2021-164826"/>
    <n v="28"/>
    <n v="12"/>
    <n v="2021"/>
    <s v="Standard Class"/>
    <s v="JF-15415"/>
    <s v="jennifer ferguson"/>
    <s v="Consumer"/>
    <s v="United States-New York-New York City"/>
    <s v="East"/>
    <n v="10024"/>
    <s v="TEC-PH-10000347"/>
    <x v="2"/>
    <s v="Phones"/>
    <s v="Cush Cases Heavy Duty Rugged Cover Case for Samsung Galaxy S5 - Purple"/>
    <n v="14.85"/>
    <n v="3"/>
    <n v="0"/>
    <n v="4.0095000000000001"/>
  </r>
  <r>
    <n v="575"/>
    <s v="CA-2020-127250"/>
    <n v="3"/>
    <n v="11"/>
    <n v="2020"/>
    <s v="Standard Class"/>
    <s v="SF-20200"/>
    <s v="sarah foster"/>
    <s v="Consumer"/>
    <s v="United States-Washington-Marysville"/>
    <s v="West"/>
    <n v="98270"/>
    <s v="OFF-AR-10003394"/>
    <x v="1"/>
    <s v="Art"/>
    <s v="Newell 332"/>
    <n v="8.82"/>
    <n v="3"/>
    <n v="0"/>
    <n v="2.3814000000000002"/>
  </r>
  <r>
    <n v="576"/>
    <s v="CA-2019-149713"/>
    <n v="18"/>
    <n v="9"/>
    <n v="2019"/>
    <s v="Second Class"/>
    <s v="TG-21640"/>
    <s v="trudy glocke"/>
    <s v="Consumer"/>
    <s v="United States-California-Long Beach"/>
    <s v="West"/>
    <n v="90805"/>
    <s v="OFF-PA-10004530"/>
    <x v="1"/>
    <s v="Paper"/>
    <s v="Personal Creations Ink Jet Cards and Labels"/>
    <n v="91.84"/>
    <n v="8"/>
    <n v="0"/>
    <n v="45.001600000000003"/>
  </r>
  <r>
    <n v="577"/>
    <s v="CA-2019-149713"/>
    <n v="18"/>
    <n v="9"/>
    <n v="2019"/>
    <s v="Second Class"/>
    <s v="TG-21640"/>
    <s v="trudy glocke"/>
    <s v="Consumer"/>
    <s v="United States-California-Long Beach"/>
    <s v="West"/>
    <n v="90805"/>
    <s v="OFF-PA-10001450"/>
    <x v="1"/>
    <s v="Paper"/>
    <s v="Rediform S.O.S. Phone Message Books"/>
    <n v="19.920000000000002"/>
    <n v="4"/>
    <n v="0"/>
    <n v="9.7607999999999997"/>
  </r>
  <r>
    <n v="578"/>
    <s v="CA-2019-149713"/>
    <n v="18"/>
    <n v="9"/>
    <n v="2019"/>
    <s v="Second Class"/>
    <s v="TG-21640"/>
    <s v="trudy glocke"/>
    <s v="Consumer"/>
    <s v="United States-California-Long Beach"/>
    <s v="West"/>
    <n v="90805"/>
    <s v="OFF-SU-10001574"/>
    <x v="1"/>
    <s v="Supplies"/>
    <s v="Acme Value Line Scissors"/>
    <n v="7.3"/>
    <n v="2"/>
    <n v="0"/>
    <n v="2.19"/>
  </r>
  <r>
    <n v="579"/>
    <s v="CA-2021-118640"/>
    <n v="20"/>
    <n v="7"/>
    <n v="2021"/>
    <s v="Standard Class"/>
    <s v="CS-11950"/>
    <s v="carlos soltero"/>
    <s v="Consumer"/>
    <s v="United States-Illinois-Chicago"/>
    <s v="Central"/>
    <n v="60610"/>
    <s v="OFF-ST-10002974"/>
    <x v="1"/>
    <s v="Storage"/>
    <s v="Trav-L-File Heavy-Duty Shuttle II, Black"/>
    <n v="243.99199999999999"/>
    <n v="7"/>
    <n v="0.2"/>
    <n v="30.498999999999999"/>
  </r>
  <r>
    <n v="580"/>
    <s v="CA-2021-118640"/>
    <n v="20"/>
    <n v="7"/>
    <n v="2021"/>
    <s v="Standard Class"/>
    <s v="CS-11950"/>
    <s v="carlos soltero"/>
    <s v="Consumer"/>
    <s v="United States-Illinois-Chicago"/>
    <s v="Central"/>
    <n v="60610"/>
    <s v="FUR-FU-10001475"/>
    <x v="0"/>
    <s v="Furnishings"/>
    <s v="Contract Clock, 14&quot;, Brown"/>
    <n v="8.7919999999999998"/>
    <n v="1"/>
    <n v="0.6"/>
    <n v="-5.7148000000000003"/>
  </r>
  <r>
    <n v="581"/>
    <s v="CA-2019-132906"/>
    <n v="10"/>
    <n v="9"/>
    <n v="2019"/>
    <s v="Standard Class"/>
    <s v="CC-12145"/>
    <s v="charles crestani"/>
    <s v="Consumer"/>
    <s v="United States-California-Los Angeles"/>
    <s v="West"/>
    <n v="90004"/>
    <s v="OFF-SU-10004498"/>
    <x v="1"/>
    <s v="Supplies"/>
    <s v="Martin-Yale Premier Letter Opener"/>
    <n v="51.52"/>
    <n v="4"/>
    <n v="0"/>
    <n v="1.5456000000000001"/>
  </r>
  <r>
    <n v="582"/>
    <s v="CA-2021-145233"/>
    <n v="1"/>
    <n v="12"/>
    <n v="2021"/>
    <s v="Standard Class"/>
    <s v="DV-13465"/>
    <s v="dianna vittorini"/>
    <s v="Consumer"/>
    <s v="United States-Colorado-Denver"/>
    <s v="West"/>
    <n v="80219"/>
    <s v="TEC-PH-10004977"/>
    <x v="2"/>
    <s v="Phones"/>
    <s v="GE 30524EE4"/>
    <n v="1097.5440000000001"/>
    <n v="7"/>
    <n v="0.2"/>
    <n v="123.47369999999999"/>
  </r>
  <r>
    <n v="583"/>
    <s v="CA-2021-145233"/>
    <n v="1"/>
    <n v="12"/>
    <n v="2021"/>
    <s v="Standard Class"/>
    <s v="DV-13465"/>
    <s v="dianna vittorini"/>
    <s v="Consumer"/>
    <s v="United States-Colorado-Denver"/>
    <s v="West"/>
    <n v="80219"/>
    <s v="TEC-PH-10000586"/>
    <x v="2"/>
    <s v="Phones"/>
    <s v="AT&amp;T SB67148 SynJ"/>
    <n v="105.584"/>
    <n v="2"/>
    <n v="0.2"/>
    <n v="9.2385999999999999"/>
  </r>
  <r>
    <n v="584"/>
    <s v="CA-2021-145233"/>
    <n v="1"/>
    <n v="12"/>
    <n v="2021"/>
    <s v="Standard Class"/>
    <s v="DV-13465"/>
    <s v="dianna vittorini"/>
    <s v="Consumer"/>
    <s v="United States-Colorado-Denver"/>
    <s v="West"/>
    <n v="80219"/>
    <s v="OFF-AP-10000358"/>
    <x v="1"/>
    <s v="Appliances"/>
    <s v="Fellowes Basic Home/Office Series Surge Protectors"/>
    <n v="77.88"/>
    <n v="6"/>
    <n v="0"/>
    <n v="22.5852"/>
  </r>
  <r>
    <n v="585"/>
    <s v="CA-2021-145233"/>
    <n v="1"/>
    <n v="12"/>
    <n v="2021"/>
    <s v="Standard Class"/>
    <s v="DV-13465"/>
    <s v="dianna vittorini"/>
    <s v="Consumer"/>
    <s v="United States-Colorado-Denver"/>
    <s v="West"/>
    <n v="80219"/>
    <s v="OFF-BI-10002764"/>
    <x v="1"/>
    <s v="Binders"/>
    <s v="Recycled Pressboard Report Cover with Reinforced Top Hinge"/>
    <n v="6.7830000000000004"/>
    <n v="7"/>
    <n v="0.7"/>
    <n v="-4.7481"/>
  </r>
  <r>
    <n v="586"/>
    <s v="CA-2021-145233"/>
    <n v="1"/>
    <n v="12"/>
    <n v="2021"/>
    <s v="Standard Class"/>
    <s v="DV-13465"/>
    <s v="dianna vittorini"/>
    <s v="Consumer"/>
    <s v="United States-Colorado-Denver"/>
    <s v="West"/>
    <n v="80219"/>
    <s v="TEC-PH-10001254"/>
    <x v="2"/>
    <s v="Phones"/>
    <s v="Jabra BIZ 2300 Duo QD Duo Corded Headset"/>
    <n v="203.184"/>
    <n v="2"/>
    <n v="0.2"/>
    <n v="15.238799999999999"/>
  </r>
  <r>
    <n v="587"/>
    <s v="CA-2019-128139"/>
    <n v="3"/>
    <n v="7"/>
    <n v="2019"/>
    <s v="Standard Class"/>
    <s v="BD-11725"/>
    <s v="bruce degenhardt"/>
    <s v="Consumer"/>
    <s v="United States-Kentucky-Richmond"/>
    <s v="South"/>
    <n v="40475"/>
    <s v="FUR-CH-10003956"/>
    <x v="0"/>
    <s v="Chairs"/>
    <s v="Novimex High-Tech Fabric Mesh Task Chair"/>
    <n v="113.568"/>
    <n v="2"/>
    <n v="0.2"/>
    <n v="-18.454799999999999"/>
  </r>
  <r>
    <n v="588"/>
    <s v="CA-2019-128139"/>
    <n v="3"/>
    <n v="7"/>
    <n v="2019"/>
    <s v="Standard Class"/>
    <s v="BD-11725"/>
    <s v="bruce degenhardt"/>
    <s v="Consumer"/>
    <s v="United States-Kentucky-Richmond"/>
    <s v="South"/>
    <n v="40475"/>
    <s v="OFF-LA-10003930"/>
    <x v="1"/>
    <s v="Labels"/>
    <s v="Dot Matrix Printer Tape Reel Labels, White, 5000/Box"/>
    <n v="294.93"/>
    <n v="3"/>
    <n v="0"/>
    <n v="144.51570000000001"/>
  </r>
  <r>
    <n v="589"/>
    <s v="US-2020-156986"/>
    <n v="20"/>
    <n v="3"/>
    <n v="2020"/>
    <s v="Standard Class"/>
    <s v="ZC-21910"/>
    <s v="zuschuss carroll"/>
    <s v="Consumer"/>
    <s v="United States-Oregon-Salem"/>
    <s v="West"/>
    <n v="97301"/>
    <s v="TEC-PH-10003800"/>
    <x v="2"/>
    <s v="Phones"/>
    <s v="i.Sound Portable Power - 8000 mAh"/>
    <n v="84.784000000000006"/>
    <n v="2"/>
    <n v="0.2"/>
    <n v="-20.136199999999999"/>
  </r>
  <r>
    <n v="590"/>
    <s v="US-2020-156986"/>
    <n v="20"/>
    <n v="3"/>
    <n v="2020"/>
    <s v="Standard Class"/>
    <s v="ZC-21910"/>
    <s v="zuschuss carroll"/>
    <s v="Consumer"/>
    <s v="United States-Oregon-Salem"/>
    <s v="West"/>
    <n v="97301"/>
    <s v="OFF-PA-10002005"/>
    <x v="1"/>
    <s v="Paper"/>
    <s v="Xerox 225"/>
    <n v="20.736000000000001"/>
    <n v="4"/>
    <n v="0.2"/>
    <n v="7.2576000000000001"/>
  </r>
  <r>
    <n v="591"/>
    <s v="US-2020-156986"/>
    <n v="20"/>
    <n v="3"/>
    <n v="2020"/>
    <s v="Standard Class"/>
    <s v="ZC-21910"/>
    <s v="zuschuss carroll"/>
    <s v="Consumer"/>
    <s v="United States-Oregon-Salem"/>
    <s v="West"/>
    <n v="97301"/>
    <s v="OFF-BI-10002498"/>
    <x v="1"/>
    <s v="Binders"/>
    <s v="Clear Mylar Reinforcing Strips"/>
    <n v="119.616"/>
    <n v="8"/>
    <n v="0.2"/>
    <n v="40.370399999999997"/>
  </r>
  <r>
    <n v="592"/>
    <s v="US-2020-156986"/>
    <n v="20"/>
    <n v="3"/>
    <n v="2020"/>
    <s v="Standard Class"/>
    <s v="ZC-21910"/>
    <s v="zuschuss carroll"/>
    <s v="Consumer"/>
    <s v="United States-Oregon-Salem"/>
    <s v="West"/>
    <n v="97301"/>
    <s v="OFF-PA-10004101"/>
    <x v="1"/>
    <s v="Paper"/>
    <s v="Xerox 1894"/>
    <n v="10.368"/>
    <n v="2"/>
    <n v="0.2"/>
    <n v="3.6288"/>
  </r>
  <r>
    <n v="593"/>
    <s v="CA-2018-135405"/>
    <n v="9"/>
    <n v="1"/>
    <n v="2018"/>
    <s v="Standard Class"/>
    <s v="MS-17830"/>
    <s v="melanie seite"/>
    <s v="Consumer"/>
    <s v="United States-Texas-Laredo"/>
    <s v="Central"/>
    <n v="78041"/>
    <s v="OFF-AR-10004078"/>
    <x v="1"/>
    <s v="Art"/>
    <s v="Newell 312"/>
    <n v="9.3439999999999994"/>
    <n v="2"/>
    <n v="0.2"/>
    <n v="1.1679999999999999"/>
  </r>
  <r>
    <n v="594"/>
    <s v="CA-2018-135405"/>
    <n v="9"/>
    <n v="1"/>
    <n v="2018"/>
    <s v="Standard Class"/>
    <s v="MS-17830"/>
    <s v="melanie seite"/>
    <s v="Consumer"/>
    <s v="United States-Texas-Laredo"/>
    <s v="Central"/>
    <n v="78041"/>
    <s v="TEC-AC-10001266"/>
    <x v="2"/>
    <s v="Accessories"/>
    <s v="Memorex Micro Travel Drive 8 GB"/>
    <n v="20.8"/>
    <n v="2"/>
    <n v="0.2"/>
    <n v="6.5"/>
  </r>
  <r>
    <n v="595"/>
    <s v="CA-2018-131450"/>
    <n v="8"/>
    <n v="8"/>
    <n v="2018"/>
    <s v="Standard Class"/>
    <s v="LR-16915"/>
    <s v="lena radford"/>
    <s v="Consumer"/>
    <s v="United States-California-San Diego"/>
    <s v="West"/>
    <n v="92024"/>
    <s v="OFF-AP-10004708"/>
    <x v="1"/>
    <s v="Appliances"/>
    <s v="Fellowes Superior 10 Outlet Split Surge Protector"/>
    <n v="76.12"/>
    <n v="2"/>
    <n v="0"/>
    <n v="22.0748"/>
  </r>
  <r>
    <n v="596"/>
    <s v="CA-2018-131450"/>
    <n v="8"/>
    <n v="8"/>
    <n v="2018"/>
    <s v="Standard Class"/>
    <s v="LR-16915"/>
    <s v="lena radford"/>
    <s v="Consumer"/>
    <s v="United States-California-San Diego"/>
    <s v="West"/>
    <n v="92024"/>
    <s v="TEC-CO-10004115"/>
    <x v="2"/>
    <s v="Copiers"/>
    <s v="Sharp AL-1530CS Digital Copier"/>
    <n v="1199.9760000000001"/>
    <n v="3"/>
    <n v="0.2"/>
    <n v="434.99130000000002"/>
  </r>
  <r>
    <n v="597"/>
    <s v="CA-2018-131450"/>
    <n v="8"/>
    <n v="8"/>
    <n v="2018"/>
    <s v="Standard Class"/>
    <s v="LR-16915"/>
    <s v="lena radford"/>
    <s v="Consumer"/>
    <s v="United States-California-San Diego"/>
    <s v="West"/>
    <n v="92024"/>
    <s v="TEC-PH-10002398"/>
    <x v="2"/>
    <s v="Phones"/>
    <s v="AT&amp;T 1070 Corded Phone"/>
    <n v="178.38399999999999"/>
    <n v="2"/>
    <n v="0.2"/>
    <n v="22.297999999999998"/>
  </r>
  <r>
    <n v="598"/>
    <s v="CA-2018-131450"/>
    <n v="8"/>
    <n v="8"/>
    <n v="2018"/>
    <s v="Standard Class"/>
    <s v="LR-16915"/>
    <s v="lena radford"/>
    <s v="Consumer"/>
    <s v="United States-California-San Diego"/>
    <s v="West"/>
    <n v="92024"/>
    <s v="FUR-FU-10001979"/>
    <x v="0"/>
    <s v="Furnishings"/>
    <s v="Dana Halogen Swing-Arm Architect Lamp"/>
    <n v="327.76"/>
    <n v="8"/>
    <n v="0"/>
    <n v="91.772800000000004"/>
  </r>
  <r>
    <n v="599"/>
    <s v="CA-2020-120180"/>
    <n v="14"/>
    <n v="7"/>
    <n v="2020"/>
    <s v="First Class"/>
    <s v="TP-21130"/>
    <s v="theone pippenger"/>
    <s v="Consumer"/>
    <s v="United States-Pennsylvania-Philadelphia"/>
    <s v="East"/>
    <n v="19134"/>
    <s v="OFF-SU-10004115"/>
    <x v="1"/>
    <s v="Supplies"/>
    <s v="Acme Stainless Steel Office Snips"/>
    <n v="11.632"/>
    <n v="2"/>
    <n v="0.2"/>
    <n v="1.0178"/>
  </r>
  <r>
    <n v="600"/>
    <s v="US-2020-100720"/>
    <n v="16"/>
    <n v="7"/>
    <n v="2020"/>
    <s v="Standard Class"/>
    <s v="CK-12205"/>
    <s v="chloris kastensmidt"/>
    <s v="Consumer"/>
    <s v="United States-Pennsylvania-Philadelphia"/>
    <s v="East"/>
    <n v="19120"/>
    <s v="TEC-PH-10001425"/>
    <x v="2"/>
    <s v="Phones"/>
    <s v="Mophie Juice Pack Helium for iPhone"/>
    <n v="143.982"/>
    <n v="3"/>
    <n v="0.4"/>
    <n v="-28.796399999999998"/>
  </r>
  <r>
    <n v="601"/>
    <s v="US-2020-100720"/>
    <n v="16"/>
    <n v="7"/>
    <n v="2020"/>
    <s v="Standard Class"/>
    <s v="CK-12205"/>
    <s v="chloris kastensmidt"/>
    <s v="Consumer"/>
    <s v="United States-Pennsylvania-Philadelphia"/>
    <s v="East"/>
    <n v="19120"/>
    <s v="TEC-PH-10003963"/>
    <x v="2"/>
    <s v="Phones"/>
    <s v="GE 2-Jack Phone Line Splitter"/>
    <n v="494.37599999999998"/>
    <n v="4"/>
    <n v="0.4"/>
    <n v="-115.3544"/>
  </r>
  <r>
    <n v="602"/>
    <s v="US-2020-100720"/>
    <n v="16"/>
    <n v="7"/>
    <n v="2020"/>
    <s v="Standard Class"/>
    <s v="CK-12205"/>
    <s v="chloris kastensmidt"/>
    <s v="Consumer"/>
    <s v="United States-Pennsylvania-Philadelphia"/>
    <s v="East"/>
    <n v="19120"/>
    <s v="OFF-SU-10001574"/>
    <x v="1"/>
    <s v="Supplies"/>
    <s v="Acme Value Line Scissors"/>
    <n v="7.3"/>
    <n v="2"/>
    <n v="0"/>
    <n v="2.19"/>
  </r>
  <r>
    <n v="603"/>
    <s v="CA-2018-149958"/>
    <n v="15"/>
    <n v="3"/>
    <n v="2018"/>
    <s v="Standard Class"/>
    <s v="AS-10240"/>
    <s v="alan shonely"/>
    <s v="Consumer"/>
    <s v="United States-Florida-Tampa"/>
    <s v="South"/>
    <n v="33614"/>
    <s v="OFF-ST-10001490"/>
    <x v="1"/>
    <s v="Storage"/>
    <s v="Hot File 7-Pocket, Floor Stand"/>
    <n v="142.77600000000001"/>
    <n v="1"/>
    <n v="0.2"/>
    <n v="17.847000000000001"/>
  </r>
  <r>
    <n v="604"/>
    <s v="CA-2018-149958"/>
    <n v="15"/>
    <n v="3"/>
    <n v="2018"/>
    <s v="Standard Class"/>
    <s v="AS-10240"/>
    <s v="alan shonely"/>
    <s v="Consumer"/>
    <s v="United States-Florida-Tampa"/>
    <s v="South"/>
    <n v="33614"/>
    <s v="FUR-FU-10001756"/>
    <x v="0"/>
    <s v="Furnishings"/>
    <s v="Eldon Expressions Desk Accessory, Wood Photo Frame, Mahogany"/>
    <n v="15.231999999999999"/>
    <n v="1"/>
    <n v="0.2"/>
    <n v="1.7136"/>
  </r>
  <r>
    <n v="605"/>
    <s v="CA-2018-149958"/>
    <n v="15"/>
    <n v="3"/>
    <n v="2018"/>
    <s v="Standard Class"/>
    <s v="AS-10240"/>
    <s v="alan shonely"/>
    <s v="Consumer"/>
    <s v="United States-Florida-Tampa"/>
    <s v="South"/>
    <n v="33614"/>
    <s v="OFF-BI-10000773"/>
    <x v="1"/>
    <s v="Binders"/>
    <s v="Insertable Tab Post Binder Dividers"/>
    <n v="4.8120000000000003"/>
    <n v="2"/>
    <n v="0.7"/>
    <n v="-3.6892"/>
  </r>
  <r>
    <n v="606"/>
    <s v="CA-2018-149958"/>
    <n v="15"/>
    <n v="3"/>
    <n v="2018"/>
    <s v="Standard Class"/>
    <s v="AS-10240"/>
    <s v="alan shonely"/>
    <s v="Consumer"/>
    <s v="United States-Florida-Tampa"/>
    <s v="South"/>
    <n v="33614"/>
    <s v="OFF-BI-10001543"/>
    <x v="1"/>
    <s v="Binders"/>
    <s v="GBC VeloBinder Manual Binding System"/>
    <n v="287.92"/>
    <n v="8"/>
    <n v="0"/>
    <n v="138.20160000000001"/>
  </r>
  <r>
    <n v="607"/>
    <s v="CA-2018-149958"/>
    <n v="15"/>
    <n v="3"/>
    <n v="2018"/>
    <s v="Standard Class"/>
    <s v="AS-10240"/>
    <s v="alan shonely"/>
    <s v="Consumer"/>
    <s v="United States-Florida-Tampa"/>
    <s v="South"/>
    <n v="33614"/>
    <s v="OFF-PA-10002120"/>
    <x v="1"/>
    <s v="Paper"/>
    <s v="Xerox 1889"/>
    <n v="131.904"/>
    <n v="3"/>
    <n v="0.2"/>
    <n v="47.815199999999997"/>
  </r>
  <r>
    <n v="608"/>
    <s v="US-2018-105767"/>
    <n v="23"/>
    <n v="5"/>
    <n v="2018"/>
    <s v="Standard Class"/>
    <s v="AR-10510"/>
    <s v="andrew roberts"/>
    <s v="Consumer"/>
    <s v="United States-Pennsylvania-Philadelphia"/>
    <s v="East"/>
    <n v="19134"/>
    <s v="OFF-BI-10000848"/>
    <x v="1"/>
    <s v="Binders"/>
    <s v="Angle-D Ring Binders"/>
    <n v="3.282"/>
    <n v="2"/>
    <n v="0.7"/>
    <n v="-2.6255999999999999"/>
  </r>
  <r>
    <n v="609"/>
    <s v="US-2018-105767"/>
    <n v="23"/>
    <n v="5"/>
    <n v="2018"/>
    <s v="Standard Class"/>
    <s v="AR-10510"/>
    <s v="andrew roberts"/>
    <s v="Consumer"/>
    <s v="United States-Pennsylvania-Philadelphia"/>
    <s v="East"/>
    <n v="19134"/>
    <s v="OFF-AR-10001246"/>
    <x v="1"/>
    <s v="Art"/>
    <s v="Newell 317"/>
    <n v="5.88"/>
    <n v="2"/>
    <n v="0"/>
    <n v="1.7052"/>
  </r>
  <r>
    <n v="610"/>
    <s v="US-2018-105767"/>
    <n v="23"/>
    <n v="5"/>
    <n v="2018"/>
    <s v="Standard Class"/>
    <s v="AR-10510"/>
    <s v="andrew roberts"/>
    <s v="Consumer"/>
    <s v="United States-Pennsylvania-Philadelphia"/>
    <s v="East"/>
    <n v="19134"/>
    <s v="TEC-PH-10003092"/>
    <x v="2"/>
    <s v="Phones"/>
    <s v="Motorola L804"/>
    <n v="55.188000000000002"/>
    <n v="2"/>
    <n v="0.4"/>
    <n v="-10.117800000000001"/>
  </r>
  <r>
    <n v="611"/>
    <s v="CA-2020-161816"/>
    <n v="28"/>
    <n v="4"/>
    <n v="2020"/>
    <s v="First Class"/>
    <s v="NB-18655"/>
    <s v="nona balk"/>
    <s v="Corporate"/>
    <s v="United States-Texas-Dallas"/>
    <s v="Central"/>
    <n v="75217"/>
    <s v="TEC-PH-10003012"/>
    <x v="2"/>
    <s v="Phones"/>
    <s v="Nortel Meridian M3904 Professional Digital phone"/>
    <n v="246.38399999999999"/>
    <n v="2"/>
    <n v="0.2"/>
    <n v="27.7182"/>
  </r>
  <r>
    <n v="612"/>
    <s v="CA-2020-161816"/>
    <n v="28"/>
    <n v="4"/>
    <n v="2020"/>
    <s v="First Class"/>
    <s v="NB-18655"/>
    <s v="nona balk"/>
    <s v="Corporate"/>
    <s v="United States-Texas-Dallas"/>
    <s v="Central"/>
    <n v="75217"/>
    <s v="OFF-LA-10004345"/>
    <x v="1"/>
    <s v="Labels"/>
    <s v="Avery 493"/>
    <n v="15.712"/>
    <n v="4"/>
    <n v="0.2"/>
    <n v="5.6955999999999998"/>
  </r>
  <r>
    <n v="613"/>
    <s v="CA-2020-121223"/>
    <n v="11"/>
    <n v="9"/>
    <n v="2020"/>
    <s v="Second Class"/>
    <s v="GD-14590"/>
    <s v="giulietta dortch"/>
    <s v="Corporate"/>
    <s v="United States-Pennsylvania-Philadelphia"/>
    <s v="East"/>
    <n v="19143"/>
    <s v="OFF-PA-10001204"/>
    <x v="1"/>
    <s v="Paper"/>
    <s v="Xerox 1972"/>
    <n v="8.4480000000000004"/>
    <n v="2"/>
    <n v="0.2"/>
    <n v="2.64"/>
  </r>
  <r>
    <n v="614"/>
    <s v="CA-2020-121223"/>
    <n v="11"/>
    <n v="9"/>
    <n v="2020"/>
    <s v="Second Class"/>
    <s v="GD-14590"/>
    <s v="giulietta dortch"/>
    <s v="Corporate"/>
    <s v="United States-Pennsylvania-Philadelphia"/>
    <s v="East"/>
    <n v="19143"/>
    <s v="TEC-PH-10004667"/>
    <x v="2"/>
    <s v="Phones"/>
    <s v="Cisco 8x8 Inc. 6753i IP Business Phone System"/>
    <n v="728.94600000000003"/>
    <n v="9"/>
    <n v="0.4"/>
    <n v="-157.9383"/>
  </r>
  <r>
    <n v="615"/>
    <s v="CA-2021-138611"/>
    <n v="14"/>
    <n v="11"/>
    <n v="2021"/>
    <s v="Second Class"/>
    <s v="CK-12595"/>
    <s v="clytie kelty"/>
    <s v="Consumer"/>
    <s v="United States-Ohio-Grove City"/>
    <s v="East"/>
    <n v="43123"/>
    <s v="TEC-PH-10000011"/>
    <x v="2"/>
    <s v="Phones"/>
    <s v="PureGear Roll-On Screen Protector"/>
    <n v="31.984000000000002"/>
    <n v="2"/>
    <n v="0.2"/>
    <n v="11.1944"/>
  </r>
  <r>
    <n v="616"/>
    <s v="CA-2021-138611"/>
    <n v="14"/>
    <n v="11"/>
    <n v="2021"/>
    <s v="Second Class"/>
    <s v="CK-12595"/>
    <s v="clytie kelty"/>
    <s v="Consumer"/>
    <s v="United States-Ohio-Grove City"/>
    <s v="East"/>
    <n v="43123"/>
    <s v="OFF-BI-10002949"/>
    <x v="1"/>
    <s v="Binders"/>
    <s v="Prestige Round Ring Binders"/>
    <n v="3.6480000000000001"/>
    <n v="2"/>
    <n v="0.7"/>
    <n v="-2.7968000000000002"/>
  </r>
  <r>
    <n v="617"/>
    <s v="CA-2021-117947"/>
    <n v="18"/>
    <n v="8"/>
    <n v="2021"/>
    <s v="Second Class"/>
    <s v="NG-18355"/>
    <s v="nat gilpin"/>
    <s v="Corporate"/>
    <s v="United States-New York-New York City"/>
    <s v="East"/>
    <n v="10011"/>
    <s v="FUR-FU-10003849"/>
    <x v="0"/>
    <s v="Furnishings"/>
    <s v="DAX Metal Frame, Desktop, Stepped-Edge"/>
    <n v="40.479999999999997"/>
    <n v="2"/>
    <n v="0"/>
    <n v="15.7872"/>
  </r>
  <r>
    <n v="618"/>
    <s v="CA-2021-117947"/>
    <n v="18"/>
    <n v="8"/>
    <n v="2021"/>
    <s v="Second Class"/>
    <s v="NG-18355"/>
    <s v="nat gilpin"/>
    <s v="Corporate"/>
    <s v="United States-New York-New York City"/>
    <s v="East"/>
    <n v="10011"/>
    <s v="FUR-FU-10000010"/>
    <x v="0"/>
    <s v="Furnishings"/>
    <s v="DAX Value U-Channel Document Frames, Easel Back"/>
    <n v="9.94"/>
    <n v="2"/>
    <n v="0"/>
    <n v="3.0813999999999999"/>
  </r>
  <r>
    <n v="619"/>
    <s v="CA-2021-117947"/>
    <n v="18"/>
    <n v="8"/>
    <n v="2021"/>
    <s v="Second Class"/>
    <s v="NG-18355"/>
    <s v="nat gilpin"/>
    <s v="Corporate"/>
    <s v="United States-New York-New York City"/>
    <s v="East"/>
    <n v="10011"/>
    <s v="OFF-BI-10002824"/>
    <x v="1"/>
    <s v="Binders"/>
    <s v="Recycled Easel Ring Binders"/>
    <n v="107.42400000000001"/>
    <n v="9"/>
    <n v="0.2"/>
    <n v="33.57"/>
  </r>
  <r>
    <n v="620"/>
    <s v="CA-2021-117947"/>
    <n v="18"/>
    <n v="8"/>
    <n v="2021"/>
    <s v="Second Class"/>
    <s v="NG-18355"/>
    <s v="nat gilpin"/>
    <s v="Corporate"/>
    <s v="United States-New York-New York City"/>
    <s v="East"/>
    <n v="10011"/>
    <s v="TEC-PH-10002538"/>
    <x v="2"/>
    <s v="Phones"/>
    <s v="Grandstream GXP1160 VoIP phone"/>
    <n v="37.909999999999997"/>
    <n v="1"/>
    <n v="0"/>
    <n v="10.9939"/>
  </r>
  <r>
    <n v="621"/>
    <s v="CA-2021-117947"/>
    <n v="18"/>
    <n v="8"/>
    <n v="2021"/>
    <s v="Second Class"/>
    <s v="NG-18355"/>
    <s v="nat gilpin"/>
    <s v="Corporate"/>
    <s v="United States-New York-New York City"/>
    <s v="East"/>
    <n v="10011"/>
    <s v="FUR-FU-10000521"/>
    <x v="0"/>
    <s v="Furnishings"/>
    <s v="Seth Thomas 14&quot; Putty-Colored Wall Clock"/>
    <n v="93.888000000000005"/>
    <n v="4"/>
    <n v="0.2"/>
    <n v="12.909599999999999"/>
  </r>
  <r>
    <n v="622"/>
    <s v="US-2018-111171"/>
    <n v="26"/>
    <n v="12"/>
    <n v="2018"/>
    <s v="Standard Class"/>
    <s v="CA-12265"/>
    <s v="christina anderson"/>
    <s v="Consumer"/>
    <s v="United States-Illinois-Chicago"/>
    <s v="Central"/>
    <n v="60610"/>
    <s v="OFF-BI-10002103"/>
    <x v="1"/>
    <s v="Binders"/>
    <s v="Cardinal Slant-D Ring Binder, Heavy Gauge Vinyl"/>
    <n v="8.69"/>
    <n v="5"/>
    <n v="0.8"/>
    <n v="-14.773"/>
  </r>
  <r>
    <n v="623"/>
    <s v="CA-2019-138009"/>
    <n v="29"/>
    <n v="11"/>
    <n v="2019"/>
    <s v="Standard Class"/>
    <s v="SF-20965"/>
    <s v="sylvia foulston"/>
    <s v="Corporate"/>
    <s v="United States-Michigan-Dearborn"/>
    <s v="Central"/>
    <n v="48126"/>
    <s v="FUR-CH-10004853"/>
    <x v="0"/>
    <s v="Chairs"/>
    <s v="Global Manager's Adjustable Task Chair, Storm"/>
    <n v="301.95999999999998"/>
    <n v="2"/>
    <n v="0"/>
    <n v="87.568399999999997"/>
  </r>
  <r>
    <n v="624"/>
    <s v="CA-2019-138009"/>
    <n v="29"/>
    <n v="11"/>
    <n v="2019"/>
    <s v="Standard Class"/>
    <s v="SF-20965"/>
    <s v="sylvia foulston"/>
    <s v="Corporate"/>
    <s v="United States-Michigan-Dearborn"/>
    <s v="Central"/>
    <n v="48126"/>
    <s v="OFF-AP-10000179"/>
    <x v="1"/>
    <s v="Appliances"/>
    <s v="Honeywell Enviracaire Portable HEPA Air Cleaner for up to 10 x 16 Room"/>
    <n v="555.21"/>
    <n v="5"/>
    <n v="0.1"/>
    <n v="178.90100000000001"/>
  </r>
  <r>
    <n v="625"/>
    <s v="CA-2019-138009"/>
    <n v="29"/>
    <n v="11"/>
    <n v="2019"/>
    <s v="Standard Class"/>
    <s v="SF-20965"/>
    <s v="sylvia foulston"/>
    <s v="Corporate"/>
    <s v="United States-Michigan-Dearborn"/>
    <s v="Central"/>
    <n v="48126"/>
    <s v="OFF-ST-10001272"/>
    <x v="1"/>
    <s v="Storage"/>
    <s v="Mini 13-1/2 Capacity Data Binder Rack, Pearl"/>
    <n v="523.48"/>
    <n v="4"/>
    <n v="0"/>
    <n v="130.87"/>
  </r>
  <r>
    <n v="626"/>
    <s v="CA-2019-138009"/>
    <n v="29"/>
    <n v="11"/>
    <n v="2019"/>
    <s v="Standard Class"/>
    <s v="SF-20965"/>
    <s v="sylvia foulston"/>
    <s v="Corporate"/>
    <s v="United States-Michigan-Dearborn"/>
    <s v="Central"/>
    <n v="48126"/>
    <s v="OFF-AR-10004042"/>
    <x v="1"/>
    <s v="Art"/>
    <s v="BOSTON Model 1800 Electric Pencil Sharpeners, Putty/Woodgrain"/>
    <n v="86.304000000000002"/>
    <n v="6"/>
    <n v="0.2"/>
    <n v="9.7091999999999992"/>
  </r>
  <r>
    <n v="627"/>
    <s v="CA-2021-163020"/>
    <n v="15"/>
    <n v="9"/>
    <n v="2021"/>
    <s v="Standard Class"/>
    <s v="MO-17800"/>
    <s v="meg o'connel"/>
    <s v="Home Office"/>
    <s v="United States-New York-New York City"/>
    <s v="East"/>
    <n v="10009"/>
    <s v="FUR-FU-10000221"/>
    <x v="0"/>
    <s v="Furnishings"/>
    <s v="Master Caster Door Stop, Brown"/>
    <n v="35.56"/>
    <n v="7"/>
    <n v="0"/>
    <n v="12.090400000000001"/>
  </r>
  <r>
    <n v="628"/>
    <s v="CA-2021-153787"/>
    <n v="19"/>
    <n v="5"/>
    <n v="2021"/>
    <s v="Standard Class"/>
    <s v="AT-10735"/>
    <s v="annie thurman"/>
    <s v="Consumer"/>
    <s v="United States-Washington-Seattle"/>
    <s v="West"/>
    <n v="98115"/>
    <s v="OFF-AP-10001563"/>
    <x v="1"/>
    <s v="Appliances"/>
    <s v="Belkin Premiere Surge Master II 8-outlet surge protector"/>
    <n v="97.16"/>
    <n v="2"/>
    <n v="0"/>
    <n v="28.176400000000001"/>
  </r>
  <r>
    <n v="629"/>
    <s v="CA-2021-133431"/>
    <n v="17"/>
    <n v="12"/>
    <n v="2021"/>
    <s v="Standard Class"/>
    <s v="LC-17140"/>
    <s v="logan currie"/>
    <s v="Consumer"/>
    <s v="United States-California-San Francisco"/>
    <s v="West"/>
    <n v="94122"/>
    <s v="OFF-BI-10000605"/>
    <x v="1"/>
    <s v="Binders"/>
    <s v="Acco Pressboard Covers with Storage Hooks, 9 1/2&quot; x 11&quot;, Executive Red"/>
    <n v="15.24"/>
    <n v="5"/>
    <n v="0.2"/>
    <n v="5.1435000000000004"/>
  </r>
  <r>
    <n v="630"/>
    <s v="CA-2021-133431"/>
    <n v="17"/>
    <n v="12"/>
    <n v="2021"/>
    <s v="Standard Class"/>
    <s v="LC-17140"/>
    <s v="logan currie"/>
    <s v="Consumer"/>
    <s v="United States-California-San Francisco"/>
    <s v="West"/>
    <n v="94122"/>
    <s v="OFF-PA-10002615"/>
    <x v="1"/>
    <s v="Paper"/>
    <s v="Ampad Gold Fibre Wirebound Steno Books, 6&quot; x 9&quot;, Gregg Ruled"/>
    <n v="8.82"/>
    <n v="2"/>
    <n v="0"/>
    <n v="4.0571999999999999"/>
  </r>
  <r>
    <n v="631"/>
    <s v="US-2020-135720"/>
    <n v="11"/>
    <n v="12"/>
    <n v="2020"/>
    <s v="Second Class"/>
    <s v="FM-14380"/>
    <s v="fred mcmath"/>
    <s v="Consumer"/>
    <s v="United States-Colorado-Aurora"/>
    <s v="West"/>
    <n v="80013"/>
    <s v="OFF-ST-10001963"/>
    <x v="1"/>
    <s v="Storage"/>
    <s v="Tennsco Regal Shelving Units"/>
    <n v="243.38399999999999"/>
    <n v="3"/>
    <n v="0.2"/>
    <n v="-51.719099999999997"/>
  </r>
  <r>
    <n v="632"/>
    <s v="US-2020-135720"/>
    <n v="11"/>
    <n v="12"/>
    <n v="2020"/>
    <s v="Second Class"/>
    <s v="FM-14380"/>
    <s v="fred mcmath"/>
    <s v="Consumer"/>
    <s v="United States-Colorado-Aurora"/>
    <s v="West"/>
    <n v="80013"/>
    <s v="TEC-AC-10001267"/>
    <x v="2"/>
    <s v="Accessories"/>
    <s v="Imation 32GB Pocket Pro USB 3.0 Flash Drive - 32 GB - Black - 1 P ..."/>
    <n v="119.8"/>
    <n v="5"/>
    <n v="0.2"/>
    <n v="29.95"/>
  </r>
  <r>
    <n v="633"/>
    <s v="US-2020-135720"/>
    <n v="11"/>
    <n v="12"/>
    <n v="2020"/>
    <s v="Second Class"/>
    <s v="FM-14380"/>
    <s v="fred mcmath"/>
    <s v="Consumer"/>
    <s v="United States-Colorado-Aurora"/>
    <s v="West"/>
    <n v="80013"/>
    <s v="TEC-PH-10002103"/>
    <x v="2"/>
    <s v="Phones"/>
    <s v="Jabra SPEAK 410"/>
    <n v="300.76799999999997"/>
    <n v="4"/>
    <n v="0.2"/>
    <n v="30.076799999999999"/>
  </r>
  <r>
    <n v="634"/>
    <s v="CA-2021-144694"/>
    <n v="24"/>
    <n v="9"/>
    <n v="2021"/>
    <s v="Second Class"/>
    <s v="BD-11605"/>
    <s v="brian dahlen"/>
    <s v="Consumer"/>
    <s v="United States-Florida-Miami"/>
    <s v="South"/>
    <n v="33180"/>
    <s v="TEC-AC-10002857"/>
    <x v="2"/>
    <s v="Accessories"/>
    <s v="Verbatim 25 GB 6x Blu-ray Single Layer Recordable Disc, 1/Pack"/>
    <n v="17.88"/>
    <n v="3"/>
    <n v="0.2"/>
    <n v="2.4584999999999999"/>
  </r>
  <r>
    <n v="635"/>
    <s v="CA-2021-144694"/>
    <n v="24"/>
    <n v="9"/>
    <n v="2021"/>
    <s v="Second Class"/>
    <s v="BD-11605"/>
    <s v="brian dahlen"/>
    <s v="Consumer"/>
    <s v="United States-Florida-Miami"/>
    <s v="South"/>
    <n v="33180"/>
    <s v="OFF-LA-10003930"/>
    <x v="1"/>
    <s v="Labels"/>
    <s v="Dot Matrix Printer Tape Reel Labels, White, 5000/Box"/>
    <n v="294.93"/>
    <n v="3"/>
    <n v="0"/>
    <n v="144.51570000000001"/>
  </r>
  <r>
    <n v="636"/>
    <s v="CA-2019-168004"/>
    <n v="4"/>
    <n v="10"/>
    <n v="2019"/>
    <s v="Second Class"/>
    <s v="DJ-13420"/>
    <s v="denny joy"/>
    <s v="Corporate"/>
    <s v="United States-Georgia-Warner Robins"/>
    <s v="South"/>
    <n v="31088"/>
    <s v="FUR-CH-10001482"/>
    <x v="0"/>
    <s v="Chairs"/>
    <s v="Office Star - Mesh Screen back chair with Vinyl seat"/>
    <n v="392.94"/>
    <n v="3"/>
    <n v="0"/>
    <n v="43.223399999999998"/>
  </r>
  <r>
    <n v="637"/>
    <s v="US-2020-123470"/>
    <n v="15"/>
    <n v="8"/>
    <n v="2020"/>
    <s v="Standard Class"/>
    <s v="ME-17725"/>
    <s v="max engle"/>
    <s v="Consumer"/>
    <s v="United States-Colorado-Aurora"/>
    <s v="West"/>
    <n v="80013"/>
    <s v="OFF-BI-10001989"/>
    <x v="1"/>
    <s v="Binders"/>
    <s v="Premium Transparent Presentation Covers by GBC"/>
    <n v="18.882000000000001"/>
    <n v="3"/>
    <n v="0.7"/>
    <n v="-13.8468"/>
  </r>
  <r>
    <n v="638"/>
    <s v="US-2020-123470"/>
    <n v="15"/>
    <n v="8"/>
    <n v="2020"/>
    <s v="Standard Class"/>
    <s v="ME-17725"/>
    <s v="max engle"/>
    <s v="Consumer"/>
    <s v="United States-Colorado-Aurora"/>
    <s v="West"/>
    <n v="80013"/>
    <s v="OFF-AP-10003287"/>
    <x v="1"/>
    <s v="Appliances"/>
    <s v="Tripp Lite TLP810NET Broadband Surge for Modem/Fax"/>
    <n v="122.328"/>
    <n v="3"/>
    <n v="0.2"/>
    <n v="12.232799999999999"/>
  </r>
  <r>
    <n v="639"/>
    <s v="CA-2020-115917"/>
    <n v="20"/>
    <n v="5"/>
    <n v="2020"/>
    <s v="Standard Class"/>
    <s v="RB-19465"/>
    <s v="rick bensley"/>
    <s v="Home Office"/>
    <s v="United States-California-Vallejo"/>
    <s v="West"/>
    <n v="94591"/>
    <s v="FUR-FU-10000576"/>
    <x v="0"/>
    <s v="Furnishings"/>
    <s v="Luxo Professional Fluorescent Magnifier Lamp with Clamp-Mount Base"/>
    <n v="419.68"/>
    <n v="5"/>
    <n v="0.6"/>
    <n v="-356.72800000000001"/>
  </r>
  <r>
    <n v="640"/>
    <s v="CA-2020-115917"/>
    <n v="20"/>
    <n v="5"/>
    <n v="2020"/>
    <s v="Standard Class"/>
    <s v="RB-19465"/>
    <s v="rick bensley"/>
    <s v="Home Office"/>
    <s v="United States-California-Vallejo"/>
    <s v="West"/>
    <n v="94591"/>
    <s v="OFF-BI-10004728"/>
    <x v="1"/>
    <s v="Binders"/>
    <s v="Wilson Jones Turn Tabs Binder Tool for Ring Binders"/>
    <n v="15.423999999999999"/>
    <n v="4"/>
    <n v="0.2"/>
    <n v="5.0128000000000004"/>
  </r>
  <r>
    <n v="641"/>
    <s v="CA-2020-147067"/>
    <n v="18"/>
    <n v="12"/>
    <n v="2020"/>
    <s v="Standard Class"/>
    <s v="JD-16150"/>
    <s v="justin deggeller"/>
    <s v="Corporate"/>
    <s v="United States-Minnesota-Minneapolis"/>
    <s v="Central"/>
    <n v="55407"/>
    <s v="FUR-FU-10000732"/>
    <x v="0"/>
    <s v="Furnishings"/>
    <s v="Eldon 200 Class Desk Accessories"/>
    <n v="18.84"/>
    <n v="3"/>
    <n v="0"/>
    <n v="6.0288000000000004"/>
  </r>
  <r>
    <n v="642"/>
    <s v="CA-2021-167913"/>
    <n v="30"/>
    <n v="7"/>
    <n v="2021"/>
    <s v="Second Class"/>
    <s v="JL-15835"/>
    <s v="john lee"/>
    <s v="Consumer"/>
    <s v="United States-California-Mission Viejo"/>
    <s v="West"/>
    <n v="92691"/>
    <s v="OFF-ST-10000585"/>
    <x v="1"/>
    <s v="Storage"/>
    <s v="Economy Rollaway Files"/>
    <n v="330.4"/>
    <n v="2"/>
    <n v="0"/>
    <n v="85.903999999999996"/>
  </r>
  <r>
    <n v="643"/>
    <s v="CA-2021-167913"/>
    <n v="30"/>
    <n v="7"/>
    <n v="2021"/>
    <s v="Second Class"/>
    <s v="JL-15835"/>
    <s v="john lee"/>
    <s v="Consumer"/>
    <s v="United States-California-Mission Viejo"/>
    <s v="West"/>
    <n v="92691"/>
    <s v="OFF-LA-10002787"/>
    <x v="1"/>
    <s v="Labels"/>
    <s v="Avery 480"/>
    <n v="26.25"/>
    <n v="7"/>
    <n v="0"/>
    <n v="12.6"/>
  </r>
  <r>
    <n v="644"/>
    <s v="CA-2021-106103"/>
    <n v="10"/>
    <n v="6"/>
    <n v="2021"/>
    <s v="Standard Class"/>
    <s v="SC-20305"/>
    <s v="sean christensen"/>
    <s v="Consumer"/>
    <s v="United States-Michigan-Rochester Hills"/>
    <s v="Central"/>
    <n v="48307"/>
    <s v="TEC-AC-10003832"/>
    <x v="2"/>
    <s v="Accessories"/>
    <s v="Imation 16GB Mini TravelDrive USB 2.0 Flash Drive"/>
    <n v="66.260000000000005"/>
    <n v="2"/>
    <n v="0"/>
    <n v="27.166599999999999"/>
  </r>
  <r>
    <n v="645"/>
    <s v="US-2021-127719"/>
    <n v="21"/>
    <n v="7"/>
    <n v="2021"/>
    <s v="Standard Class"/>
    <s v="TW-21025"/>
    <s v="tamara willingham"/>
    <s v="Home Office"/>
    <s v="United States-New Jersey-Plainfield"/>
    <s v="East"/>
    <n v="7060"/>
    <s v="OFF-PA-10001934"/>
    <x v="1"/>
    <s v="Paper"/>
    <s v="Xerox 1993"/>
    <n v="6.48"/>
    <n v="1"/>
    <n v="0"/>
    <n v="3.1751999999999998"/>
  </r>
  <r>
    <n v="646"/>
    <s v="CA-2021-126221"/>
    <n v="30"/>
    <n v="12"/>
    <n v="2021"/>
    <s v="Standard Class"/>
    <s v="CC-12430"/>
    <s v="chuck clark"/>
    <s v="Home Office"/>
    <s v="United States-Indiana-Columbus"/>
    <s v="Central"/>
    <n v="47201"/>
    <s v="OFF-AP-10002457"/>
    <x v="1"/>
    <s v="Appliances"/>
    <s v="Eureka The Boss Plus 12-Amp Hard Box Upright Vacuum, Red"/>
    <n v="209.3"/>
    <n v="2"/>
    <n v="0"/>
    <n v="56.511000000000003"/>
  </r>
  <r>
    <n v="647"/>
    <s v="CA-2020-103947"/>
    <n v="1"/>
    <n v="4"/>
    <n v="2020"/>
    <s v="Standard Class"/>
    <s v="BB-10990"/>
    <s v="barry blumstein"/>
    <s v="Corporate"/>
    <s v="United States-Arizona-Sierra Vista"/>
    <s v="West"/>
    <n v="85635"/>
    <s v="OFF-FA-10003112"/>
    <x v="1"/>
    <s v="Fasteners"/>
    <s v="Staples"/>
    <n v="21.456"/>
    <n v="9"/>
    <n v="0.2"/>
    <n v="6.9732000000000003"/>
  </r>
  <r>
    <n v="648"/>
    <s v="CA-2020-103947"/>
    <n v="1"/>
    <n v="4"/>
    <n v="2020"/>
    <s v="Standard Class"/>
    <s v="BB-10990"/>
    <s v="barry blumstein"/>
    <s v="Corporate"/>
    <s v="United States-Arizona-Sierra Vista"/>
    <s v="West"/>
    <n v="85635"/>
    <s v="OFF-AP-10002350"/>
    <x v="1"/>
    <s v="Appliances"/>
    <s v="Belkin F9H710-06 7 Outlet SurgeMaster Surge Protector"/>
    <n v="30.143999999999998"/>
    <n v="2"/>
    <n v="0.2"/>
    <n v="3.0144000000000002"/>
  </r>
  <r>
    <n v="649"/>
    <s v="CA-2020-160745"/>
    <n v="11"/>
    <n v="12"/>
    <n v="2020"/>
    <s v="Second Class"/>
    <s v="AR-10825"/>
    <s v="anthony rawles"/>
    <s v="Corporate"/>
    <s v="United States-Washington-Vancouver"/>
    <s v="West"/>
    <n v="98661"/>
    <s v="FUR-FU-10001935"/>
    <x v="0"/>
    <s v="Furnishings"/>
    <s v="3M Hangers With Command Adhesive"/>
    <n v="2.96"/>
    <n v="1"/>
    <n v="0.2"/>
    <n v="0.77700000000000002"/>
  </r>
  <r>
    <n v="650"/>
    <s v="CA-2020-160745"/>
    <n v="11"/>
    <n v="12"/>
    <n v="2020"/>
    <s v="Second Class"/>
    <s v="AR-10825"/>
    <s v="anthony rawles"/>
    <s v="Corporate"/>
    <s v="United States-Washington-Vancouver"/>
    <s v="West"/>
    <n v="98661"/>
    <s v="TEC-PH-10003273"/>
    <x v="2"/>
    <s v="Phones"/>
    <s v="AT&amp;T TR1909W"/>
    <n v="503.96"/>
    <n v="4"/>
    <n v="0"/>
    <n v="131.02959999999999"/>
  </r>
  <r>
    <n v="651"/>
    <s v="CA-2020-160745"/>
    <n v="11"/>
    <n v="12"/>
    <n v="2020"/>
    <s v="Second Class"/>
    <s v="AR-10825"/>
    <s v="anthony rawles"/>
    <s v="Corporate"/>
    <s v="United States-Washington-Vancouver"/>
    <s v="West"/>
    <n v="98661"/>
    <s v="TEC-AC-10001142"/>
    <x v="2"/>
    <s v="Accessories"/>
    <s v="First Data FD10 PIN Pad"/>
    <n v="316"/>
    <n v="4"/>
    <n v="0"/>
    <n v="31.6"/>
  </r>
  <r>
    <n v="652"/>
    <s v="CA-2020-132661"/>
    <n v="23"/>
    <n v="10"/>
    <n v="2020"/>
    <s v="Standard Class"/>
    <s v="SR-20740"/>
    <s v="steven roelle"/>
    <s v="Home Office"/>
    <s v="United States-New York-New York City"/>
    <s v="East"/>
    <n v="10024"/>
    <s v="OFF-PA-10000482"/>
    <x v="1"/>
    <s v="Paper"/>
    <s v="Snap-A-Way Black Print Carbonless Ruled Speed Letter, Triplicate"/>
    <n v="75.88"/>
    <n v="2"/>
    <n v="0"/>
    <n v="35.663600000000002"/>
  </r>
  <r>
    <n v="653"/>
    <s v="CA-2021-140844"/>
    <n v="19"/>
    <n v="6"/>
    <n v="2021"/>
    <s v="Standard Class"/>
    <s v="AR-10405"/>
    <s v="allen rosenblatt"/>
    <s v="Corporate"/>
    <s v="United States-New York-New York City"/>
    <s v="East"/>
    <n v="10035"/>
    <s v="OFF-PA-10003892"/>
    <x v="1"/>
    <s v="Paper"/>
    <s v="Xerox 1943"/>
    <n v="146.72999999999999"/>
    <n v="3"/>
    <n v="0"/>
    <n v="68.963099999999997"/>
  </r>
  <r>
    <n v="654"/>
    <s v="CA-2021-140844"/>
    <n v="19"/>
    <n v="6"/>
    <n v="2021"/>
    <s v="Standard Class"/>
    <s v="AR-10405"/>
    <s v="allen rosenblatt"/>
    <s v="Corporate"/>
    <s v="United States-New York-New York City"/>
    <s v="East"/>
    <n v="10035"/>
    <s v="TEC-AC-10001101"/>
    <x v="2"/>
    <s v="Accessories"/>
    <s v="Sony 16GB Class 10 Micro SDHC R40 Memory Card"/>
    <n v="103.12"/>
    <n v="8"/>
    <n v="0"/>
    <n v="10.311999999999999"/>
  </r>
  <r>
    <n v="655"/>
    <s v="CA-2020-137239"/>
    <n v="22"/>
    <n v="8"/>
    <n v="2020"/>
    <s v="Standard Class"/>
    <s v="CR-12730"/>
    <s v="craig reiter"/>
    <s v="Consumer"/>
    <s v="United States-Ohio-Columbus"/>
    <s v="East"/>
    <n v="43229"/>
    <s v="OFF-AP-10002439"/>
    <x v="1"/>
    <s v="Appliances"/>
    <s v="Tripp Lite Isotel 8 Ultra 8 Outlet Metal Surge"/>
    <n v="113.55200000000001"/>
    <n v="2"/>
    <n v="0.2"/>
    <n v="8.5164000000000009"/>
  </r>
  <r>
    <n v="656"/>
    <s v="CA-2020-137239"/>
    <n v="22"/>
    <n v="8"/>
    <n v="2020"/>
    <s v="Standard Class"/>
    <s v="CR-12730"/>
    <s v="craig reiter"/>
    <s v="Consumer"/>
    <s v="United States-Ohio-Columbus"/>
    <s v="East"/>
    <n v="43229"/>
    <s v="OFF-BI-10002827"/>
    <x v="1"/>
    <s v="Binders"/>
    <s v="Avery Durable Poly Binders"/>
    <n v="3.3180000000000001"/>
    <n v="2"/>
    <n v="0.7"/>
    <n v="-2.6543999999999999"/>
  </r>
  <r>
    <n v="657"/>
    <s v="CA-2020-137239"/>
    <n v="22"/>
    <n v="8"/>
    <n v="2020"/>
    <s v="Standard Class"/>
    <s v="CR-12730"/>
    <s v="craig reiter"/>
    <s v="Consumer"/>
    <s v="United States-Ohio-Columbus"/>
    <s v="East"/>
    <n v="43229"/>
    <s v="OFF-EN-10002230"/>
    <x v="1"/>
    <s v="Envelopes"/>
    <s v="Airmail Envelopes"/>
    <n v="134.28800000000001"/>
    <n v="2"/>
    <n v="0.2"/>
    <n v="45.322200000000002"/>
  </r>
  <r>
    <n v="658"/>
    <s v="US-2020-156097"/>
    <n v="19"/>
    <n v="9"/>
    <n v="2020"/>
    <s v="Same Day"/>
    <s v="EH-14125"/>
    <s v="eugene hildebrand"/>
    <s v="Home Office"/>
    <s v="United States-Illinois-Aurora"/>
    <s v="Central"/>
    <n v="60505"/>
    <s v="FUR-CH-10001215"/>
    <x v="0"/>
    <s v="Chairs"/>
    <s v="Global Troy Executive Leather Low-Back Tilter"/>
    <n v="801.56799999999998"/>
    <n v="2"/>
    <n v="0.2"/>
    <n v="50.097999999999999"/>
  </r>
  <r>
    <n v="659"/>
    <s v="US-2020-156097"/>
    <n v="19"/>
    <n v="9"/>
    <n v="2020"/>
    <s v="Same Day"/>
    <s v="EH-14125"/>
    <s v="eugene hildebrand"/>
    <s v="Home Office"/>
    <s v="United States-Illinois-Aurora"/>
    <s v="Central"/>
    <n v="60505"/>
    <s v="OFF-BI-10004654"/>
    <x v="1"/>
    <s v="Binders"/>
    <s v="Avery Binding System Hidden Tab Executive Style Index Sets"/>
    <n v="4.6159999999999997"/>
    <n v="1"/>
    <n v="0.2"/>
    <n v="1.7310000000000001"/>
  </r>
  <r>
    <n v="660"/>
    <s v="CA-2019-146563"/>
    <n v="24"/>
    <n v="8"/>
    <n v="2019"/>
    <s v="Standard Class"/>
    <s v="CB-12025"/>
    <s v="cassandra brandow"/>
    <s v="Consumer"/>
    <s v="United States-Texas-Arlington"/>
    <s v="Central"/>
    <n v="76017"/>
    <s v="OFF-ST-10001490"/>
    <x v="1"/>
    <s v="Storage"/>
    <s v="Hot File 7-Pocket, Floor Stand"/>
    <n v="142.77600000000001"/>
    <n v="1"/>
    <n v="0.2"/>
    <n v="17.847000000000001"/>
  </r>
  <r>
    <n v="661"/>
    <s v="CA-2019-146563"/>
    <n v="24"/>
    <n v="8"/>
    <n v="2019"/>
    <s v="Standard Class"/>
    <s v="CB-12025"/>
    <s v="cassandra brandow"/>
    <s v="Consumer"/>
    <s v="United States-Texas-Arlington"/>
    <s v="Central"/>
    <n v="76017"/>
    <s v="OFF-ST-10001511"/>
    <x v="1"/>
    <s v="Storage"/>
    <s v="Space Solutions Commercial Steel Shelving"/>
    <n v="724.08"/>
    <n v="14"/>
    <n v="0.2"/>
    <n v="-135.76499999999999"/>
  </r>
  <r>
    <n v="662"/>
    <s v="CA-2019-146563"/>
    <n v="24"/>
    <n v="8"/>
    <n v="2019"/>
    <s v="Standard Class"/>
    <s v="CB-12025"/>
    <s v="cassandra brandow"/>
    <s v="Consumer"/>
    <s v="United States-Texas-Arlington"/>
    <s v="Central"/>
    <n v="76017"/>
    <s v="FUR-TA-10001768"/>
    <x v="0"/>
    <s v="Tables"/>
    <s v="Hon Racetrack Conference Tables"/>
    <n v="787.53"/>
    <n v="3"/>
    <n v="0"/>
    <n v="165.38130000000001"/>
  </r>
  <r>
    <n v="663"/>
    <s v="CA-2019-146563"/>
    <n v="24"/>
    <n v="8"/>
    <n v="2019"/>
    <s v="Standard Class"/>
    <s v="CB-12025"/>
    <s v="cassandra brandow"/>
    <s v="Consumer"/>
    <s v="United States-Texas-Arlington"/>
    <s v="Central"/>
    <n v="76017"/>
    <s v="OFF-BI-10003981"/>
    <x v="1"/>
    <s v="Binders"/>
    <s v="Avery Durable Plastic 1&quot; Binders"/>
    <n v="27.24"/>
    <n v="6"/>
    <n v="0"/>
    <n v="13.3476"/>
  </r>
  <r>
    <n v="664"/>
    <s v="CA-2020-123666"/>
    <n v="26"/>
    <n v="3"/>
    <n v="2020"/>
    <s v="Standard Class"/>
    <s v="SP-20545"/>
    <s v="sibella parks"/>
    <s v="Corporate"/>
    <s v="United States-New York-New York City"/>
    <s v="East"/>
    <n v="10011"/>
    <s v="OFF-ST-10001522"/>
    <x v="1"/>
    <s v="Storage"/>
    <s v="Gould Plastics 18-Pocket Panel Bin, 34w x 5-1/4d x 20-1/2h"/>
    <n v="91.99"/>
    <n v="1"/>
    <n v="0"/>
    <n v="3.6796000000000002"/>
  </r>
  <r>
    <n v="665"/>
    <s v="CA-2020-143308"/>
    <n v="4"/>
    <n v="11"/>
    <n v="2020"/>
    <s v="Same Day"/>
    <s v="RC-19825"/>
    <s v="roy collins"/>
    <s v="Consumer"/>
    <s v="United States-Kentucky-Louisville"/>
    <s v="South"/>
    <n v="40214"/>
    <s v="OFF-FA-10000621"/>
    <x v="1"/>
    <s v="Fasteners"/>
    <s v="OIC Colored Binder Clips, Assorted Sizes"/>
    <n v="40.095999999999997"/>
    <n v="14"/>
    <n v="0.2"/>
    <n v="14.534800000000001"/>
  </r>
  <r>
    <n v="666"/>
    <s v="CA-2021-132682"/>
    <n v="8"/>
    <n v="6"/>
    <n v="2021"/>
    <s v="Second Class"/>
    <s v="TH-21235"/>
    <s v="tiffany house"/>
    <s v="Corporate"/>
    <s v="United States-Texas-Dallas"/>
    <s v="Central"/>
    <n v="75081"/>
    <s v="OFF-SU-10004231"/>
    <x v="1"/>
    <s v="Supplies"/>
    <s v="Acme Tagit Stainless Steel Antibacterial Scissors"/>
    <n v="23.76"/>
    <n v="3"/>
    <n v="0.2"/>
    <n v="2.0790000000000002"/>
  </r>
  <r>
    <n v="667"/>
    <s v="CA-2021-132682"/>
    <n v="8"/>
    <n v="6"/>
    <n v="2021"/>
    <s v="Second Class"/>
    <s v="TH-21235"/>
    <s v="tiffany house"/>
    <s v="Corporate"/>
    <s v="United States-Texas-Dallas"/>
    <s v="Central"/>
    <n v="75081"/>
    <s v="OFF-PA-10000474"/>
    <x v="1"/>
    <s v="Paper"/>
    <s v="Easy-staple paper"/>
    <n v="29.472000000000001"/>
    <n v="3"/>
    <n v="0.2"/>
    <n v="9.9467999999999996"/>
  </r>
  <r>
    <n v="668"/>
    <s v="CA-2021-132682"/>
    <n v="8"/>
    <n v="6"/>
    <n v="2021"/>
    <s v="Second Class"/>
    <s v="TH-21235"/>
    <s v="tiffany house"/>
    <s v="Corporate"/>
    <s v="United States-Texas-Dallas"/>
    <s v="Central"/>
    <n v="75081"/>
    <s v="TEC-PH-10004042"/>
    <x v="2"/>
    <s v="Phones"/>
    <s v="ClearOne Communications CHAT 70 OC Speaker Phone"/>
    <n v="381.57600000000002"/>
    <n v="3"/>
    <n v="0.2"/>
    <n v="28.618200000000002"/>
  </r>
  <r>
    <n v="669"/>
    <s v="CA-2018-156314"/>
    <n v="24"/>
    <n v="12"/>
    <n v="2018"/>
    <s v="First Class"/>
    <s v="RP-19390"/>
    <s v="resi pölking"/>
    <s v="Consumer"/>
    <s v="United States-Ohio-Cleveland"/>
    <s v="East"/>
    <n v="44105"/>
    <s v="FUR-FU-10003096"/>
    <x v="0"/>
    <s v="Furnishings"/>
    <s v="Master Giant Foot Doorstop, Safety Yellow"/>
    <n v="30.36"/>
    <n v="5"/>
    <n v="0.2"/>
    <n v="8.7285000000000004"/>
  </r>
  <r>
    <n v="670"/>
    <s v="US-2021-106663"/>
    <n v="9"/>
    <n v="6"/>
    <n v="2021"/>
    <s v="Standard Class"/>
    <s v="MO-17800"/>
    <s v="meg o'connel"/>
    <s v="Home Office"/>
    <s v="United States-Illinois-Chicago"/>
    <s v="Central"/>
    <n v="60653"/>
    <s v="FUR-FU-10002759"/>
    <x v="0"/>
    <s v="Furnishings"/>
    <s v="12-1/2 Diameter Round Wall Clock"/>
    <n v="23.975999999999999"/>
    <n v="3"/>
    <n v="0.6"/>
    <n v="-14.3856"/>
  </r>
  <r>
    <n v="671"/>
    <s v="US-2021-106663"/>
    <n v="9"/>
    <n v="6"/>
    <n v="2021"/>
    <s v="Standard Class"/>
    <s v="MO-17800"/>
    <s v="meg o'connel"/>
    <s v="Home Office"/>
    <s v="United States-Illinois-Chicago"/>
    <s v="Central"/>
    <n v="60653"/>
    <s v="FUR-TA-10000688"/>
    <x v="0"/>
    <s v="Tables"/>
    <s v="Chromcraft Bull-Nose Wood Round Conference Table Top, Wood Base"/>
    <n v="108.925"/>
    <n v="1"/>
    <n v="0.5"/>
    <n v="-71.890500000000003"/>
  </r>
  <r>
    <n v="672"/>
    <s v="US-2021-106663"/>
    <n v="9"/>
    <n v="6"/>
    <n v="2021"/>
    <s v="Standard Class"/>
    <s v="MO-17800"/>
    <s v="meg o'connel"/>
    <s v="Home Office"/>
    <s v="United States-Illinois-Chicago"/>
    <s v="Central"/>
    <n v="60653"/>
    <s v="OFF-PA-10002377"/>
    <x v="1"/>
    <s v="Paper"/>
    <s v="Adams Telephone Message Book W/Dividers/Space For Phone Numbers, 5 1/4&quot;X8 1/2&quot;, 200/Messages"/>
    <n v="36.351999999999997"/>
    <n v="8"/>
    <n v="0.2"/>
    <n v="11.36"/>
  </r>
  <r>
    <n v="673"/>
    <s v="CA-2021-111178"/>
    <n v="15"/>
    <n v="6"/>
    <n v="2021"/>
    <s v="Standard Class"/>
    <s v="TD-20995"/>
    <s v="tamara dahlen"/>
    <s v="Consumer"/>
    <s v="United States-Illinois-Quincy"/>
    <s v="Central"/>
    <n v="62301"/>
    <s v="OFF-AR-10001954"/>
    <x v="1"/>
    <s v="Art"/>
    <s v="Newell 331"/>
    <n v="19.559999999999999"/>
    <n v="5"/>
    <n v="0.2"/>
    <n v="1.7115"/>
  </r>
  <r>
    <n v="674"/>
    <s v="CA-2021-130351"/>
    <n v="5"/>
    <n v="12"/>
    <n v="2021"/>
    <s v="First Class"/>
    <s v="RB-19570"/>
    <s v="rob beeghly"/>
    <s v="Consumer"/>
    <s v="United States-Indiana-Columbus"/>
    <s v="Central"/>
    <n v="47201"/>
    <s v="OFF-AP-10004532"/>
    <x v="1"/>
    <s v="Appliances"/>
    <s v="Kensington 6 Outlet Guardian Standard Surge Protector"/>
    <n v="61.44"/>
    <n v="3"/>
    <n v="0"/>
    <n v="16.588799999999999"/>
  </r>
  <r>
    <n v="675"/>
    <s v="CA-2021-130351"/>
    <n v="5"/>
    <n v="12"/>
    <n v="2021"/>
    <s v="First Class"/>
    <s v="RB-19570"/>
    <s v="rob beeghly"/>
    <s v="Consumer"/>
    <s v="United States-Indiana-Columbus"/>
    <s v="Central"/>
    <n v="47201"/>
    <s v="OFF-PA-10002137"/>
    <x v="1"/>
    <s v="Paper"/>
    <s v="Southworth 100% Résumé Paper, 24lb."/>
    <n v="38.9"/>
    <n v="5"/>
    <n v="0"/>
    <n v="17.504999999999999"/>
  </r>
  <r>
    <n v="676"/>
    <s v="CA-2021-130351"/>
    <n v="5"/>
    <n v="12"/>
    <n v="2021"/>
    <s v="First Class"/>
    <s v="RB-19570"/>
    <s v="rob beeghly"/>
    <s v="Consumer"/>
    <s v="United States-Indiana-Columbus"/>
    <s v="Central"/>
    <n v="47201"/>
    <s v="TEC-AC-10003832"/>
    <x v="2"/>
    <s v="Accessories"/>
    <s v="Imation 16GB Mini TravelDrive USB 2.0 Flash Drive"/>
    <n v="66.260000000000005"/>
    <n v="2"/>
    <n v="0"/>
    <n v="27.166599999999999"/>
  </r>
  <r>
    <n v="677"/>
    <s v="US-2021-119438"/>
    <n v="18"/>
    <n v="3"/>
    <n v="2021"/>
    <s v="Standard Class"/>
    <s v="CD-11980"/>
    <s v="carol darley"/>
    <s v="Consumer"/>
    <s v="United States-Texas-Tyler"/>
    <s v="Central"/>
    <n v="75701"/>
    <s v="OFF-AP-10000804"/>
    <x v="1"/>
    <s v="Appliances"/>
    <s v="Hoover Portapower Portable Vacuum"/>
    <n v="2.6880000000000002"/>
    <n v="3"/>
    <n v="0.8"/>
    <n v="-7.3920000000000003"/>
  </r>
  <r>
    <n v="678"/>
    <s v="US-2021-119438"/>
    <n v="18"/>
    <n v="3"/>
    <n v="2021"/>
    <s v="Standard Class"/>
    <s v="CD-11980"/>
    <s v="carol darley"/>
    <s v="Consumer"/>
    <s v="United States-Texas-Tyler"/>
    <s v="Central"/>
    <n v="75701"/>
    <s v="TEC-AC-10003614"/>
    <x v="2"/>
    <s v="Accessories"/>
    <s v="Verbatim 25 GB 6x Blu-ray Single Layer Recordable Disc, 10/Pack"/>
    <n v="27.815999999999999"/>
    <n v="3"/>
    <n v="0.2"/>
    <n v="4.5201000000000002"/>
  </r>
  <r>
    <n v="679"/>
    <s v="US-2021-119438"/>
    <n v="18"/>
    <n v="3"/>
    <n v="2021"/>
    <s v="Standard Class"/>
    <s v="CD-11980"/>
    <s v="carol darley"/>
    <s v="Consumer"/>
    <s v="United States-Texas-Tyler"/>
    <s v="Central"/>
    <n v="75701"/>
    <s v="FUR-FU-10003553"/>
    <x v="0"/>
    <s v="Furnishings"/>
    <s v="Howard Miller 13-1/2&quot; Diameter Rosebrook Wall Clock"/>
    <n v="82.524000000000001"/>
    <n v="3"/>
    <n v="0.6"/>
    <n v="-41.262"/>
  </r>
  <r>
    <n v="680"/>
    <s v="US-2021-119438"/>
    <n v="18"/>
    <n v="3"/>
    <n v="2021"/>
    <s v="Standard Class"/>
    <s v="CD-11980"/>
    <s v="carol darley"/>
    <s v="Consumer"/>
    <s v="United States-Texas-Tyler"/>
    <s v="Central"/>
    <n v="75701"/>
    <s v="OFF-BI-10004632"/>
    <x v="1"/>
    <s v="Binders"/>
    <s v="Ibico Hi-Tech Manual Binding System"/>
    <n v="182.994"/>
    <n v="3"/>
    <n v="0.8"/>
    <n v="-320.23950000000002"/>
  </r>
  <r>
    <n v="681"/>
    <s v="CA-2020-164511"/>
    <n v="19"/>
    <n v="11"/>
    <n v="2020"/>
    <s v="Standard Class"/>
    <s v="DJ-13630"/>
    <s v="doug jacobs"/>
    <s v="Consumer"/>
    <s v="United States-New York-New York City"/>
    <s v="East"/>
    <n v="10024"/>
    <s v="OFF-BI-10003305"/>
    <x v="1"/>
    <s v="Binders"/>
    <s v="Avery Hanging File Binders"/>
    <n v="14.352"/>
    <n v="3"/>
    <n v="0.2"/>
    <n v="4.6643999999999997"/>
  </r>
  <r>
    <n v="682"/>
    <s v="CA-2020-164511"/>
    <n v="19"/>
    <n v="11"/>
    <n v="2020"/>
    <s v="Standard Class"/>
    <s v="DJ-13630"/>
    <s v="doug jacobs"/>
    <s v="Consumer"/>
    <s v="United States-New York-New York City"/>
    <s v="East"/>
    <n v="10024"/>
    <s v="OFF-ST-10002583"/>
    <x v="1"/>
    <s v="Storage"/>
    <s v="Fellowes Neat Ideas Storage Cubes"/>
    <n v="64.959999999999994"/>
    <n v="2"/>
    <n v="0"/>
    <n v="2.5983999999999998"/>
  </r>
  <r>
    <n v="683"/>
    <s v="CA-2020-164511"/>
    <n v="19"/>
    <n v="11"/>
    <n v="2020"/>
    <s v="Standard Class"/>
    <s v="DJ-13630"/>
    <s v="doug jacobs"/>
    <s v="Consumer"/>
    <s v="United States-New York-New York City"/>
    <s v="East"/>
    <n v="10024"/>
    <s v="OFF-ST-10004507"/>
    <x v="1"/>
    <s v="Storage"/>
    <s v="Advantus Rolling Storage Box"/>
    <n v="51.45"/>
    <n v="3"/>
    <n v="0"/>
    <n v="13.891500000000001"/>
  </r>
  <r>
    <n v="684"/>
    <s v="US-2021-168116"/>
    <n v="4"/>
    <n v="11"/>
    <n v="2021"/>
    <s v="Same Day"/>
    <s v="GT-14635"/>
    <s v="grant thornton"/>
    <s v="Corporate"/>
    <s v="United States-North Carolina-Burlington"/>
    <s v="South"/>
    <n v="27217"/>
    <s v="TEC-MA-10004125"/>
    <x v="2"/>
    <s v="Machines"/>
    <s v="Cubify CubeX 3D Printer Triple Head Print"/>
    <n v="7999.98"/>
    <n v="4"/>
    <n v="0.5"/>
    <n v="-3839.9904000000001"/>
  </r>
  <r>
    <n v="685"/>
    <s v="US-2021-168116"/>
    <n v="4"/>
    <n v="11"/>
    <n v="2021"/>
    <s v="Same Day"/>
    <s v="GT-14635"/>
    <s v="grant thornton"/>
    <s v="Corporate"/>
    <s v="United States-North Carolina-Burlington"/>
    <s v="South"/>
    <n v="27217"/>
    <s v="OFF-AP-10002457"/>
    <x v="1"/>
    <s v="Appliances"/>
    <s v="Eureka The Boss Plus 12-Amp Hard Box Upright Vacuum, Red"/>
    <n v="209.3"/>
    <n v="2"/>
    <n v="0"/>
    <n v="56.511000000000003"/>
  </r>
  <r>
    <n v="686"/>
    <s v="CA-2018-157784"/>
    <n v="5"/>
    <n v="7"/>
    <n v="2018"/>
    <s v="First Class"/>
    <s v="MC-17845"/>
    <s v="michael chen"/>
    <s v="Consumer"/>
    <s v="United States-Mississippi-Jackson"/>
    <s v="South"/>
    <n v="39212"/>
    <s v="TEC-AC-10003911"/>
    <x v="2"/>
    <s v="Accessories"/>
    <s v="NETGEAR AC1750 Dual Band Gigabit Smart WiFi Router"/>
    <n v="1023.936"/>
    <n v="8"/>
    <n v="0.2"/>
    <n v="179.18879999999999"/>
  </r>
  <r>
    <n v="687"/>
    <s v="CA-2018-157784"/>
    <n v="5"/>
    <n v="7"/>
    <n v="2018"/>
    <s v="First Class"/>
    <s v="MC-17845"/>
    <s v="michael chen"/>
    <s v="Consumer"/>
    <s v="United States-Mississippi-Jackson"/>
    <s v="South"/>
    <n v="39212"/>
    <s v="OFF-LA-10001934"/>
    <x v="1"/>
    <s v="Labels"/>
    <s v="Avery 516"/>
    <n v="14.62"/>
    <n v="2"/>
    <n v="0"/>
    <n v="6.8714000000000004"/>
  </r>
  <r>
    <n v="688"/>
    <s v="CA-2018-157784"/>
    <n v="5"/>
    <n v="7"/>
    <n v="2018"/>
    <s v="First Class"/>
    <s v="MC-17845"/>
    <s v="michael chen"/>
    <s v="Consumer"/>
    <s v="United States-Mississippi-Jackson"/>
    <s v="South"/>
    <n v="39212"/>
    <s v="OFF-PA-10000304"/>
    <x v="1"/>
    <s v="Paper"/>
    <s v="Xerox 1995"/>
    <n v="6.48"/>
    <n v="1"/>
    <n v="0"/>
    <n v="3.1103999999999998"/>
  </r>
  <r>
    <n v="689"/>
    <s v="CA-2021-161480"/>
    <n v="25"/>
    <n v="12"/>
    <n v="2021"/>
    <s v="Standard Class"/>
    <s v="RA-19285"/>
    <s v="ralph arnett"/>
    <s v="Consumer"/>
    <s v="United States-New York-New York City"/>
    <s v="East"/>
    <n v="10035"/>
    <s v="FUR-BO-10004015"/>
    <x v="0"/>
    <s v="Bookcases"/>
    <s v="Bush Andora Bookcase, Maple/Graphite Gray Finish"/>
    <n v="191.98400000000001"/>
    <n v="2"/>
    <n v="0.2"/>
    <n v="4.7995999999999999"/>
  </r>
  <r>
    <n v="690"/>
    <s v="US-2018-117135"/>
    <n v="21"/>
    <n v="6"/>
    <n v="2018"/>
    <s v="Second Class"/>
    <s v="NP-18325"/>
    <s v="naresj patel"/>
    <s v="Consumer"/>
    <s v="United States-Virginia-Waynesboro"/>
    <s v="South"/>
    <n v="22980"/>
    <s v="FUR-FU-10004071"/>
    <x v="0"/>
    <s v="Furnishings"/>
    <s v="Luxo Professional Magnifying Clamp-On Fluorescent Lamps"/>
    <n v="104.01"/>
    <n v="1"/>
    <n v="0"/>
    <n v="14.561400000000001"/>
  </r>
  <r>
    <n v="691"/>
    <s v="US-2018-117135"/>
    <n v="21"/>
    <n v="6"/>
    <n v="2018"/>
    <s v="Second Class"/>
    <s v="NP-18325"/>
    <s v="naresj patel"/>
    <s v="Consumer"/>
    <s v="United States-Virginia-Waynesboro"/>
    <s v="South"/>
    <n v="22980"/>
    <s v="TEC-PH-10002033"/>
    <x v="2"/>
    <s v="Phones"/>
    <s v="Konftel 250 Conference phone - Charcoal black"/>
    <n v="911.42399999999998"/>
    <n v="4"/>
    <n v="0.2"/>
    <n v="68.356800000000007"/>
  </r>
  <r>
    <n v="692"/>
    <s v="US-2018-117135"/>
    <n v="21"/>
    <n v="6"/>
    <n v="2018"/>
    <s v="Second Class"/>
    <s v="NP-18325"/>
    <s v="naresj patel"/>
    <s v="Consumer"/>
    <s v="United States-Virginia-Waynesboro"/>
    <s v="South"/>
    <n v="22980"/>
    <s v="OFF-ST-10002444"/>
    <x v="1"/>
    <s v="Storage"/>
    <s v="Recycled Eldon Regeneration Jumbo File"/>
    <n v="36.840000000000003"/>
    <n v="3"/>
    <n v="0"/>
    <n v="10.315200000000001"/>
  </r>
  <r>
    <n v="693"/>
    <s v="CA-2019-131534"/>
    <n v="28"/>
    <n v="3"/>
    <n v="2019"/>
    <s v="Standard Class"/>
    <s v="AB-10165"/>
    <s v="alan barnes"/>
    <s v="Consumer"/>
    <s v="United States-California-Los Angeles"/>
    <s v="West"/>
    <n v="90036"/>
    <s v="TEC-AC-10002253"/>
    <x v="2"/>
    <s v="Accessories"/>
    <s v="Imation Bio 8GB USB Flash Drive Imation Corp"/>
    <n v="166.24"/>
    <n v="1"/>
    <n v="0"/>
    <n v="24.936"/>
  </r>
  <r>
    <n v="694"/>
    <s v="CA-2019-131534"/>
    <n v="28"/>
    <n v="3"/>
    <n v="2019"/>
    <s v="Standard Class"/>
    <s v="AB-10165"/>
    <s v="alan barnes"/>
    <s v="Consumer"/>
    <s v="United States-California-Los Angeles"/>
    <s v="West"/>
    <n v="90036"/>
    <s v="OFF-PA-10000743"/>
    <x v="1"/>
    <s v="Paper"/>
    <s v="Xerox 1977"/>
    <n v="33.4"/>
    <n v="5"/>
    <n v="0"/>
    <n v="16.032"/>
  </r>
  <r>
    <n v="695"/>
    <s v="CA-2019-119291"/>
    <n v="14"/>
    <n v="5"/>
    <n v="2019"/>
    <s v="First Class"/>
    <s v="JO-15550"/>
    <s v="jesus ocampo"/>
    <s v="Home Office"/>
    <s v="United States-Pennsylvania-Chester"/>
    <s v="East"/>
    <n v="19013"/>
    <s v="OFF-AR-10003373"/>
    <x v="1"/>
    <s v="Art"/>
    <s v="Boston School Pro Electric Pencil Sharpener, 1670"/>
    <n v="99.135999999999996"/>
    <n v="4"/>
    <n v="0.2"/>
    <n v="8.6744000000000003"/>
  </r>
  <r>
    <n v="696"/>
    <s v="CA-2019-119291"/>
    <n v="14"/>
    <n v="5"/>
    <n v="2019"/>
    <s v="First Class"/>
    <s v="JO-15550"/>
    <s v="jesus ocampo"/>
    <s v="Home Office"/>
    <s v="United States-Pennsylvania-Chester"/>
    <s v="East"/>
    <n v="19013"/>
    <s v="OFF-LA-10002312"/>
    <x v="1"/>
    <s v="Labels"/>
    <s v="Avery 490"/>
    <n v="47.36"/>
    <n v="4"/>
    <n v="0.2"/>
    <n v="17.760000000000002"/>
  </r>
  <r>
    <n v="697"/>
    <s v="CA-2019-119291"/>
    <n v="14"/>
    <n v="5"/>
    <n v="2019"/>
    <s v="First Class"/>
    <s v="JO-15550"/>
    <s v="jesus ocampo"/>
    <s v="Home Office"/>
    <s v="United States-Pennsylvania-Chester"/>
    <s v="East"/>
    <n v="19013"/>
    <s v="OFF-EN-10000927"/>
    <x v="1"/>
    <s v="Envelopes"/>
    <s v="Jet-Pak Recycled Peel 'N' Seal Padded Mailers"/>
    <n v="200.98400000000001"/>
    <n v="7"/>
    <n v="0.2"/>
    <n v="62.807499999999997"/>
  </r>
  <r>
    <n v="698"/>
    <s v="CA-2019-119291"/>
    <n v="14"/>
    <n v="5"/>
    <n v="2019"/>
    <s v="First Class"/>
    <s v="JO-15550"/>
    <s v="jesus ocampo"/>
    <s v="Home Office"/>
    <s v="United States-Pennsylvania-Chester"/>
    <s v="East"/>
    <n v="19013"/>
    <s v="OFF-LA-10003510"/>
    <x v="1"/>
    <s v="Labels"/>
    <s v="Avery 4027 File Folder Labels for Dot Matrix Printers, 5000 Labels per Box, White"/>
    <n v="97.695999999999998"/>
    <n v="4"/>
    <n v="0.2"/>
    <n v="31.751200000000001"/>
  </r>
  <r>
    <n v="699"/>
    <s v="CA-2019-119291"/>
    <n v="14"/>
    <n v="5"/>
    <n v="2019"/>
    <s v="First Class"/>
    <s v="JO-15550"/>
    <s v="jesus ocampo"/>
    <s v="Home Office"/>
    <s v="United States-Pennsylvania-Chester"/>
    <s v="East"/>
    <n v="19013"/>
    <s v="OFF-AR-10001118"/>
    <x v="1"/>
    <s v="Art"/>
    <s v="Binney &amp; Smith Crayola Metallic Crayons, 16-Color Pack"/>
    <n v="2.6960000000000002"/>
    <n v="1"/>
    <n v="0.2"/>
    <n v="0.80879999999999996"/>
  </r>
  <r>
    <n v="700"/>
    <s v="CA-2019-119291"/>
    <n v="14"/>
    <n v="5"/>
    <n v="2019"/>
    <s v="First Class"/>
    <s v="JO-15550"/>
    <s v="jesus ocampo"/>
    <s v="Home Office"/>
    <s v="United States-Pennsylvania-Chester"/>
    <s v="East"/>
    <n v="19013"/>
    <s v="OFF-BI-10001575"/>
    <x v="1"/>
    <s v="Binders"/>
    <s v="GBC Linen Binding Covers"/>
    <n v="18.588000000000001"/>
    <n v="2"/>
    <n v="0.7"/>
    <n v="-13.6312"/>
  </r>
  <r>
    <n v="701"/>
    <s v="CA-2019-119291"/>
    <n v="14"/>
    <n v="5"/>
    <n v="2019"/>
    <s v="First Class"/>
    <s v="JO-15550"/>
    <s v="jesus ocampo"/>
    <s v="Home Office"/>
    <s v="United States-Pennsylvania-Chester"/>
    <s v="East"/>
    <n v="19013"/>
    <s v="OFF-BI-10001982"/>
    <x v="1"/>
    <s v="Binders"/>
    <s v="Wilson Jones Custom Binder Spines &amp; Labels"/>
    <n v="4.8959999999999999"/>
    <n v="3"/>
    <n v="0.7"/>
    <n v="-3.4272"/>
  </r>
  <r>
    <n v="702"/>
    <s v="CA-2021-114552"/>
    <n v="2"/>
    <n v="9"/>
    <n v="2021"/>
    <s v="Standard Class"/>
    <s v="Dl-13600"/>
    <s v="dorris liebe"/>
    <s v="Corporate"/>
    <s v="United States-Ohio-Cleveland"/>
    <s v="East"/>
    <n v="44105"/>
    <s v="FUR-FU-10002960"/>
    <x v="0"/>
    <s v="Furnishings"/>
    <s v="Eldon 200 Class Desk Accessories, Burgundy"/>
    <n v="35.167999999999999"/>
    <n v="7"/>
    <n v="0.2"/>
    <n v="9.6712000000000007"/>
  </r>
  <r>
    <n v="703"/>
    <s v="CA-2020-163755"/>
    <n v="4"/>
    <n v="11"/>
    <n v="2020"/>
    <s v="Second Class"/>
    <s v="AS-10285"/>
    <s v="alejandro savely"/>
    <s v="Corporate"/>
    <s v="United States-Washington-Seattle"/>
    <s v="West"/>
    <n v="98103"/>
    <s v="FUR-FU-10003394"/>
    <x v="0"/>
    <s v="Furnishings"/>
    <s v="Tenex &quot;The Solids&quot; Textured Chair Mats"/>
    <n v="209.88"/>
    <n v="3"/>
    <n v="0"/>
    <n v="35.679600000000001"/>
  </r>
  <r>
    <n v="704"/>
    <s v="CA-2019-142027"/>
    <n v="9"/>
    <n v="4"/>
    <n v="2019"/>
    <s v="Standard Class"/>
    <s v="JK-15370"/>
    <s v="jay kimmel"/>
    <s v="Consumer"/>
    <s v="United States-California-Long Beach"/>
    <s v="West"/>
    <n v="90805"/>
    <s v="FUR-TA-10002774"/>
    <x v="0"/>
    <s v="Tables"/>
    <s v="Laminate Occasional Tables"/>
    <n v="369.91199999999998"/>
    <n v="3"/>
    <n v="0.2"/>
    <n v="-13.871700000000001"/>
  </r>
  <r>
    <n v="705"/>
    <s v="CA-2018-138527"/>
    <n v="12"/>
    <n v="9"/>
    <n v="2018"/>
    <s v="Standard Class"/>
    <s v="BN-11470"/>
    <s v="brad norvell"/>
    <s v="Corporate"/>
    <s v="United States-North Carolina-Cary"/>
    <s v="South"/>
    <n v="27511"/>
    <s v="OFF-PA-10001800"/>
    <x v="1"/>
    <s v="Paper"/>
    <s v="Xerox 220"/>
    <n v="10.368"/>
    <n v="2"/>
    <n v="0.2"/>
    <n v="3.6288"/>
  </r>
  <r>
    <n v="706"/>
    <s v="CA-2018-138527"/>
    <n v="12"/>
    <n v="9"/>
    <n v="2018"/>
    <s v="Standard Class"/>
    <s v="BN-11470"/>
    <s v="brad norvell"/>
    <s v="Corporate"/>
    <s v="United States-North Carolina-Cary"/>
    <s v="South"/>
    <n v="27511"/>
    <s v="OFF-AP-10001469"/>
    <x v="1"/>
    <s v="Appliances"/>
    <s v="Fellowes 8 Outlet Superior Workstation Surge Protector"/>
    <n v="166.84"/>
    <n v="5"/>
    <n v="0.2"/>
    <n v="18.769500000000001"/>
  </r>
  <r>
    <n v="707"/>
    <s v="CA-2018-138527"/>
    <n v="12"/>
    <n v="9"/>
    <n v="2018"/>
    <s v="Standard Class"/>
    <s v="BN-11470"/>
    <s v="brad norvell"/>
    <s v="Corporate"/>
    <s v="United States-North Carolina-Cary"/>
    <s v="South"/>
    <n v="27511"/>
    <s v="TEC-AC-10002399"/>
    <x v="2"/>
    <s v="Accessories"/>
    <s v="SanDisk Cruzer 32 GB USB Flash Drive"/>
    <n v="38.04"/>
    <n v="2"/>
    <n v="0"/>
    <n v="12.172800000000001"/>
  </r>
  <r>
    <n v="708"/>
    <s v="CA-2018-112158"/>
    <n v="2"/>
    <n v="12"/>
    <n v="2018"/>
    <s v="First Class"/>
    <s v="DP-13165"/>
    <s v="david philippe"/>
    <s v="Consumer"/>
    <s v="United States-New York-New York City"/>
    <s v="East"/>
    <n v="10035"/>
    <s v="TEC-AC-10003628"/>
    <x v="2"/>
    <s v="Accessories"/>
    <s v="Logitech 910-002974 M325 Wireless Mouse for Web Scrolling"/>
    <n v="209.93"/>
    <n v="7"/>
    <n v="0"/>
    <n v="92.369200000000006"/>
  </r>
  <r>
    <n v="709"/>
    <s v="CA-2018-112158"/>
    <n v="2"/>
    <n v="12"/>
    <n v="2018"/>
    <s v="First Class"/>
    <s v="DP-13165"/>
    <s v="david philippe"/>
    <s v="Consumer"/>
    <s v="United States-New York-New York City"/>
    <s v="East"/>
    <n v="10035"/>
    <s v="FUR-BO-10003272"/>
    <x v="0"/>
    <s v="Bookcases"/>
    <s v="O'Sullivan Living Dimensions 5-Shelf Bookcases"/>
    <n v="883.92"/>
    <n v="5"/>
    <n v="0.2"/>
    <n v="-110.49"/>
  </r>
  <r>
    <n v="710"/>
    <s v="CA-2018-112158"/>
    <n v="2"/>
    <n v="12"/>
    <n v="2018"/>
    <s v="First Class"/>
    <s v="DP-13165"/>
    <s v="david philippe"/>
    <s v="Consumer"/>
    <s v="United States-New York-New York City"/>
    <s v="East"/>
    <n v="10035"/>
    <s v="OFF-BI-10000050"/>
    <x v="1"/>
    <s v="Binders"/>
    <s v="Angle-D Binders with Locking Rings, Label Holders"/>
    <n v="23.36"/>
    <n v="4"/>
    <n v="0.2"/>
    <n v="7.8840000000000003"/>
  </r>
  <r>
    <n v="711"/>
    <s v="CA-2018-113887"/>
    <n v="5"/>
    <n v="4"/>
    <n v="2018"/>
    <s v="First Class"/>
    <s v="TH-21550"/>
    <s v="tracy hopkins"/>
    <s v="Home Office"/>
    <s v="United States-New York-New York City"/>
    <s v="East"/>
    <n v="10035"/>
    <s v="OFF-PA-10004071"/>
    <x v="1"/>
    <s v="Paper"/>
    <s v="Eaton Premium Continuous-Feed Paper, 25% Cotton, Letter Size, White, 1000 Shts/Box"/>
    <n v="55.48"/>
    <n v="1"/>
    <n v="0"/>
    <n v="26.630400000000002"/>
  </r>
  <r>
    <n v="712"/>
    <s v="CA-2021-146136"/>
    <n v="3"/>
    <n v="9"/>
    <n v="2021"/>
    <s v="Standard Class"/>
    <s v="AP-10915"/>
    <s v="arthur prichep"/>
    <s v="Consumer"/>
    <s v="United States-Florida-Palm Coast"/>
    <s v="South"/>
    <n v="32137"/>
    <s v="OFF-EN-10001219"/>
    <x v="1"/>
    <s v="Envelopes"/>
    <s v="#10- 4 1/8&quot; x 9 1/2&quot; Security-Tint Envelopes"/>
    <n v="24.448"/>
    <n v="4"/>
    <n v="0.2"/>
    <n v="8.8623999999999992"/>
  </r>
  <r>
    <n v="713"/>
    <s v="US-2021-100048"/>
    <n v="19"/>
    <n v="5"/>
    <n v="2021"/>
    <s v="Standard Class"/>
    <s v="RS-19765"/>
    <s v="roland schwarz"/>
    <s v="Corporate"/>
    <s v="United States-New York-Mount Vernon"/>
    <s v="East"/>
    <n v="10550"/>
    <s v="OFF-AP-10001154"/>
    <x v="1"/>
    <s v="Appliances"/>
    <s v="Bionaire Personal Warm Mist Humidifier/Vaporizer"/>
    <n v="281.33999999999997"/>
    <n v="6"/>
    <n v="0"/>
    <n v="109.7226"/>
  </r>
  <r>
    <n v="714"/>
    <s v="US-2021-100048"/>
    <n v="19"/>
    <n v="5"/>
    <n v="2021"/>
    <s v="Standard Class"/>
    <s v="RS-19765"/>
    <s v="roland schwarz"/>
    <s v="Corporate"/>
    <s v="United States-New York-Mount Vernon"/>
    <s v="East"/>
    <n v="10550"/>
    <s v="TEC-PH-10003012"/>
    <x v="2"/>
    <s v="Phones"/>
    <s v="Nortel Meridian M3904 Professional Digital phone"/>
    <n v="246.38399999999999"/>
    <n v="2"/>
    <n v="0.2"/>
    <n v="27.7182"/>
  </r>
  <r>
    <n v="715"/>
    <s v="US-2021-100048"/>
    <n v="19"/>
    <n v="5"/>
    <n v="2021"/>
    <s v="Standard Class"/>
    <s v="RS-19765"/>
    <s v="roland schwarz"/>
    <s v="Corporate"/>
    <s v="United States-New York-Mount Vernon"/>
    <s v="East"/>
    <n v="10550"/>
    <s v="TEC-AC-10001606"/>
    <x v="2"/>
    <s v="Accessories"/>
    <s v="Logitech Wireless Performance Mouse MX for PC and Mac"/>
    <n v="299.97000000000003"/>
    <n v="3"/>
    <n v="0"/>
    <n v="113.98860000000001"/>
  </r>
  <r>
    <n v="716"/>
    <s v="CA-2018-153150"/>
    <n v="1"/>
    <n v="7"/>
    <n v="2018"/>
    <s v="Second Class"/>
    <s v="Dl-13600"/>
    <s v="dorris liebe"/>
    <s v="Corporate"/>
    <s v="United States-Washington-Seattle"/>
    <s v="West"/>
    <n v="98105"/>
    <s v="OFF-BI-10003355"/>
    <x v="1"/>
    <s v="Binders"/>
    <s v="Cardinal Holdit Business Card Pockets"/>
    <n v="19.920000000000002"/>
    <n v="5"/>
    <n v="0.2"/>
    <n v="6.9720000000000004"/>
  </r>
  <r>
    <n v="717"/>
    <s v="CA-2018-130092"/>
    <n v="11"/>
    <n v="1"/>
    <n v="2018"/>
    <s v="First Class"/>
    <s v="SV-20365"/>
    <s v="seth vernon"/>
    <s v="Consumer"/>
    <s v="United States-Delaware-Dover"/>
    <s v="East"/>
    <n v="19901"/>
    <s v="FUR-FU-10000010"/>
    <x v="0"/>
    <s v="Furnishings"/>
    <s v="DAX Value U-Channel Document Frames, Easel Back"/>
    <n v="9.94"/>
    <n v="2"/>
    <n v="0"/>
    <n v="3.0813999999999999"/>
  </r>
  <r>
    <n v="718"/>
    <s v="CA-2021-108910"/>
    <n v="24"/>
    <n v="9"/>
    <n v="2021"/>
    <s v="Standard Class"/>
    <s v="KC-16540"/>
    <s v="kelly collister"/>
    <s v="Consumer"/>
    <s v="United States-Ohio-Newark"/>
    <s v="East"/>
    <n v="43055"/>
    <s v="FUR-FU-10002253"/>
    <x v="0"/>
    <s v="Furnishings"/>
    <s v="Howard Miller 13&quot; Diameter Pewter Finish Round Wall Clock"/>
    <n v="103.056"/>
    <n v="3"/>
    <n v="0.2"/>
    <n v="24.4758"/>
  </r>
  <r>
    <n v="719"/>
    <s v="CA-2018-104472"/>
    <n v="2"/>
    <n v="6"/>
    <n v="2018"/>
    <s v="Standard Class"/>
    <s v="CK-12325"/>
    <s v="christine kargatis"/>
    <s v="Home Office"/>
    <s v="United States-Utah-Orem"/>
    <s v="West"/>
    <n v="84057"/>
    <s v="OFF-BI-10001658"/>
    <x v="1"/>
    <s v="Binders"/>
    <s v="GBC Standard Therm-A-Bind Covers"/>
    <n v="14.952"/>
    <n v="2"/>
    <n v="0.7"/>
    <n v="-11.961600000000001"/>
  </r>
  <r>
    <n v="720"/>
    <s v="CA-2018-104472"/>
    <n v="2"/>
    <n v="6"/>
    <n v="2018"/>
    <s v="Standard Class"/>
    <s v="CK-12325"/>
    <s v="christine kargatis"/>
    <s v="Home Office"/>
    <s v="United States-Utah-Orem"/>
    <s v="West"/>
    <n v="84057"/>
    <s v="FUR-FU-10000246"/>
    <x v="0"/>
    <s v="Furnishings"/>
    <s v="Aluminum Document Frame"/>
    <n v="12.22"/>
    <n v="1"/>
    <n v="0"/>
    <n v="3.6659999999999999"/>
  </r>
  <r>
    <n v="721"/>
    <s v="CA-2020-112942"/>
    <n v="13"/>
    <n v="2"/>
    <n v="2020"/>
    <s v="Standard Class"/>
    <s v="RD-19810"/>
    <s v="ross devincentis"/>
    <s v="Home Office"/>
    <s v="United States-California-Los Angeles"/>
    <s v="West"/>
    <n v="90045"/>
    <s v="OFF-PA-10004092"/>
    <x v="1"/>
    <s v="Paper"/>
    <s v="Tops Green Bar Computer Printout Paper"/>
    <n v="146.82"/>
    <n v="3"/>
    <n v="0"/>
    <n v="73.41"/>
  </r>
  <r>
    <n v="722"/>
    <s v="CA-2020-142335"/>
    <n v="15"/>
    <n v="12"/>
    <n v="2020"/>
    <s v="Standard Class"/>
    <s v="MP-17965"/>
    <s v="michael paige"/>
    <s v="Corporate"/>
    <s v="United States-Michigan-Detroit"/>
    <s v="Central"/>
    <n v="48205"/>
    <s v="FUR-TA-10000198"/>
    <x v="0"/>
    <s v="Tables"/>
    <s v="Chromcraft Bull-Nose Wood Oval Conference Tables &amp; Bases"/>
    <n v="1652.94"/>
    <n v="3"/>
    <n v="0"/>
    <n v="231.41159999999999"/>
  </r>
  <r>
    <n v="723"/>
    <s v="CA-2020-142335"/>
    <n v="15"/>
    <n v="12"/>
    <n v="2020"/>
    <s v="Standard Class"/>
    <s v="MP-17965"/>
    <s v="michael paige"/>
    <s v="Corporate"/>
    <s v="United States-Michigan-Detroit"/>
    <s v="Central"/>
    <n v="48205"/>
    <s v="OFF-ST-10000036"/>
    <x v="1"/>
    <s v="Storage"/>
    <s v="Recycled Data-Pak for Archival Bound Computer Printouts, 12-1/2 x 12-1/2 x 16"/>
    <n v="296.37"/>
    <n v="3"/>
    <n v="0"/>
    <n v="80.019900000000007"/>
  </r>
  <r>
    <n v="724"/>
    <s v="CA-2018-117429"/>
    <n v="7"/>
    <n v="10"/>
    <n v="2018"/>
    <s v="Standard Class"/>
    <s v="MR-17545"/>
    <s v="mathew reese"/>
    <s v="Home Office"/>
    <s v="United States-Pennsylvania-Philadelphia"/>
    <s v="East"/>
    <n v="19140"/>
    <s v="FUR-FU-10000222"/>
    <x v="0"/>
    <s v="Furnishings"/>
    <s v="Seth Thomas 16&quot; Steel Case Clock"/>
    <n v="129.91999999999999"/>
    <n v="5"/>
    <n v="0.2"/>
    <n v="21.111999999999998"/>
  </r>
  <r>
    <n v="725"/>
    <s v="CA-2020-114713"/>
    <n v="7"/>
    <n v="7"/>
    <n v="2020"/>
    <s v="Standard Class"/>
    <s v="SC-20695"/>
    <s v="steve chapman"/>
    <s v="Corporate"/>
    <s v="United States-Florida-Hialeah"/>
    <s v="South"/>
    <n v="33012"/>
    <s v="OFF-SU-10004664"/>
    <x v="1"/>
    <s v="Supplies"/>
    <s v="Acme Softgrip Scissors"/>
    <n v="45.584000000000003"/>
    <n v="7"/>
    <n v="0.2"/>
    <n v="5.1281999999999996"/>
  </r>
  <r>
    <n v="726"/>
    <s v="CA-2021-144113"/>
    <n v="16"/>
    <n v="9"/>
    <n v="2021"/>
    <s v="Standard Class"/>
    <s v="JF-15355"/>
    <s v="jay fein"/>
    <s v="Consumer"/>
    <s v="United States-Texas-Austin"/>
    <s v="Central"/>
    <n v="78745"/>
    <s v="OFF-EN-10001141"/>
    <x v="1"/>
    <s v="Envelopes"/>
    <s v="Manila Recycled Extra-Heavyweight Clasp Envelopes, 6&quot; x 9&quot;"/>
    <n v="17.568000000000001"/>
    <n v="2"/>
    <n v="0.2"/>
    <n v="6.3684000000000003"/>
  </r>
  <r>
    <n v="727"/>
    <s v="CA-2021-144113"/>
    <n v="16"/>
    <n v="9"/>
    <n v="2021"/>
    <s v="Standard Class"/>
    <s v="JF-15355"/>
    <s v="jay fein"/>
    <s v="Consumer"/>
    <s v="United States-Texas-Austin"/>
    <s v="Central"/>
    <n v="78745"/>
    <s v="TEC-PH-10002170"/>
    <x v="2"/>
    <s v="Phones"/>
    <s v="ClearSounds CSC500 Amplified Spirit Phone Corded phone"/>
    <n v="55.991999999999997"/>
    <n v="1"/>
    <n v="0.2"/>
    <n v="5.5991999999999997"/>
  </r>
  <r>
    <n v="728"/>
    <s v="US-2020-150861"/>
    <n v="3"/>
    <n v="12"/>
    <n v="2020"/>
    <s v="First Class"/>
    <s v="EG-13900"/>
    <s v="emily grady"/>
    <s v="Consumer"/>
    <s v="United States-New York-Oceanside"/>
    <s v="East"/>
    <n v="11572"/>
    <s v="OFF-PA-10001954"/>
    <x v="1"/>
    <s v="Paper"/>
    <s v="Xerox 1964"/>
    <n v="182.72"/>
    <n v="8"/>
    <n v="0"/>
    <n v="84.051199999999994"/>
  </r>
  <r>
    <n v="729"/>
    <s v="US-2020-150861"/>
    <n v="3"/>
    <n v="12"/>
    <n v="2020"/>
    <s v="First Class"/>
    <s v="EG-13900"/>
    <s v="emily grady"/>
    <s v="Consumer"/>
    <s v="United States-New York-Oceanside"/>
    <s v="East"/>
    <n v="11572"/>
    <s v="FUR-TA-10002228"/>
    <x v="0"/>
    <s v="Tables"/>
    <s v="Bevis Traditional Conference Table Top, Plinth Base"/>
    <n v="400.03199999999998"/>
    <n v="2"/>
    <n v="0.4"/>
    <n v="-153.34559999999999"/>
  </r>
  <r>
    <n v="730"/>
    <s v="US-2020-150861"/>
    <n v="3"/>
    <n v="12"/>
    <n v="2020"/>
    <s v="First Class"/>
    <s v="EG-13900"/>
    <s v="emily grady"/>
    <s v="Consumer"/>
    <s v="United States-New York-Oceanside"/>
    <s v="East"/>
    <n v="11572"/>
    <s v="OFF-ST-10004634"/>
    <x v="1"/>
    <s v="Storage"/>
    <s v="Personal Folder Holder, Ebony"/>
    <n v="33.630000000000003"/>
    <n v="3"/>
    <n v="0"/>
    <n v="10.089"/>
  </r>
  <r>
    <n v="731"/>
    <s v="US-2020-150861"/>
    <n v="3"/>
    <n v="12"/>
    <n v="2020"/>
    <s v="First Class"/>
    <s v="EG-13900"/>
    <s v="emily grady"/>
    <s v="Consumer"/>
    <s v="United States-New York-Oceanside"/>
    <s v="East"/>
    <n v="11572"/>
    <s v="FUR-CH-10002965"/>
    <x v="0"/>
    <s v="Chairs"/>
    <s v="Global Leather Highback Executive Chair with Pneumatic Height Adjustment, Black"/>
    <n v="321.56799999999998"/>
    <n v="2"/>
    <n v="0.2"/>
    <n v="28.1372"/>
  </r>
  <r>
    <n v="732"/>
    <s v="US-2020-150861"/>
    <n v="3"/>
    <n v="12"/>
    <n v="2020"/>
    <s v="First Class"/>
    <s v="EG-13900"/>
    <s v="emily grady"/>
    <s v="Consumer"/>
    <s v="United States-New York-Oceanside"/>
    <s v="East"/>
    <n v="11572"/>
    <s v="OFF-LA-10001317"/>
    <x v="1"/>
    <s v="Labels"/>
    <s v="Avery 520"/>
    <n v="22.05"/>
    <n v="7"/>
    <n v="0"/>
    <n v="10.584"/>
  </r>
  <r>
    <n v="733"/>
    <s v="CA-2021-131954"/>
    <n v="21"/>
    <n v="1"/>
    <n v="2021"/>
    <s v="Standard Class"/>
    <s v="DS-13030"/>
    <s v="darrin sayre"/>
    <s v="Home Office"/>
    <s v="United States-Washington-Seattle"/>
    <s v="West"/>
    <n v="98115"/>
    <s v="OFF-ST-10000736"/>
    <x v="1"/>
    <s v="Storage"/>
    <s v="Carina Double Wide Media Storage Towers in Natural &amp; Black"/>
    <n v="129.56800000000001"/>
    <n v="2"/>
    <n v="0.2"/>
    <n v="-25.913599999999999"/>
  </r>
  <r>
    <n v="734"/>
    <s v="CA-2021-131954"/>
    <n v="21"/>
    <n v="1"/>
    <n v="2021"/>
    <s v="Standard Class"/>
    <s v="DS-13030"/>
    <s v="darrin sayre"/>
    <s v="Home Office"/>
    <s v="United States-Washington-Seattle"/>
    <s v="West"/>
    <n v="98115"/>
    <s v="TEC-AC-10003610"/>
    <x v="2"/>
    <s v="Accessories"/>
    <s v="Logitech Illuminated - Keyboard"/>
    <n v="179.97"/>
    <n v="3"/>
    <n v="0"/>
    <n v="86.385599999999997"/>
  </r>
  <r>
    <n v="735"/>
    <s v="CA-2021-131954"/>
    <n v="21"/>
    <n v="1"/>
    <n v="2021"/>
    <s v="Standard Class"/>
    <s v="DS-13030"/>
    <s v="darrin sayre"/>
    <s v="Home Office"/>
    <s v="United States-Washington-Seattle"/>
    <s v="West"/>
    <n v="98115"/>
    <s v="OFF-BI-10003982"/>
    <x v="1"/>
    <s v="Binders"/>
    <s v="Wilson Jones Century Plastic Molded Ring Binders"/>
    <n v="12.462"/>
    <n v="3"/>
    <n v="0.8"/>
    <n v="-20.5623"/>
  </r>
  <r>
    <n v="736"/>
    <s v="CA-2021-131954"/>
    <n v="21"/>
    <n v="1"/>
    <n v="2021"/>
    <s v="Standard Class"/>
    <s v="DS-13030"/>
    <s v="darrin sayre"/>
    <s v="Home Office"/>
    <s v="United States-Washington-Seattle"/>
    <s v="West"/>
    <n v="98115"/>
    <s v="OFF-BI-10003291"/>
    <x v="1"/>
    <s v="Binders"/>
    <s v="Wilson Jones Leather-Like Binders with DublLock Round Rings"/>
    <n v="17.46"/>
    <n v="2"/>
    <n v="0"/>
    <n v="8.2062000000000008"/>
  </r>
  <r>
    <n v="737"/>
    <s v="CA-2021-131954"/>
    <n v="21"/>
    <n v="1"/>
    <n v="2021"/>
    <s v="Standard Class"/>
    <s v="DS-13030"/>
    <s v="darrin sayre"/>
    <s v="Home Office"/>
    <s v="United States-Washington-Seattle"/>
    <s v="West"/>
    <n v="98115"/>
    <s v="FUR-BO-10001619"/>
    <x v="0"/>
    <s v="Bookcases"/>
    <s v="O'Sullivan Cherrywood Estates Traditional Bookcase"/>
    <n v="84.98"/>
    <n v="1"/>
    <n v="0"/>
    <n v="18.695599999999999"/>
  </r>
  <r>
    <n v="738"/>
    <s v="CA-2021-131954"/>
    <n v="21"/>
    <n v="1"/>
    <n v="2021"/>
    <s v="Standard Class"/>
    <s v="DS-13030"/>
    <s v="darrin sayre"/>
    <s v="Home Office"/>
    <s v="United States-Washington-Seattle"/>
    <s v="West"/>
    <n v="98115"/>
    <s v="OFF-BI-10000138"/>
    <x v="1"/>
    <s v="Binders"/>
    <s v="Acco Translucent Poly Ring Binders"/>
    <n v="18.72"/>
    <n v="5"/>
    <n v="0.2"/>
    <n v="6.5519999999999996"/>
  </r>
  <r>
    <n v="739"/>
    <s v="CA-2018-132500"/>
    <n v="8"/>
    <n v="9"/>
    <n v="2018"/>
    <s v="Standard Class"/>
    <s v="GZ-14470"/>
    <s v="gary zandusky"/>
    <s v="Consumer"/>
    <s v="United States-California-San Francisco"/>
    <s v="West"/>
    <n v="94110"/>
    <s v="TEC-AC-10001383"/>
    <x v="2"/>
    <s v="Accessories"/>
    <s v="Logitech Wireless Touch Keyboard K400"/>
    <n v="49.98"/>
    <n v="2"/>
    <n v="0"/>
    <n v="8.4966000000000008"/>
  </r>
  <r>
    <n v="740"/>
    <s v="CA-2018-112326"/>
    <n v="4"/>
    <n v="1"/>
    <n v="2018"/>
    <s v="Standard Class"/>
    <s v="PO-19195"/>
    <s v="phillina ober"/>
    <s v="Home Office"/>
    <s v="United States-Illinois-Naperville"/>
    <s v="Central"/>
    <n v="60540"/>
    <s v="OFF-LA-10003223"/>
    <x v="1"/>
    <s v="Labels"/>
    <s v="Avery 508"/>
    <n v="11.784000000000001"/>
    <n v="3"/>
    <n v="0.2"/>
    <n v="4.2717000000000001"/>
  </r>
  <r>
    <n v="741"/>
    <s v="CA-2018-112326"/>
    <n v="4"/>
    <n v="1"/>
    <n v="2018"/>
    <s v="Standard Class"/>
    <s v="PO-19195"/>
    <s v="phillina ober"/>
    <s v="Home Office"/>
    <s v="United States-Illinois-Naperville"/>
    <s v="Central"/>
    <n v="60540"/>
    <s v="OFF-ST-10002743"/>
    <x v="1"/>
    <s v="Storage"/>
    <s v="SAFCO Boltless Steel Shelving"/>
    <n v="340.92"/>
    <n v="3"/>
    <n v="0"/>
    <n v="3.4091999999999998"/>
  </r>
  <r>
    <n v="742"/>
    <s v="CA-2018-112326"/>
    <n v="4"/>
    <n v="1"/>
    <n v="2018"/>
    <s v="Standard Class"/>
    <s v="PO-19195"/>
    <s v="phillina ober"/>
    <s v="Home Office"/>
    <s v="United States-Illinois-Naperville"/>
    <s v="Central"/>
    <n v="60540"/>
    <s v="OFF-BI-10004094"/>
    <x v="1"/>
    <s v="Binders"/>
    <s v="GBC Standard Plastic Binding Systems Combs"/>
    <n v="3.54"/>
    <n v="2"/>
    <n v="0.8"/>
    <n v="-5.4870000000000001"/>
  </r>
  <r>
    <n v="743"/>
    <s v="US-2020-146710"/>
    <n v="27"/>
    <n v="8"/>
    <n v="2020"/>
    <s v="Standard Class"/>
    <s v="SS-20875"/>
    <s v="sung shariari"/>
    <s v="Consumer"/>
    <s v="United States-Texas-Dallas"/>
    <s v="Central"/>
    <n v="75220"/>
    <s v="OFF-SU-10004498"/>
    <x v="1"/>
    <s v="Supplies"/>
    <s v="Martin-Yale Premier Letter Opener"/>
    <n v="51.52"/>
    <n v="4"/>
    <n v="0"/>
    <n v="1.5456000000000001"/>
  </r>
  <r>
    <n v="744"/>
    <s v="US-2020-146710"/>
    <n v="27"/>
    <n v="8"/>
    <n v="2020"/>
    <s v="Standard Class"/>
    <s v="SS-20875"/>
    <s v="sung shariari"/>
    <s v="Consumer"/>
    <s v="United States-Texas-Dallas"/>
    <s v="Central"/>
    <n v="75220"/>
    <s v="OFF-PA-10002615"/>
    <x v="1"/>
    <s v="Paper"/>
    <s v="Ampad Gold Fibre Wirebound Steno Books, 6&quot; x 9&quot;, Gregg Ruled"/>
    <n v="8.82"/>
    <n v="2"/>
    <n v="0"/>
    <n v="4.0571999999999999"/>
  </r>
  <r>
    <n v="745"/>
    <s v="US-2020-146710"/>
    <n v="27"/>
    <n v="8"/>
    <n v="2020"/>
    <s v="Standard Class"/>
    <s v="SS-20875"/>
    <s v="sung shariari"/>
    <s v="Consumer"/>
    <s v="United States-Texas-Dallas"/>
    <s v="Central"/>
    <n v="75220"/>
    <s v="OFF-PA-10004971"/>
    <x v="1"/>
    <s v="Paper"/>
    <s v="Xerox 196"/>
    <n v="4.6239999999999997"/>
    <n v="1"/>
    <n v="0.2"/>
    <n v="1.6761999999999999"/>
  </r>
  <r>
    <n v="746"/>
    <s v="US-2020-146710"/>
    <n v="27"/>
    <n v="8"/>
    <n v="2020"/>
    <s v="Standard Class"/>
    <s v="SS-20875"/>
    <s v="sung shariari"/>
    <s v="Consumer"/>
    <s v="United States-Texas-Dallas"/>
    <s v="Central"/>
    <n v="75220"/>
    <s v="OFF-SU-10004261"/>
    <x v="1"/>
    <s v="Supplies"/>
    <s v="Fiskars 8&quot; Scissors, 2/Pack"/>
    <n v="55.167999999999999"/>
    <n v="4"/>
    <n v="0.2"/>
    <n v="6.2064000000000004"/>
  </r>
  <r>
    <n v="747"/>
    <s v="CA-2018-124429"/>
    <n v="27"/>
    <n v="5"/>
    <n v="2018"/>
    <s v="Same Day"/>
    <s v="MH-17785"/>
    <s v="maya herman"/>
    <s v="Corporate"/>
    <s v="United States-California-San Diego"/>
    <s v="West"/>
    <n v="92105"/>
    <s v="FUR-TA-10002607"/>
    <x v="0"/>
    <s v="Tables"/>
    <s v="KI Conference Tables"/>
    <n v="177.22499999999999"/>
    <n v="5"/>
    <n v="0.5"/>
    <n v="-120.51300000000001"/>
  </r>
  <r>
    <n v="748"/>
    <s v="CA-2018-124429"/>
    <n v="27"/>
    <n v="5"/>
    <n v="2018"/>
    <s v="Same Day"/>
    <s v="MH-17785"/>
    <s v="maya herman"/>
    <s v="Corporate"/>
    <s v="United States-California-San Diego"/>
    <s v="West"/>
    <n v="92105"/>
    <s v="OFF-ST-10001809"/>
    <x v="1"/>
    <s v="Storage"/>
    <s v="Fellowes Officeware Wire Shelving"/>
    <n v="449.15"/>
    <n v="5"/>
    <n v="0"/>
    <n v="8.9830000000000005"/>
  </r>
  <r>
    <n v="749"/>
    <s v="CA-2020-150889"/>
    <n v="20"/>
    <n v="3"/>
    <n v="2020"/>
    <s v="Second Class"/>
    <s v="PB-19105"/>
    <s v="peter bühler"/>
    <s v="Consumer"/>
    <s v="United States-Illinois-Evanston"/>
    <s v="Central"/>
    <n v="60201"/>
    <s v="TEC-PH-10000004"/>
    <x v="2"/>
    <s v="Phones"/>
    <s v="Belkin iPhone and iPad Lightning Cable"/>
    <n v="11.992000000000001"/>
    <n v="1"/>
    <n v="0.2"/>
    <n v="0.89939999999999998"/>
  </r>
  <r>
    <n v="750"/>
    <s v="CA-2021-126074"/>
    <n v="2"/>
    <n v="10"/>
    <n v="2021"/>
    <s v="Standard Class"/>
    <s v="RF-19735"/>
    <s v="roland fjeld"/>
    <s v="Consumer"/>
    <s v="United States-Michigan-Trenton"/>
    <s v="Central"/>
    <n v="48183"/>
    <s v="OFF-BI-10003638"/>
    <x v="1"/>
    <s v="Binders"/>
    <s v="GBC Durable Plastic Covers"/>
    <n v="58.05"/>
    <n v="3"/>
    <n v="0"/>
    <n v="26.702999999999999"/>
  </r>
  <r>
    <n v="751"/>
    <s v="CA-2021-126074"/>
    <n v="2"/>
    <n v="10"/>
    <n v="2021"/>
    <s v="Standard Class"/>
    <s v="RF-19735"/>
    <s v="roland fjeld"/>
    <s v="Consumer"/>
    <s v="United States-Michigan-Trenton"/>
    <s v="Central"/>
    <n v="48183"/>
    <s v="FUR-FU-10003577"/>
    <x v="0"/>
    <s v="Furnishings"/>
    <s v="Nu-Dell Leatherette Frames"/>
    <n v="157.74"/>
    <n v="11"/>
    <n v="0"/>
    <n v="56.7864"/>
  </r>
  <r>
    <n v="752"/>
    <s v="CA-2021-126074"/>
    <n v="2"/>
    <n v="10"/>
    <n v="2021"/>
    <s v="Standard Class"/>
    <s v="RF-19735"/>
    <s v="roland fjeld"/>
    <s v="Consumer"/>
    <s v="United States-Michigan-Trenton"/>
    <s v="Central"/>
    <n v="48183"/>
    <s v="OFF-AR-10003478"/>
    <x v="1"/>
    <s v="Art"/>
    <s v="Avery Hi-Liter EverBold Pen Style Fluorescent Highlighters, 4/Pack"/>
    <n v="39.072000000000003"/>
    <n v="6"/>
    <n v="0.2"/>
    <n v="9.7680000000000007"/>
  </r>
  <r>
    <n v="753"/>
    <s v="CA-2021-126074"/>
    <n v="2"/>
    <n v="10"/>
    <n v="2021"/>
    <s v="Standard Class"/>
    <s v="RF-19735"/>
    <s v="roland fjeld"/>
    <s v="Consumer"/>
    <s v="United States-Michigan-Trenton"/>
    <s v="Central"/>
    <n v="48183"/>
    <s v="OFF-BI-10000546"/>
    <x v="1"/>
    <s v="Binders"/>
    <s v="Avery Durable Binders"/>
    <n v="2.88"/>
    <n v="1"/>
    <n v="0"/>
    <n v="1.4112"/>
  </r>
  <r>
    <n v="754"/>
    <s v="CA-2020-110499"/>
    <n v="7"/>
    <n v="4"/>
    <n v="2020"/>
    <s v="First Class"/>
    <s v="YC-21895"/>
    <s v="yoseph carroll"/>
    <s v="Corporate"/>
    <s v="United States-California-San Francisco"/>
    <s v="West"/>
    <n v="94110"/>
    <s v="TEC-CO-10002095"/>
    <x v="2"/>
    <s v="Copiers"/>
    <s v="Hewlett Packard 610 Color Digital Copier / Printer"/>
    <n v="1199.9760000000001"/>
    <n v="3"/>
    <n v="0.2"/>
    <n v="374.99250000000001"/>
  </r>
  <r>
    <n v="755"/>
    <s v="CA-2019-135272"/>
    <n v="7"/>
    <n v="12"/>
    <n v="2019"/>
    <s v="Standard Class"/>
    <s v="MS-17830"/>
    <s v="melanie seite"/>
    <s v="Consumer"/>
    <s v="United States-California-Los Angeles"/>
    <s v="West"/>
    <n v="90036"/>
    <s v="FUR-FU-10002759"/>
    <x v="0"/>
    <s v="Furnishings"/>
    <s v="12-1/2 Diameter Round Wall Clock"/>
    <n v="23.975999999999999"/>
    <n v="3"/>
    <n v="0.6"/>
    <n v="-14.3856"/>
  </r>
  <r>
    <n v="756"/>
    <s v="CA-2020-140928"/>
    <n v="18"/>
    <n v="9"/>
    <n v="2020"/>
    <s v="Standard Class"/>
    <s v="NB-18655"/>
    <s v="nona balk"/>
    <s v="Corporate"/>
    <s v="United States-Florida-Jacksonville"/>
    <s v="South"/>
    <n v="32216"/>
    <s v="FUR-TA-10001095"/>
    <x v="0"/>
    <s v="Tables"/>
    <s v="Chromcraft Round Conference Tables"/>
    <n v="383.43799999999999"/>
    <n v="4"/>
    <n v="0.45"/>
    <n v="-167.3184"/>
  </r>
  <r>
    <n v="757"/>
    <s v="CA-2018-106803"/>
    <n v="29"/>
    <n v="12"/>
    <n v="2018"/>
    <s v="Standard Class"/>
    <s v="DC-13285"/>
    <s v="debra catini"/>
    <s v="Consumer"/>
    <s v="United States-Minnesota-Cottage Grove"/>
    <s v="Central"/>
    <n v="55016"/>
    <s v="OFF-ST-10002444"/>
    <x v="1"/>
    <s v="Storage"/>
    <s v="Recycled Eldon Regeneration Jumbo File"/>
    <n v="36.840000000000003"/>
    <n v="3"/>
    <n v="0"/>
    <n v="10.315200000000001"/>
  </r>
  <r>
    <n v="758"/>
    <s v="CA-2018-106803"/>
    <n v="29"/>
    <n v="12"/>
    <n v="2018"/>
    <s v="Standard Class"/>
    <s v="DC-13285"/>
    <s v="debra catini"/>
    <s v="Consumer"/>
    <s v="United States-Minnesota-Cottage Grove"/>
    <s v="Central"/>
    <n v="55016"/>
    <s v="TEC-AC-10001267"/>
    <x v="2"/>
    <s v="Accessories"/>
    <s v="Imation 32GB Pocket Pro USB 3.0 Flash Drive - 32 GB - Black - 1 P ..."/>
    <n v="119.8"/>
    <n v="5"/>
    <n v="0.2"/>
    <n v="29.95"/>
  </r>
  <r>
    <n v="759"/>
    <s v="CA-2021-117240"/>
    <n v="23"/>
    <n v="7"/>
    <n v="2021"/>
    <s v="Standard Class"/>
    <s v="CP-12340"/>
    <s v="christine phan"/>
    <s v="Corporate"/>
    <s v="United States-New York-New York City"/>
    <s v="East"/>
    <n v="10009"/>
    <s v="OFF-BI-10000848"/>
    <x v="1"/>
    <s v="Binders"/>
    <s v="Angle-D Ring Binders"/>
    <n v="3.282"/>
    <n v="2"/>
    <n v="0.7"/>
    <n v="-2.6255999999999999"/>
  </r>
  <r>
    <n v="760"/>
    <s v="CA-2021-133333"/>
    <n v="18"/>
    <n v="9"/>
    <n v="2021"/>
    <s v="Standard Class"/>
    <s v="BF-11020"/>
    <s v="barry französisch"/>
    <s v="Corporate"/>
    <s v="United States-Wisconsin-Green Bay"/>
    <s v="Central"/>
    <n v="54302"/>
    <s v="OFF-PA-10002377"/>
    <x v="1"/>
    <s v="Paper"/>
    <s v="Adams Telephone Message Book W/Dividers/Space For Phone Numbers, 5 1/4&quot;X8 1/2&quot;, 200/Messages"/>
    <n v="36.351999999999997"/>
    <n v="8"/>
    <n v="0.2"/>
    <n v="11.36"/>
  </r>
  <r>
    <n v="761"/>
    <s v="CA-2019-112319"/>
    <n v="31"/>
    <n v="8"/>
    <n v="2019"/>
    <s v="Standard Class"/>
    <s v="AR-10510"/>
    <s v="andrew roberts"/>
    <s v="Consumer"/>
    <s v="United States-California-Los Angeles"/>
    <s v="West"/>
    <n v="90004"/>
    <s v="OFF-PA-10003441"/>
    <x v="1"/>
    <s v="Paper"/>
    <s v="Xerox 226"/>
    <n v="32.4"/>
    <n v="5"/>
    <n v="0"/>
    <n v="15.552"/>
  </r>
  <r>
    <n v="762"/>
    <s v="CA-2021-126046"/>
    <n v="3"/>
    <n v="11"/>
    <n v="2021"/>
    <s v="Standard Class"/>
    <s v="JC-16105"/>
    <s v="julie creighton"/>
    <s v="Corporate"/>
    <s v="United States-Georgia-Atlanta"/>
    <s v="South"/>
    <n v="30318"/>
    <s v="OFF-LA-10004484"/>
    <x v="1"/>
    <s v="Labels"/>
    <s v="Avery 476"/>
    <n v="12.39"/>
    <n v="3"/>
    <n v="0"/>
    <n v="5.6993999999999998"/>
  </r>
  <r>
    <n v="763"/>
    <s v="CA-2019-114923"/>
    <n v="8"/>
    <n v="2"/>
    <n v="2019"/>
    <s v="Standard Class"/>
    <s v="LH-17020"/>
    <s v="lisa hazard"/>
    <s v="Consumer"/>
    <s v="United States-Ohio-Columbus"/>
    <s v="East"/>
    <n v="43229"/>
    <s v="TEC-PH-10003931"/>
    <x v="2"/>
    <s v="Phones"/>
    <s v="JBL Micro Wireless Portable Bluetooth Speaker"/>
    <n v="143.976"/>
    <n v="3"/>
    <n v="0.2"/>
    <n v="8.9984999999999999"/>
  </r>
  <r>
    <n v="764"/>
    <s v="CA-2018-162775"/>
    <n v="13"/>
    <n v="1"/>
    <n v="2018"/>
    <s v="Second Class"/>
    <s v="CS-12250"/>
    <s v="chris selesnick"/>
    <s v="Corporate"/>
    <s v="United States-Louisiana-Bossier City"/>
    <s v="South"/>
    <n v="71111"/>
    <s v="OFF-EN-10001990"/>
    <x v="1"/>
    <s v="Envelopes"/>
    <s v="Staple envelope"/>
    <n v="28.4"/>
    <n v="5"/>
    <n v="0"/>
    <n v="13.348000000000001"/>
  </r>
  <r>
    <n v="765"/>
    <s v="CA-2018-162775"/>
    <n v="13"/>
    <n v="1"/>
    <n v="2018"/>
    <s v="Second Class"/>
    <s v="CS-12250"/>
    <s v="chris selesnick"/>
    <s v="Corporate"/>
    <s v="United States-Louisiana-Bossier City"/>
    <s v="South"/>
    <n v="71111"/>
    <s v="OFF-EN-10001532"/>
    <x v="1"/>
    <s v="Envelopes"/>
    <s v="Brown Kraft Recycled Envelopes"/>
    <n v="50.94"/>
    <n v="3"/>
    <n v="0"/>
    <n v="25.47"/>
  </r>
  <r>
    <n v="766"/>
    <s v="CA-2018-162775"/>
    <n v="13"/>
    <n v="1"/>
    <n v="2018"/>
    <s v="Second Class"/>
    <s v="CS-12250"/>
    <s v="chris selesnick"/>
    <s v="Corporate"/>
    <s v="United States-Louisiana-Bossier City"/>
    <s v="South"/>
    <n v="71111"/>
    <s v="TEC-AC-10003174"/>
    <x v="2"/>
    <s v="Accessories"/>
    <s v="Plantronics S12 Corded Telephone Headset System"/>
    <n v="646.74"/>
    <n v="6"/>
    <n v="0"/>
    <n v="258.69600000000003"/>
  </r>
  <r>
    <n v="767"/>
    <s v="CA-2018-162775"/>
    <n v="13"/>
    <n v="1"/>
    <n v="2018"/>
    <s v="Second Class"/>
    <s v="CS-12250"/>
    <s v="chris selesnick"/>
    <s v="Corporate"/>
    <s v="United States-Louisiana-Bossier City"/>
    <s v="South"/>
    <n v="71111"/>
    <s v="OFF-BI-10004187"/>
    <x v="1"/>
    <s v="Binders"/>
    <s v="3-ring staple pack"/>
    <n v="5.64"/>
    <n v="3"/>
    <n v="0"/>
    <n v="2.7071999999999998"/>
  </r>
  <r>
    <n v="768"/>
    <s v="CA-2018-162775"/>
    <n v="13"/>
    <n v="1"/>
    <n v="2018"/>
    <s v="Second Class"/>
    <s v="CS-12250"/>
    <s v="chris selesnick"/>
    <s v="Corporate"/>
    <s v="United States-Louisiana-Bossier City"/>
    <s v="South"/>
    <n v="71111"/>
    <s v="OFF-ST-10000025"/>
    <x v="1"/>
    <s v="Storage"/>
    <s v="Fellowes Stor/Drawer Steel Plus Storage Drawers"/>
    <n v="572.58000000000004"/>
    <n v="6"/>
    <n v="0"/>
    <n v="34.354799999999997"/>
  </r>
  <r>
    <n v="769"/>
    <s v="CA-2018-106810"/>
    <n v="14"/>
    <n v="5"/>
    <n v="2018"/>
    <s v="Standard Class"/>
    <s v="AJ-10795"/>
    <s v="anthony johnson"/>
    <s v="Corporate"/>
    <s v="United States-Florida-Saint Petersburg"/>
    <s v="South"/>
    <n v="33710"/>
    <s v="FUR-FU-10004306"/>
    <x v="0"/>
    <s v="Furnishings"/>
    <s v="Electrix Halogen Magnifier Lamp"/>
    <n v="310.88"/>
    <n v="2"/>
    <n v="0.2"/>
    <n v="23.315999999999999"/>
  </r>
  <r>
    <n v="770"/>
    <s v="CA-2020-157245"/>
    <n v="19"/>
    <n v="5"/>
    <n v="2020"/>
    <s v="Standard Class"/>
    <s v="LE-16810"/>
    <s v="laurel elliston"/>
    <s v="Consumer"/>
    <s v="United States-Virginia-Arlington"/>
    <s v="South"/>
    <n v="22204"/>
    <s v="FUR-CH-10003746"/>
    <x v="0"/>
    <s v="Chairs"/>
    <s v="Hon 4070 Series Pagoda Round Back Stacking Chairs"/>
    <n v="641.96"/>
    <n v="2"/>
    <n v="0"/>
    <n v="179.74879999999999"/>
  </r>
  <r>
    <n v="771"/>
    <s v="CA-2021-104220"/>
    <n v="30"/>
    <n v="1"/>
    <n v="2021"/>
    <s v="Standard Class"/>
    <s v="BV-11245"/>
    <s v="benjamin venier"/>
    <s v="Corporate"/>
    <s v="United States-Iowa-Des Moines"/>
    <s v="Central"/>
    <n v="50315"/>
    <s v="OFF-BI-10001036"/>
    <x v="1"/>
    <s v="Binders"/>
    <s v="Cardinal EasyOpen D-Ring Binders"/>
    <n v="18.28"/>
    <n v="2"/>
    <n v="0"/>
    <n v="9.14"/>
  </r>
  <r>
    <n v="772"/>
    <s v="CA-2021-104220"/>
    <n v="30"/>
    <n v="1"/>
    <n v="2021"/>
    <s v="Standard Class"/>
    <s v="BV-11245"/>
    <s v="benjamin venier"/>
    <s v="Corporate"/>
    <s v="United States-Iowa-Des Moines"/>
    <s v="Central"/>
    <n v="50315"/>
    <s v="TEC-PH-10004614"/>
    <x v="2"/>
    <s v="Phones"/>
    <s v="AT&amp;T 841000 Phone"/>
    <n v="82.8"/>
    <n v="2"/>
    <n v="0.4"/>
    <n v="-20.7"/>
  </r>
  <r>
    <n v="773"/>
    <s v="CA-2021-104220"/>
    <n v="30"/>
    <n v="1"/>
    <n v="2021"/>
    <s v="Standard Class"/>
    <s v="BV-11245"/>
    <s v="benjamin venier"/>
    <s v="Corporate"/>
    <s v="United States-Iowa-Des Moines"/>
    <s v="Central"/>
    <n v="50315"/>
    <s v="OFF-BI-10000301"/>
    <x v="1"/>
    <s v="Binders"/>
    <s v="GBC Instant Report Kit"/>
    <n v="32.35"/>
    <n v="5"/>
    <n v="0"/>
    <n v="16.175000000000001"/>
  </r>
  <r>
    <n v="774"/>
    <s v="CA-2021-104220"/>
    <n v="30"/>
    <n v="1"/>
    <n v="2021"/>
    <s v="Standard Class"/>
    <s v="BV-11245"/>
    <s v="benjamin venier"/>
    <s v="Corporate"/>
    <s v="United States-Iowa-Des Moines"/>
    <s v="Central"/>
    <n v="50315"/>
    <s v="OFF-BI-10003910"/>
    <x v="1"/>
    <s v="Binders"/>
    <s v="DXL Angle-View Binders with Locking Rings by Samsill"/>
    <n v="18.504000000000001"/>
    <n v="3"/>
    <n v="0.2"/>
    <n v="5.7824999999999998"/>
  </r>
  <r>
    <n v="775"/>
    <s v="CA-2021-104220"/>
    <n v="30"/>
    <n v="1"/>
    <n v="2021"/>
    <s v="Standard Class"/>
    <s v="BV-11245"/>
    <s v="benjamin venier"/>
    <s v="Corporate"/>
    <s v="United States-Iowa-Des Moines"/>
    <s v="Central"/>
    <n v="50315"/>
    <s v="OFF-AR-10004648"/>
    <x v="1"/>
    <s v="Art"/>
    <s v="Boston 19500 Mighty Mite Electric Pencil Sharpener"/>
    <n v="40.299999999999997"/>
    <n v="2"/>
    <n v="0"/>
    <n v="10.881"/>
  </r>
  <r>
    <n v="776"/>
    <s v="CA-2021-104220"/>
    <n v="30"/>
    <n v="1"/>
    <n v="2021"/>
    <s v="Standard Class"/>
    <s v="BV-11245"/>
    <s v="benjamin venier"/>
    <s v="Corporate"/>
    <s v="United States-Iowa-Des Moines"/>
    <s v="Central"/>
    <n v="50315"/>
    <s v="FUR-FU-10002597"/>
    <x v="0"/>
    <s v="Furnishings"/>
    <s v="C-Line Magnetic Cubicle Keepers, Clear Polypropylene"/>
    <n v="34.58"/>
    <n v="7"/>
    <n v="0"/>
    <n v="14.5236"/>
  </r>
  <r>
    <n v="777"/>
    <s v="CA-2018-165974"/>
    <n v="29"/>
    <n v="6"/>
    <n v="2018"/>
    <s v="Standard Class"/>
    <s v="DL-12865"/>
    <s v="dan lawera"/>
    <s v="Consumer"/>
    <s v="United States-Ohio-Cincinnati"/>
    <s v="East"/>
    <n v="45231"/>
    <s v="OFF-AR-10003405"/>
    <x v="1"/>
    <s v="Art"/>
    <s v="Dixon My First Ticonderoga Pencil, #2"/>
    <n v="32.76"/>
    <n v="7"/>
    <n v="0.2"/>
    <n v="3.6855000000000002"/>
  </r>
  <r>
    <n v="778"/>
    <s v="CA-2019-144267"/>
    <n v="21"/>
    <n v="8"/>
    <n v="2019"/>
    <s v="First Class"/>
    <s v="NZ-18565"/>
    <s v="nick zandusky"/>
    <s v="Home Office"/>
    <s v="United States-California-San Francisco"/>
    <s v="West"/>
    <n v="94110"/>
    <s v="FUR-CH-10002335"/>
    <x v="0"/>
    <s v="Chairs"/>
    <s v="Hon GuestStacker Chair"/>
    <n v="544.00800000000004"/>
    <n v="3"/>
    <n v="0.2"/>
    <n v="40.800600000000003"/>
  </r>
  <r>
    <n v="779"/>
    <s v="CA-2019-144267"/>
    <n v="21"/>
    <n v="8"/>
    <n v="2019"/>
    <s v="First Class"/>
    <s v="NZ-18565"/>
    <s v="nick zandusky"/>
    <s v="Home Office"/>
    <s v="United States-California-San Francisco"/>
    <s v="West"/>
    <n v="94110"/>
    <s v="OFF-PA-10000157"/>
    <x v="1"/>
    <s v="Paper"/>
    <s v="Xerox 191"/>
    <n v="139.86000000000001"/>
    <n v="7"/>
    <n v="0"/>
    <n v="65.734200000000001"/>
  </r>
  <r>
    <n v="780"/>
    <s v="CA-2019-144267"/>
    <n v="21"/>
    <n v="8"/>
    <n v="2019"/>
    <s v="First Class"/>
    <s v="NZ-18565"/>
    <s v="nick zandusky"/>
    <s v="Home Office"/>
    <s v="United States-California-San Francisco"/>
    <s v="West"/>
    <n v="94110"/>
    <s v="OFF-PA-10001947"/>
    <x v="1"/>
    <s v="Paper"/>
    <s v="Xerox 1974"/>
    <n v="9.5679999999999996"/>
    <n v="2"/>
    <n v="0.2"/>
    <n v="3.4683999999999999"/>
  </r>
  <r>
    <n v="781"/>
    <s v="CA-2019-144267"/>
    <n v="21"/>
    <n v="8"/>
    <n v="2019"/>
    <s v="First Class"/>
    <s v="NZ-18565"/>
    <s v="nick zandusky"/>
    <s v="Home Office"/>
    <s v="United States-California-San Francisco"/>
    <s v="West"/>
    <n v="94110"/>
    <s v="OFF-PA-10003657"/>
    <x v="1"/>
    <s v="Paper"/>
    <s v="Xerox 1927"/>
    <n v="4.28"/>
    <n v="1"/>
    <n v="0"/>
    <n v="1.9259999999999999"/>
  </r>
  <r>
    <n v="782"/>
    <s v="US-2019-157014"/>
    <n v="3"/>
    <n v="10"/>
    <n v="2019"/>
    <s v="Second Class"/>
    <s v="BM-11785"/>
    <s v="bryan mills"/>
    <s v="Consumer"/>
    <s v="United States-Ohio-Columbus"/>
    <s v="East"/>
    <n v="43229"/>
    <s v="OFF-BI-10001098"/>
    <x v="1"/>
    <s v="Binders"/>
    <s v="Acco D-Ring Binder w/DublLock"/>
    <n v="51.311999999999998"/>
    <n v="3"/>
    <n v="0.2"/>
    <n v="18.6006"/>
  </r>
  <r>
    <n v="783"/>
    <s v="US-2019-157014"/>
    <n v="3"/>
    <n v="10"/>
    <n v="2019"/>
    <s v="Second Class"/>
    <s v="BM-11785"/>
    <s v="bryan mills"/>
    <s v="Consumer"/>
    <s v="United States-Ohio-Columbus"/>
    <s v="East"/>
    <n v="43229"/>
    <s v="TEC-AC-10002167"/>
    <x v="2"/>
    <s v="Accessories"/>
    <s v="Imation 8gb Micro Traveldrive Usb 2.0 Flash Drive"/>
    <n v="45"/>
    <n v="3"/>
    <n v="0"/>
    <n v="4.95"/>
  </r>
  <r>
    <n v="784"/>
    <s v="US-2019-157014"/>
    <n v="3"/>
    <n v="10"/>
    <n v="2019"/>
    <s v="Second Class"/>
    <s v="BM-11785"/>
    <s v="bryan mills"/>
    <s v="Consumer"/>
    <s v="United States-Ohio-Columbus"/>
    <s v="East"/>
    <n v="43229"/>
    <s v="FUR-BO-10004409"/>
    <x v="0"/>
    <s v="Bookcases"/>
    <s v="Safco Value Mate Series Steel Bookcases, Baked Enamel Finish on Steel, Gray"/>
    <n v="35.49"/>
    <n v="1"/>
    <n v="0.5"/>
    <n v="-15.615600000000001"/>
  </r>
  <r>
    <n v="785"/>
    <s v="US-2019-157014"/>
    <n v="3"/>
    <n v="10"/>
    <n v="2019"/>
    <s v="Second Class"/>
    <s v="BM-11785"/>
    <s v="bryan mills"/>
    <s v="Consumer"/>
    <s v="United States-Ohio-Columbus"/>
    <s v="East"/>
    <n v="43229"/>
    <s v="TEC-AC-10000057"/>
    <x v="2"/>
    <s v="Accessories"/>
    <s v="Microsoft Natural Ergonomic Keyboard 4000"/>
    <n v="47.984000000000002"/>
    <n v="2"/>
    <n v="0.2"/>
    <n v="0.5998"/>
  </r>
  <r>
    <n v="786"/>
    <s v="CA-2019-154921"/>
    <n v="23"/>
    <n v="5"/>
    <n v="2019"/>
    <s v="Standard Class"/>
    <s v="EA-14035"/>
    <s v="erin ashbrook"/>
    <s v="Corporate"/>
    <s v="United States-South Carolina-Columbia"/>
    <s v="South"/>
    <n v="29203"/>
    <s v="OFF-EN-10000056"/>
    <x v="1"/>
    <s v="Envelopes"/>
    <s v="Cameo Buff Policy Envelopes"/>
    <n v="186.69"/>
    <n v="3"/>
    <n v="0"/>
    <n v="87.744299999999996"/>
  </r>
  <r>
    <n v="787"/>
    <s v="CA-2021-129567"/>
    <n v="17"/>
    <n v="3"/>
    <n v="2021"/>
    <s v="Second Class"/>
    <s v="CL-12565"/>
    <s v="clay ludtke"/>
    <s v="Consumer"/>
    <s v="United States-California-Lancaster"/>
    <s v="West"/>
    <n v="93534"/>
    <s v="OFF-BI-10000014"/>
    <x v="1"/>
    <s v="Binders"/>
    <s v="Heavy-Duty E-Z-D Binders"/>
    <n v="17.456"/>
    <n v="2"/>
    <n v="0.2"/>
    <n v="5.8914"/>
  </r>
  <r>
    <n v="788"/>
    <s v="CA-2019-154620"/>
    <n v="12"/>
    <n v="12"/>
    <n v="2019"/>
    <s v="Standard Class"/>
    <s v="LT-17110"/>
    <s v="liz thompson"/>
    <s v="Consumer"/>
    <s v="United States-California-Lancaster"/>
    <s v="West"/>
    <n v="93534"/>
    <s v="FUR-CH-10004675"/>
    <x v="0"/>
    <s v="Chairs"/>
    <s v="Lifetime Advantage Folding Chairs, 4/Carton"/>
    <n v="348.928"/>
    <n v="2"/>
    <n v="0.2"/>
    <n v="34.892800000000001"/>
  </r>
  <r>
    <n v="789"/>
    <s v="CA-2019-115938"/>
    <n v="26"/>
    <n v="6"/>
    <n v="2019"/>
    <s v="Standard Class"/>
    <s v="SA-20830"/>
    <s v="sue ann reed"/>
    <s v="Consumer"/>
    <s v="United States-Virginia-Richmond"/>
    <s v="South"/>
    <n v="23223"/>
    <s v="OFF-BI-10001543"/>
    <x v="1"/>
    <s v="Binders"/>
    <s v="GBC VeloBinder Manual Binding System"/>
    <n v="287.92"/>
    <n v="8"/>
    <n v="0"/>
    <n v="138.20160000000001"/>
  </r>
  <r>
    <n v="790"/>
    <s v="CA-2019-115938"/>
    <n v="26"/>
    <n v="6"/>
    <n v="2019"/>
    <s v="Standard Class"/>
    <s v="SA-20830"/>
    <s v="sue ann reed"/>
    <s v="Consumer"/>
    <s v="United States-Virginia-Richmond"/>
    <s v="South"/>
    <n v="23223"/>
    <s v="OFF-ST-10001321"/>
    <x v="1"/>
    <s v="Storage"/>
    <s v="Decoflex Hanging Personal Folder File, Blue"/>
    <n v="92.52"/>
    <n v="6"/>
    <n v="0"/>
    <n v="24.980399999999999"/>
  </r>
  <r>
    <n v="791"/>
    <s v="CA-2019-115938"/>
    <n v="26"/>
    <n v="6"/>
    <n v="2019"/>
    <s v="Standard Class"/>
    <s v="SA-20830"/>
    <s v="sue ann reed"/>
    <s v="Consumer"/>
    <s v="United States-Virginia-Richmond"/>
    <s v="South"/>
    <n v="23223"/>
    <s v="OFF-BI-10001132"/>
    <x v="1"/>
    <s v="Binders"/>
    <s v="Acco PRESSTEX Data Binder with Storage Hooks, Dark Blue, 9 1/2&quot; X 11&quot;"/>
    <n v="43.04"/>
    <n v="8"/>
    <n v="0"/>
    <n v="21.089600000000001"/>
  </r>
  <r>
    <n v="792"/>
    <s v="CA-2019-115938"/>
    <n v="26"/>
    <n v="6"/>
    <n v="2019"/>
    <s v="Standard Class"/>
    <s v="SA-20830"/>
    <s v="sue ann reed"/>
    <s v="Consumer"/>
    <s v="United States-Virginia-Richmond"/>
    <s v="South"/>
    <n v="23223"/>
    <s v="FUR-CH-10003199"/>
    <x v="0"/>
    <s v="Chairs"/>
    <s v="Office Star - Contemporary Task Swivel Chair"/>
    <n v="332.94"/>
    <n v="3"/>
    <n v="0"/>
    <n v="79.905600000000007"/>
  </r>
  <r>
    <n v="793"/>
    <s v="CA-2020-105256"/>
    <n v="20"/>
    <n v="5"/>
    <n v="2020"/>
    <s v="Same Day"/>
    <s v="JK-15730"/>
    <s v="joe kamberova"/>
    <s v="Consumer"/>
    <s v="United States-North Carolina-Asheville"/>
    <s v="South"/>
    <n v="28806"/>
    <s v="TEC-PH-10001530"/>
    <x v="2"/>
    <s v="Phones"/>
    <s v="Cisco Unified IP Phone 7945G VoIP phone"/>
    <n v="1363.96"/>
    <n v="5"/>
    <n v="0.2"/>
    <n v="85.247500000000002"/>
  </r>
  <r>
    <n v="794"/>
    <s v="CA-2018-156433"/>
    <n v="20"/>
    <n v="9"/>
    <n v="2018"/>
    <s v="Standard Class"/>
    <s v="ES-14020"/>
    <s v="erica smith"/>
    <s v="Consumer"/>
    <s v="United States-California-San Francisco"/>
    <s v="West"/>
    <n v="94110"/>
    <s v="OFF-LA-10001569"/>
    <x v="1"/>
    <s v="Labels"/>
    <s v="Avery 499"/>
    <n v="9.9600000000000009"/>
    <n v="2"/>
    <n v="0"/>
    <n v="4.5815999999999999"/>
  </r>
  <r>
    <n v="795"/>
    <s v="CA-2018-156433"/>
    <n v="20"/>
    <n v="9"/>
    <n v="2018"/>
    <s v="Standard Class"/>
    <s v="ES-14020"/>
    <s v="erica smith"/>
    <s v="Consumer"/>
    <s v="United States-California-San Francisco"/>
    <s v="West"/>
    <n v="94110"/>
    <s v="OFF-PA-10003724"/>
    <x v="1"/>
    <s v="Paper"/>
    <s v="Wirebound Message Book, 4 per Page"/>
    <n v="27.15"/>
    <n v="5"/>
    <n v="0"/>
    <n v="13.3035"/>
  </r>
  <r>
    <n v="796"/>
    <s v="CA-2021-151428"/>
    <n v="21"/>
    <n v="9"/>
    <n v="2021"/>
    <s v="Standard Class"/>
    <s v="RH-19495"/>
    <s v="rick hansen"/>
    <s v="Consumer"/>
    <s v="United States-Minnesota-Rochester"/>
    <s v="Central"/>
    <n v="55901"/>
    <s v="OFF-BI-10000546"/>
    <x v="1"/>
    <s v="Binders"/>
    <s v="Avery Durable Binders"/>
    <n v="2.88"/>
    <n v="1"/>
    <n v="0"/>
    <n v="1.4112"/>
  </r>
  <r>
    <n v="797"/>
    <s v="CA-2019-124653"/>
    <n v="24"/>
    <n v="12"/>
    <n v="2019"/>
    <s v="First Class"/>
    <s v="DB-13120"/>
    <s v="david bremer"/>
    <s v="Corporate"/>
    <s v="United States-New York-Rochester"/>
    <s v="East"/>
    <n v="14609"/>
    <s v="OFF-PA-10000176"/>
    <x v="1"/>
    <s v="Paper"/>
    <s v="Xerox 1887"/>
    <n v="132.79"/>
    <n v="7"/>
    <n v="0"/>
    <n v="63.739199999999997"/>
  </r>
  <r>
    <n v="798"/>
    <s v="CA-2019-124653"/>
    <n v="24"/>
    <n v="12"/>
    <n v="2019"/>
    <s v="First Class"/>
    <s v="DB-13120"/>
    <s v="david bremer"/>
    <s v="Corporate"/>
    <s v="United States-New York-Rochester"/>
    <s v="East"/>
    <n v="14609"/>
    <s v="OFF-PA-10002365"/>
    <x v="1"/>
    <s v="Paper"/>
    <s v="Xerox 1967"/>
    <n v="15.552"/>
    <n v="3"/>
    <n v="0.2"/>
    <n v="5.4432"/>
  </r>
  <r>
    <n v="799"/>
    <s v="CA-2019-124653"/>
    <n v="24"/>
    <n v="12"/>
    <n v="2019"/>
    <s v="First Class"/>
    <s v="DB-13120"/>
    <s v="david bremer"/>
    <s v="Corporate"/>
    <s v="United States-New York-Rochester"/>
    <s v="East"/>
    <n v="14609"/>
    <s v="OFF-LA-10002271"/>
    <x v="1"/>
    <s v="Labels"/>
    <s v="Smead Alpha-Z Color-Coded Second Alphabetical Labels and Starter Set"/>
    <n v="21.56"/>
    <n v="7"/>
    <n v="0"/>
    <n v="10.348800000000001"/>
  </r>
  <r>
    <n v="800"/>
    <s v="CA-2019-101910"/>
    <n v="27"/>
    <n v="11"/>
    <n v="2019"/>
    <s v="Standard Class"/>
    <s v="CD-11920"/>
    <s v="carlos daly"/>
    <s v="Consumer"/>
    <s v="United States-California-Lake Elsinore"/>
    <s v="West"/>
    <n v="92530"/>
    <s v="FUR-CH-10002647"/>
    <x v="0"/>
    <s v="Chairs"/>
    <s v="Situations Contoured Folding Chairs, 4/Set"/>
    <n v="283.92"/>
    <n v="4"/>
    <n v="0"/>
    <n v="70.98"/>
  </r>
  <r>
    <n v="801"/>
    <s v="CA-2021-105809"/>
    <n v="20"/>
    <n v="2"/>
    <n v="2021"/>
    <s v="First Class"/>
    <s v="HW-14935"/>
    <s v="helen wasserman"/>
    <s v="Corporate"/>
    <s v="United States-California-San Diego"/>
    <s v="West"/>
    <n v="92105"/>
    <s v="FUR-FU-10004090"/>
    <x v="0"/>
    <s v="Furnishings"/>
    <s v="Executive Impressions 14&quot; Contract Wall Clock"/>
    <n v="22.23"/>
    <n v="1"/>
    <n v="0"/>
    <n v="7.3358999999999996"/>
  </r>
  <r>
    <n v="802"/>
    <s v="CA-2021-105809"/>
    <n v="20"/>
    <n v="2"/>
    <n v="2021"/>
    <s v="First Class"/>
    <s v="HW-14935"/>
    <s v="helen wasserman"/>
    <s v="Corporate"/>
    <s v="United States-California-San Diego"/>
    <s v="West"/>
    <n v="92105"/>
    <s v="TEC-PH-10001580"/>
    <x v="2"/>
    <s v="Phones"/>
    <s v="Logitech Mobile Speakerphone P710e - speaker phone"/>
    <n v="647.904"/>
    <n v="6"/>
    <n v="0.2"/>
    <n v="56.691600000000001"/>
  </r>
  <r>
    <n v="803"/>
    <s v="CA-2020-136133"/>
    <n v="18"/>
    <n v="8"/>
    <n v="2020"/>
    <s v="Second Class"/>
    <s v="HW-14935"/>
    <s v="helen wasserman"/>
    <s v="Corporate"/>
    <s v="United States-New York-New York City"/>
    <s v="East"/>
    <n v="10024"/>
    <s v="OFF-AP-10000576"/>
    <x v="1"/>
    <s v="Appliances"/>
    <s v="Belkin 7 Outlet SurgeMaster II"/>
    <n v="355.32"/>
    <n v="9"/>
    <n v="0"/>
    <n v="99.489599999999996"/>
  </r>
  <r>
    <n v="804"/>
    <s v="CA-2020-115504"/>
    <n v="12"/>
    <n v="3"/>
    <n v="2020"/>
    <s v="Standard Class"/>
    <s v="MC-18130"/>
    <s v="mike caudle"/>
    <s v="Corporate"/>
    <s v="United States-Louisiana-Monroe"/>
    <s v="South"/>
    <n v="71203"/>
    <s v="OFF-PA-10003953"/>
    <x v="1"/>
    <s v="Paper"/>
    <s v="Xerox 218"/>
    <n v="12.96"/>
    <n v="2"/>
    <n v="0"/>
    <n v="6.2207999999999997"/>
  </r>
  <r>
    <n v="805"/>
    <s v="CA-2021-135783"/>
    <n v="22"/>
    <n v="4"/>
    <n v="2021"/>
    <s v="First Class"/>
    <s v="GM-14440"/>
    <s v="gary mcgarr"/>
    <s v="Consumer"/>
    <s v="United States-California-San Francisco"/>
    <s v="West"/>
    <n v="94122"/>
    <s v="FUR-FU-10000794"/>
    <x v="0"/>
    <s v="Furnishings"/>
    <s v="Eldon Stackable Tray, Side-Load, Legal, Smoke"/>
    <n v="18.28"/>
    <n v="2"/>
    <n v="0"/>
    <n v="6.2152000000000003"/>
  </r>
  <r>
    <n v="806"/>
    <s v="CA-2018-134313"/>
    <n v="1"/>
    <n v="11"/>
    <n v="2018"/>
    <s v="Standard Class"/>
    <s v="RA-19915"/>
    <s v="russell applegate"/>
    <s v="Consumer"/>
    <s v="United States-Colorado-Denver"/>
    <s v="West"/>
    <n v="80219"/>
    <s v="OFF-AR-10001897"/>
    <x v="1"/>
    <s v="Art"/>
    <s v="Model L Table or Wall-Mount Pencil Sharpener"/>
    <n v="43.176000000000002"/>
    <n v="3"/>
    <n v="0.2"/>
    <n v="4.3175999999999997"/>
  </r>
  <r>
    <n v="807"/>
    <s v="CA-2018-134313"/>
    <n v="1"/>
    <n v="11"/>
    <n v="2018"/>
    <s v="Standard Class"/>
    <s v="RA-19915"/>
    <s v="russell applegate"/>
    <s v="Consumer"/>
    <s v="United States-Colorado-Denver"/>
    <s v="West"/>
    <n v="80219"/>
    <s v="TEC-PH-10001795"/>
    <x v="2"/>
    <s v="Phones"/>
    <s v="ClearOne CHATAttach 160 - speaker phone"/>
    <n v="1983.9680000000001"/>
    <n v="4"/>
    <n v="0.2"/>
    <n v="247.99600000000001"/>
  </r>
  <r>
    <n v="808"/>
    <s v="CA-2019-140921"/>
    <n v="3"/>
    <n v="2"/>
    <n v="2019"/>
    <s v="First Class"/>
    <s v="AA-10375"/>
    <s v="allen armold"/>
    <s v="Consumer"/>
    <s v="United States-Nebraska-Omaha"/>
    <s v="Central"/>
    <n v="68104"/>
    <s v="FUR-FU-10003347"/>
    <x v="0"/>
    <s v="Furnishings"/>
    <s v="Coloredge Poster Frame"/>
    <n v="28.4"/>
    <n v="2"/>
    <n v="0"/>
    <n v="11.076000000000001"/>
  </r>
  <r>
    <n v="809"/>
    <s v="CA-2019-140921"/>
    <n v="3"/>
    <n v="2"/>
    <n v="2019"/>
    <s v="First Class"/>
    <s v="AA-10375"/>
    <s v="allen armold"/>
    <s v="Consumer"/>
    <s v="United States-Nebraska-Omaha"/>
    <s v="Central"/>
    <n v="68104"/>
    <s v="TEC-AC-10004901"/>
    <x v="2"/>
    <s v="Accessories"/>
    <s v="Kensington SlimBlade Notebook Wireless Mouse with Nano Receiver"/>
    <n v="149.97"/>
    <n v="3"/>
    <n v="0"/>
    <n v="50.989800000000002"/>
  </r>
  <r>
    <n v="810"/>
    <s v="CA-2018-151995"/>
    <n v="13"/>
    <n v="10"/>
    <n v="2018"/>
    <s v="First Class"/>
    <s v="ZC-21910"/>
    <s v="zuschuss carroll"/>
    <s v="Consumer"/>
    <s v="United States-Washington-Edmonds"/>
    <s v="West"/>
    <n v="98026"/>
    <s v="OFF-AR-10003190"/>
    <x v="1"/>
    <s v="Art"/>
    <s v="Newell 32"/>
    <n v="11.52"/>
    <n v="4"/>
    <n v="0"/>
    <n v="3.2256"/>
  </r>
  <r>
    <n v="811"/>
    <s v="CA-2018-151995"/>
    <n v="13"/>
    <n v="10"/>
    <n v="2018"/>
    <s v="First Class"/>
    <s v="ZC-21910"/>
    <s v="zuschuss carroll"/>
    <s v="Consumer"/>
    <s v="United States-Washington-Edmonds"/>
    <s v="West"/>
    <n v="98026"/>
    <s v="FUR-TA-10002903"/>
    <x v="0"/>
    <s v="Tables"/>
    <s v="Bevis Round Bullnose 29&quot; High Table Top"/>
    <n v="1038.8399999999999"/>
    <n v="5"/>
    <n v="0.2"/>
    <n v="51.942"/>
  </r>
  <r>
    <n v="812"/>
    <s v="CA-2018-151995"/>
    <n v="13"/>
    <n v="10"/>
    <n v="2018"/>
    <s v="First Class"/>
    <s v="ZC-21910"/>
    <s v="zuschuss carroll"/>
    <s v="Consumer"/>
    <s v="United States-Washington-Edmonds"/>
    <s v="West"/>
    <n v="98026"/>
    <s v="OFF-AP-10000240"/>
    <x v="1"/>
    <s v="Appliances"/>
    <s v="Belkin F9G930V10-GRY 9 Outlet Surge"/>
    <n v="213.92"/>
    <n v="4"/>
    <n v="0"/>
    <n v="62.036799999999999"/>
  </r>
  <r>
    <n v="813"/>
    <s v="CA-2018-151995"/>
    <n v="13"/>
    <n v="10"/>
    <n v="2018"/>
    <s v="First Class"/>
    <s v="ZC-21910"/>
    <s v="zuschuss carroll"/>
    <s v="Consumer"/>
    <s v="United States-Washington-Edmonds"/>
    <s v="West"/>
    <n v="98026"/>
    <s v="TEC-AC-10001101"/>
    <x v="2"/>
    <s v="Accessories"/>
    <s v="Sony 16GB Class 10 Micro SDHC R40 Memory Card"/>
    <n v="103.12"/>
    <n v="8"/>
    <n v="0"/>
    <n v="10.311999999999999"/>
  </r>
  <r>
    <n v="814"/>
    <s v="CA-2021-143686"/>
    <n v="14"/>
    <n v="5"/>
    <n v="2021"/>
    <s v="Same Day"/>
    <s v="PJ-19015"/>
    <s v="pauline johnson"/>
    <s v="Consumer"/>
    <s v="United States-California-Santa Ana"/>
    <s v="West"/>
    <n v="92704"/>
    <s v="FUR-FU-10000794"/>
    <x v="0"/>
    <s v="Furnishings"/>
    <s v="Eldon Stackable Tray, Side-Load, Legal, Smoke"/>
    <n v="18.28"/>
    <n v="2"/>
    <n v="0"/>
    <n v="6.2152000000000003"/>
  </r>
  <r>
    <n v="815"/>
    <s v="CA-2021-143686"/>
    <n v="14"/>
    <n v="5"/>
    <n v="2021"/>
    <s v="Same Day"/>
    <s v="PJ-19015"/>
    <s v="pauline johnson"/>
    <s v="Consumer"/>
    <s v="United States-California-Santa Ana"/>
    <s v="West"/>
    <n v="92704"/>
    <s v="TEC-AC-10001838"/>
    <x v="2"/>
    <s v="Accessories"/>
    <s v="Razer Tiamat Over Ear 7.1 Surround Sound PC Gaming Headset"/>
    <n v="1399.93"/>
    <n v="7"/>
    <n v="0"/>
    <n v="601.96990000000005"/>
  </r>
  <r>
    <n v="816"/>
    <s v="CA-2019-106565"/>
    <n v="20"/>
    <n v="3"/>
    <n v="2019"/>
    <s v="First Class"/>
    <s v="BW-11110"/>
    <s v="bart watters"/>
    <s v="Corporate"/>
    <s v="United States-Wisconsin-Milwaukee"/>
    <s v="Central"/>
    <n v="53209"/>
    <s v="OFF-PA-10000061"/>
    <x v="1"/>
    <s v="Paper"/>
    <s v="Xerox 205"/>
    <n v="51.84"/>
    <n v="8"/>
    <n v="0"/>
    <n v="24.883199999999999"/>
  </r>
  <r>
    <n v="817"/>
    <s v="CA-2020-149370"/>
    <n v="15"/>
    <n v="9"/>
    <n v="2020"/>
    <s v="Standard Class"/>
    <s v="DB-13210"/>
    <s v="dean braden"/>
    <s v="Consumer"/>
    <s v="United States-Pennsylvania-Philadelphia"/>
    <s v="East"/>
    <n v="19140"/>
    <s v="OFF-PA-10003651"/>
    <x v="1"/>
    <s v="Paper"/>
    <s v="Xerox 1968"/>
    <n v="5.3440000000000003"/>
    <n v="1"/>
    <n v="0.2"/>
    <n v="1.8704000000000001"/>
  </r>
  <r>
    <n v="818"/>
    <s v="CA-2018-140858"/>
    <n v="28"/>
    <n v="6"/>
    <n v="2018"/>
    <s v="Standard Class"/>
    <s v="CA-12775"/>
    <s v="cynthia arntzen"/>
    <s v="Consumer"/>
    <s v="United States-Pennsylvania-Philadelphia"/>
    <s v="East"/>
    <n v="19140"/>
    <s v="OFF-PA-10000304"/>
    <x v="1"/>
    <s v="Paper"/>
    <s v="Xerox 1995"/>
    <n v="6.48"/>
    <n v="1"/>
    <n v="0"/>
    <n v="3.1103999999999998"/>
  </r>
  <r>
    <n v="819"/>
    <s v="CA-2018-140858"/>
    <n v="28"/>
    <n v="6"/>
    <n v="2018"/>
    <s v="Standard Class"/>
    <s v="CA-12775"/>
    <s v="cynthia arntzen"/>
    <s v="Consumer"/>
    <s v="United States-Pennsylvania-Philadelphia"/>
    <s v="East"/>
    <n v="19140"/>
    <s v="OFF-BI-10003094"/>
    <x v="1"/>
    <s v="Binders"/>
    <s v="Self-Adhesive Ring Binder Labels"/>
    <n v="3.1680000000000001"/>
    <n v="3"/>
    <n v="0.7"/>
    <n v="-2.4287999999999998"/>
  </r>
  <r>
    <n v="820"/>
    <s v="CA-2018-140858"/>
    <n v="28"/>
    <n v="6"/>
    <n v="2018"/>
    <s v="Standard Class"/>
    <s v="CA-12775"/>
    <s v="cynthia arntzen"/>
    <s v="Consumer"/>
    <s v="United States-Pennsylvania-Philadelphia"/>
    <s v="East"/>
    <n v="19140"/>
    <s v="FUR-CH-10001394"/>
    <x v="0"/>
    <s v="Chairs"/>
    <s v="Global Leather Executive Chair"/>
    <n v="1228.4649999999999"/>
    <n v="5"/>
    <n v="0.3"/>
    <n v="0"/>
  </r>
  <r>
    <n v="821"/>
    <s v="CA-2018-140858"/>
    <n v="28"/>
    <n v="6"/>
    <n v="2018"/>
    <s v="Standard Class"/>
    <s v="CA-12775"/>
    <s v="cynthia arntzen"/>
    <s v="Consumer"/>
    <s v="United States-Pennsylvania-Philadelphia"/>
    <s v="East"/>
    <n v="19140"/>
    <s v="OFF-BI-10004230"/>
    <x v="1"/>
    <s v="Binders"/>
    <s v="GBC Recycled Grain Textured Covers"/>
    <n v="31.085999999999999"/>
    <n v="3"/>
    <n v="0.7"/>
    <n v="-22.796399999999998"/>
  </r>
  <r>
    <n v="822"/>
    <s v="CA-2018-140858"/>
    <n v="28"/>
    <n v="6"/>
    <n v="2018"/>
    <s v="Standard Class"/>
    <s v="CA-12775"/>
    <s v="cynthia arntzen"/>
    <s v="Consumer"/>
    <s v="United States-Pennsylvania-Philadelphia"/>
    <s v="East"/>
    <n v="19140"/>
    <s v="OFF-PA-10003395"/>
    <x v="1"/>
    <s v="Paper"/>
    <s v="Xerox 1941"/>
    <n v="335.52"/>
    <n v="4"/>
    <n v="0.2"/>
    <n v="117.432"/>
  </r>
  <r>
    <n v="823"/>
    <s v="CA-2021-101434"/>
    <n v="20"/>
    <n v="6"/>
    <n v="2021"/>
    <s v="Standard Class"/>
    <s v="TR-21325"/>
    <s v="toby ritter"/>
    <s v="Consumer"/>
    <s v="United States-New Jersey-Belleville"/>
    <s v="East"/>
    <n v="7109"/>
    <s v="TEC-AC-10002402"/>
    <x v="2"/>
    <s v="Accessories"/>
    <s v="Razer Kraken PRO Over Ear PC and Music Headset"/>
    <n v="239.97"/>
    <n v="3"/>
    <n v="0"/>
    <n v="71.991"/>
  </r>
  <r>
    <n v="824"/>
    <s v="CA-2021-101434"/>
    <n v="20"/>
    <n v="6"/>
    <n v="2021"/>
    <s v="Standard Class"/>
    <s v="TR-21325"/>
    <s v="toby ritter"/>
    <s v="Consumer"/>
    <s v="United States-New Jersey-Belleville"/>
    <s v="East"/>
    <n v="7109"/>
    <s v="OFF-LA-10003223"/>
    <x v="1"/>
    <s v="Labels"/>
    <s v="Avery 508"/>
    <n v="11.784000000000001"/>
    <n v="3"/>
    <n v="0.2"/>
    <n v="4.2717000000000001"/>
  </r>
  <r>
    <n v="825"/>
    <s v="US-2018-102071"/>
    <n v="9"/>
    <n v="5"/>
    <n v="2018"/>
    <s v="Standard Class"/>
    <s v="PG-18820"/>
    <s v="patrick gardner"/>
    <s v="Consumer"/>
    <s v="United States-California-San Francisco"/>
    <s v="West"/>
    <n v="94110"/>
    <s v="TEC-AC-10003441"/>
    <x v="2"/>
    <s v="Accessories"/>
    <s v="Kingston Digital DataTraveler 32GB USB 2.0"/>
    <n v="67.8"/>
    <n v="4"/>
    <n v="0"/>
    <n v="4.0679999999999996"/>
  </r>
  <r>
    <n v="826"/>
    <s v="US-2018-102071"/>
    <n v="9"/>
    <n v="5"/>
    <n v="2018"/>
    <s v="Standard Class"/>
    <s v="PG-18820"/>
    <s v="patrick gardner"/>
    <s v="Consumer"/>
    <s v="United States-California-San Francisco"/>
    <s v="West"/>
    <n v="94110"/>
    <s v="TEC-AC-10000109"/>
    <x v="2"/>
    <s v="Accessories"/>
    <s v="Sony Micro Vault Click 16 GB USB 2.0 Flash Drive"/>
    <n v="89.584000000000003"/>
    <n v="2"/>
    <n v="0.2"/>
    <n v="4.4791999999999996"/>
  </r>
  <r>
    <n v="827"/>
    <s v="CA-2021-126956"/>
    <n v="21"/>
    <n v="8"/>
    <n v="2021"/>
    <s v="Standard Class"/>
    <s v="GT-14710"/>
    <s v="greg tran"/>
    <s v="Consumer"/>
    <s v="United States-Minnesota-Lakeville"/>
    <s v="Central"/>
    <n v="55044"/>
    <s v="OFF-FA-10002280"/>
    <x v="1"/>
    <s v="Fasteners"/>
    <s v="Advantus Plastic Paper Clips"/>
    <n v="35"/>
    <n v="7"/>
    <n v="0"/>
    <n v="16.8"/>
  </r>
  <r>
    <n v="828"/>
    <s v="CA-2021-126956"/>
    <n v="21"/>
    <n v="8"/>
    <n v="2021"/>
    <s v="Standard Class"/>
    <s v="GT-14710"/>
    <s v="greg tran"/>
    <s v="Consumer"/>
    <s v="United States-Minnesota-Lakeville"/>
    <s v="Central"/>
    <n v="55044"/>
    <s v="OFF-SU-10000381"/>
    <x v="1"/>
    <s v="Supplies"/>
    <s v="Acme Forged Steel Scissors with Black Enamel Handles"/>
    <n v="37.24"/>
    <n v="4"/>
    <n v="0"/>
    <n v="10.7996"/>
  </r>
  <r>
    <n v="829"/>
    <s v="CA-2021-126956"/>
    <n v="21"/>
    <n v="8"/>
    <n v="2021"/>
    <s v="Standard Class"/>
    <s v="GT-14710"/>
    <s v="greg tran"/>
    <s v="Consumer"/>
    <s v="United States-Minnesota-Lakeville"/>
    <s v="Central"/>
    <n v="55044"/>
    <s v="OFF-EN-10004459"/>
    <x v="1"/>
    <s v="Envelopes"/>
    <s v="Security-Tint Envelopes"/>
    <n v="15.28"/>
    <n v="2"/>
    <n v="0"/>
    <n v="7.4871999999999996"/>
  </r>
  <r>
    <n v="830"/>
    <s v="CA-2021-129462"/>
    <n v="16"/>
    <n v="6"/>
    <n v="2021"/>
    <s v="Second Class"/>
    <s v="JE-15745"/>
    <s v="joel eaton"/>
    <s v="Consumer"/>
    <s v="United States-Kentucky-Florence"/>
    <s v="South"/>
    <n v="41042"/>
    <s v="FUR-CH-10000665"/>
    <x v="0"/>
    <s v="Chairs"/>
    <s v="Global Airflow Leather Mesh Back Chair, Black"/>
    <n v="301.95999999999998"/>
    <n v="2"/>
    <n v="0"/>
    <n v="90.587999999999994"/>
  </r>
  <r>
    <n v="831"/>
    <s v="CA-2021-129462"/>
    <n v="16"/>
    <n v="6"/>
    <n v="2021"/>
    <s v="Second Class"/>
    <s v="JE-15745"/>
    <s v="joel eaton"/>
    <s v="Consumer"/>
    <s v="United States-Kentucky-Florence"/>
    <s v="South"/>
    <n v="41042"/>
    <s v="OFF-AP-10003884"/>
    <x v="1"/>
    <s v="Appliances"/>
    <s v="Fellowes Smart Surge Ten-Outlet Protector, Platinum"/>
    <n v="180.66"/>
    <n v="3"/>
    <n v="0"/>
    <n v="50.584800000000001"/>
  </r>
  <r>
    <n v="832"/>
    <s v="CA-2021-129462"/>
    <n v="16"/>
    <n v="6"/>
    <n v="2021"/>
    <s v="Second Class"/>
    <s v="JE-15745"/>
    <s v="joel eaton"/>
    <s v="Consumer"/>
    <s v="United States-Kentucky-Florence"/>
    <s v="South"/>
    <n v="41042"/>
    <s v="TEC-PH-10001557"/>
    <x v="2"/>
    <s v="Phones"/>
    <s v="Pyle PMP37LED"/>
    <n v="191.98"/>
    <n v="2"/>
    <n v="0"/>
    <n v="51.834600000000002"/>
  </r>
  <r>
    <n v="833"/>
    <s v="CA-2021-129462"/>
    <n v="16"/>
    <n v="6"/>
    <n v="2021"/>
    <s v="Second Class"/>
    <s v="JE-15745"/>
    <s v="joel eaton"/>
    <s v="Consumer"/>
    <s v="United States-Kentucky-Florence"/>
    <s v="South"/>
    <n v="41042"/>
    <s v="TEC-PH-10002085"/>
    <x v="2"/>
    <s v="Phones"/>
    <s v="Clarity 53712"/>
    <n v="65.989999999999995"/>
    <n v="1"/>
    <n v="0"/>
    <n v="17.157399999999999"/>
  </r>
  <r>
    <n v="834"/>
    <s v="CA-2020-165316"/>
    <n v="23"/>
    <n v="7"/>
    <n v="2020"/>
    <s v="Standard Class"/>
    <s v="JB-15400"/>
    <s v="jennifer braxton"/>
    <s v="Corporate"/>
    <s v="United States-Florida-Tampa"/>
    <s v="South"/>
    <n v="33614"/>
    <s v="OFF-AR-10002956"/>
    <x v="1"/>
    <s v="Art"/>
    <s v="Boston 16801 Nautilus Battery Pencil Sharpener"/>
    <n v="35.216000000000001"/>
    <n v="2"/>
    <n v="0.2"/>
    <n v="2.6412"/>
  </r>
  <r>
    <n v="835"/>
    <s v="CA-2020-165316"/>
    <n v="23"/>
    <n v="7"/>
    <n v="2020"/>
    <s v="Standard Class"/>
    <s v="JB-15400"/>
    <s v="jennifer braxton"/>
    <s v="Corporate"/>
    <s v="United States-Florida-Tampa"/>
    <s v="South"/>
    <n v="33614"/>
    <s v="OFF-AP-10003266"/>
    <x v="1"/>
    <s v="Appliances"/>
    <s v="Holmes Replacement Filter for HEPA Air Cleaner, Large Room"/>
    <n v="23.696000000000002"/>
    <n v="2"/>
    <n v="0.2"/>
    <n v="6.5164"/>
  </r>
  <r>
    <n v="836"/>
    <s v="CA-2020-165316"/>
    <n v="23"/>
    <n v="7"/>
    <n v="2020"/>
    <s v="Standard Class"/>
    <s v="JB-15400"/>
    <s v="jennifer braxton"/>
    <s v="Corporate"/>
    <s v="United States-Florida-Tampa"/>
    <s v="South"/>
    <n v="33614"/>
    <s v="TEC-MA-10004002"/>
    <x v="2"/>
    <s v="Machines"/>
    <s v="Zebra GX420t Direct Thermal/Thermal Transfer Printer"/>
    <n v="265.47500000000002"/>
    <n v="1"/>
    <n v="0.5"/>
    <n v="-111.4995"/>
  </r>
  <r>
    <n v="837"/>
    <s v="US-2018-115987"/>
    <n v="8"/>
    <n v="9"/>
    <n v="2018"/>
    <s v="Second Class"/>
    <s v="LH-17020"/>
    <s v="lisa hazard"/>
    <s v="Consumer"/>
    <s v="United States-Texas-Tyler"/>
    <s v="Central"/>
    <n v="75701"/>
    <s v="OFF-BI-10001071"/>
    <x v="1"/>
    <s v="Binders"/>
    <s v="GBC ProClick Punch Binding System"/>
    <n v="51.183999999999997"/>
    <n v="4"/>
    <n v="0.8"/>
    <n v="-79.3352"/>
  </r>
  <r>
    <n v="838"/>
    <s v="US-2021-156083"/>
    <n v="4"/>
    <n v="11"/>
    <n v="2021"/>
    <s v="Standard Class"/>
    <s v="JL-15175"/>
    <s v="james lanier"/>
    <s v="Home Office"/>
    <s v="United States-Tennessee-Columbia"/>
    <s v="South"/>
    <n v="38401"/>
    <s v="OFF-PA-10001560"/>
    <x v="1"/>
    <s v="Paper"/>
    <s v="Adams Telephone Message Books, 5 1/4” x 11”"/>
    <n v="9.6639999999999997"/>
    <n v="2"/>
    <n v="0.2"/>
    <n v="3.2616000000000001"/>
  </r>
  <r>
    <n v="839"/>
    <s v="US-2020-137547"/>
    <n v="7"/>
    <n v="3"/>
    <n v="2020"/>
    <s v="Standard Class"/>
    <s v="EB-13705"/>
    <s v="ed braxton"/>
    <s v="Corporate"/>
    <s v="United States-Texas-Fort Worth"/>
    <s v="Central"/>
    <n v="76106"/>
    <s v="TEC-PH-10002365"/>
    <x v="2"/>
    <s v="Phones"/>
    <s v="Belkin Grip Candy Sheer Case / Cover for iPhone 5 and 5S"/>
    <n v="35.119999999999997"/>
    <n v="4"/>
    <n v="0"/>
    <n v="9.1311999999999998"/>
  </r>
  <r>
    <n v="840"/>
    <s v="CA-2019-100454"/>
    <n v="20"/>
    <n v="11"/>
    <n v="2019"/>
    <s v="Standard Class"/>
    <s v="BM-11650"/>
    <s v="brian moss"/>
    <s v="Corporate"/>
    <s v="United States-New York-New York City"/>
    <s v="East"/>
    <n v="10035"/>
    <s v="OFF-AR-10004648"/>
    <x v="1"/>
    <s v="Art"/>
    <s v="Boston 19500 Mighty Mite Electric Pencil Sharpener"/>
    <n v="40.299999999999997"/>
    <n v="2"/>
    <n v="0"/>
    <n v="10.881"/>
  </r>
  <r>
    <n v="841"/>
    <s v="CA-2019-100454"/>
    <n v="20"/>
    <n v="11"/>
    <n v="2019"/>
    <s v="Standard Class"/>
    <s v="BM-11650"/>
    <s v="brian moss"/>
    <s v="Corporate"/>
    <s v="United States-New York-New York City"/>
    <s v="East"/>
    <n v="10035"/>
    <s v="OFF-AR-10002578"/>
    <x v="1"/>
    <s v="Art"/>
    <s v="Newell 335"/>
    <n v="11.52"/>
    <n v="4"/>
    <n v="0"/>
    <n v="3.3408000000000002"/>
  </r>
  <r>
    <n v="842"/>
    <s v="CA-2019-100454"/>
    <n v="20"/>
    <n v="11"/>
    <n v="2019"/>
    <s v="Standard Class"/>
    <s v="BM-11650"/>
    <s v="brian moss"/>
    <s v="Corporate"/>
    <s v="United States-New York-New York City"/>
    <s v="East"/>
    <n v="10035"/>
    <s v="FUR-BO-10001519"/>
    <x v="0"/>
    <s v="Bookcases"/>
    <s v="O'Sullivan 3-Shelf Heavy-Duty Bookcases"/>
    <n v="186.048"/>
    <n v="4"/>
    <n v="0.2"/>
    <n v="9.3024000000000004"/>
  </r>
  <r>
    <n v="843"/>
    <s v="CA-2020-161669"/>
    <n v="7"/>
    <n v="11"/>
    <n v="2020"/>
    <s v="First Class"/>
    <s v="EM-14095"/>
    <s v="eudokia martin"/>
    <s v="Corporate"/>
    <s v="United States-California-Los Angeles"/>
    <s v="West"/>
    <n v="90036"/>
    <s v="OFF-BI-10001294"/>
    <x v="1"/>
    <s v="Binders"/>
    <s v="Fellowes Binding Cases"/>
    <n v="37.44"/>
    <n v="4"/>
    <n v="0.2"/>
    <n v="11.7"/>
  </r>
  <r>
    <n v="844"/>
    <s v="CA-2020-161669"/>
    <n v="7"/>
    <n v="11"/>
    <n v="2020"/>
    <s v="First Class"/>
    <s v="EM-14095"/>
    <s v="eudokia martin"/>
    <s v="Corporate"/>
    <s v="United States-California-Los Angeles"/>
    <s v="West"/>
    <n v="90036"/>
    <s v="OFF-BI-10001636"/>
    <x v="1"/>
    <s v="Binders"/>
    <s v="Ibico Plastic and Wire Spiral Binding Combs"/>
    <n v="26.975999999999999"/>
    <n v="4"/>
    <n v="0.2"/>
    <n v="8.7672000000000008"/>
  </r>
  <r>
    <n v="845"/>
    <s v="CA-2020-161669"/>
    <n v="7"/>
    <n v="11"/>
    <n v="2020"/>
    <s v="First Class"/>
    <s v="EM-14095"/>
    <s v="eudokia martin"/>
    <s v="Corporate"/>
    <s v="United States-California-Los Angeles"/>
    <s v="West"/>
    <n v="90036"/>
    <s v="OFF-SU-10002503"/>
    <x v="1"/>
    <s v="Supplies"/>
    <s v="Acme Preferred Stainless Steel Scissors"/>
    <n v="11.36"/>
    <n v="2"/>
    <n v="0"/>
    <n v="3.2944"/>
  </r>
  <r>
    <n v="846"/>
    <s v="CA-2020-161669"/>
    <n v="7"/>
    <n v="11"/>
    <n v="2020"/>
    <s v="First Class"/>
    <s v="EM-14095"/>
    <s v="eudokia martin"/>
    <s v="Corporate"/>
    <s v="United States-California-Los Angeles"/>
    <s v="West"/>
    <n v="90036"/>
    <s v="OFF-LA-10004093"/>
    <x v="1"/>
    <s v="Labels"/>
    <s v="Avery 486"/>
    <n v="14.62"/>
    <n v="2"/>
    <n v="0"/>
    <n v="6.8714000000000004"/>
  </r>
  <r>
    <n v="847"/>
    <s v="CA-2019-114300"/>
    <n v="13"/>
    <n v="10"/>
    <n v="2019"/>
    <s v="Standard Class"/>
    <s v="AF-10885"/>
    <s v="art foster"/>
    <s v="Consumer"/>
    <s v="United States-Kentucky-Louisville"/>
    <s v="South"/>
    <n v="40214"/>
    <s v="TEC-PH-10001552"/>
    <x v="2"/>
    <s v="Phones"/>
    <s v="I Need's 3d Hello Kitty Hybrid Silicone Case Cover for HTC One X 4g with 3d Hello Kitty Stylus Pen Green/pink"/>
    <n v="71.760000000000005"/>
    <n v="6"/>
    <n v="0"/>
    <n v="20.0928"/>
  </r>
  <r>
    <n v="848"/>
    <s v="CA-2019-114300"/>
    <n v="13"/>
    <n v="10"/>
    <n v="2019"/>
    <s v="Standard Class"/>
    <s v="AF-10885"/>
    <s v="art foster"/>
    <s v="Consumer"/>
    <s v="United States-Kentucky-Louisville"/>
    <s v="South"/>
    <n v="40214"/>
    <s v="FUR-CH-10001891"/>
    <x v="0"/>
    <s v="Chairs"/>
    <s v="Global Deluxe Office Fabric Chairs"/>
    <n v="230.352"/>
    <n v="3"/>
    <n v="0.2"/>
    <n v="20.155799999999999"/>
  </r>
  <r>
    <n v="849"/>
    <s v="CA-2021-107503"/>
    <n v="1"/>
    <n v="1"/>
    <n v="2021"/>
    <s v="Standard Class"/>
    <s v="GA-14725"/>
    <s v="guy armstrong"/>
    <s v="Consumer"/>
    <s v="United States-Ohio-Lorain"/>
    <s v="East"/>
    <n v="44052"/>
    <s v="FUR-FU-10003878"/>
    <x v="0"/>
    <s v="Furnishings"/>
    <s v="Linden 10&quot; Round Wall Clock, Black"/>
    <n v="48.896000000000001"/>
    <n v="4"/>
    <n v="0.2"/>
    <n v="8.5568000000000008"/>
  </r>
  <r>
    <n v="850"/>
    <s v="CA-2018-107755"/>
    <n v="7"/>
    <n v="2"/>
    <n v="2018"/>
    <s v="Standard Class"/>
    <s v="CK-12760"/>
    <s v="cyma kinney"/>
    <s v="Corporate"/>
    <s v="United States-New Jersey-Linden"/>
    <s v="East"/>
    <n v="7036"/>
    <s v="TEC-AC-10000710"/>
    <x v="2"/>
    <s v="Accessories"/>
    <s v="Maxell DVD-RAM Discs"/>
    <n v="115.36"/>
    <n v="7"/>
    <n v="0"/>
    <n v="49.604799999999997"/>
  </r>
  <r>
    <n v="851"/>
    <s v="CA-2020-152534"/>
    <n v="20"/>
    <n v="6"/>
    <n v="2020"/>
    <s v="Second Class"/>
    <s v="DP-13105"/>
    <s v="dave poirier"/>
    <s v="Corporate"/>
    <s v="United States-California-Salinas"/>
    <s v="West"/>
    <n v="93905"/>
    <s v="OFF-AR-10002335"/>
    <x v="1"/>
    <s v="Art"/>
    <s v="DIXON Oriole Pencils"/>
    <n v="5.16"/>
    <n v="2"/>
    <n v="0"/>
    <n v="1.3415999999999999"/>
  </r>
  <r>
    <n v="852"/>
    <s v="CA-2020-152534"/>
    <n v="20"/>
    <n v="6"/>
    <n v="2020"/>
    <s v="Second Class"/>
    <s v="DP-13105"/>
    <s v="dave poirier"/>
    <s v="Corporate"/>
    <s v="United States-California-Salinas"/>
    <s v="West"/>
    <n v="93905"/>
    <s v="OFF-PA-10001870"/>
    <x v="1"/>
    <s v="Paper"/>
    <s v="Xerox 202"/>
    <n v="38.880000000000003"/>
    <n v="6"/>
    <n v="0"/>
    <n v="18.662400000000002"/>
  </r>
  <r>
    <n v="853"/>
    <s v="CA-2020-113747"/>
    <n v="28"/>
    <n v="5"/>
    <n v="2020"/>
    <s v="Standard Class"/>
    <s v="VD-21670"/>
    <s v="valerie dominguez"/>
    <s v="Consumer"/>
    <s v="United States-Mississippi-Jackson"/>
    <s v="South"/>
    <n v="39212"/>
    <s v="OFF-AR-10003373"/>
    <x v="1"/>
    <s v="Art"/>
    <s v="Boston School Pro Electric Pencil Sharpener, 1670"/>
    <n v="99.135999999999996"/>
    <n v="4"/>
    <n v="0.2"/>
    <n v="8.6744000000000003"/>
  </r>
  <r>
    <n v="854"/>
    <s v="CA-2020-123274"/>
    <n v="19"/>
    <n v="2"/>
    <n v="2020"/>
    <s v="Standard Class"/>
    <s v="GT-14710"/>
    <s v="greg tran"/>
    <s v="Consumer"/>
    <s v="United States-New York-New York City"/>
    <s v="East"/>
    <n v="10035"/>
    <s v="FUR-FU-10004090"/>
    <x v="0"/>
    <s v="Furnishings"/>
    <s v="Executive Impressions 14&quot; Contract Wall Clock"/>
    <n v="22.23"/>
    <n v="1"/>
    <n v="0"/>
    <n v="7.3358999999999996"/>
  </r>
  <r>
    <n v="855"/>
    <s v="CA-2020-123274"/>
    <n v="19"/>
    <n v="2"/>
    <n v="2020"/>
    <s v="Standard Class"/>
    <s v="GT-14710"/>
    <s v="greg tran"/>
    <s v="Consumer"/>
    <s v="United States-New York-New York City"/>
    <s v="East"/>
    <n v="10035"/>
    <s v="OFF-ST-10000736"/>
    <x v="1"/>
    <s v="Storage"/>
    <s v="Carina Double Wide Media Storage Towers in Natural &amp; Black"/>
    <n v="129.56800000000001"/>
    <n v="2"/>
    <n v="0.2"/>
    <n v="-25.913599999999999"/>
  </r>
  <r>
    <n v="856"/>
    <s v="CA-2018-125612"/>
    <n v="3"/>
    <n v="8"/>
    <n v="2018"/>
    <s v="Standard Class"/>
    <s v="BK-11260"/>
    <s v="berenike kampe"/>
    <s v="Consumer"/>
    <s v="United States-New York-New York City"/>
    <s v="East"/>
    <n v="10035"/>
    <s v="OFF-PA-10001019"/>
    <x v="1"/>
    <s v="Paper"/>
    <s v="Xerox 1884"/>
    <n v="39.96"/>
    <n v="2"/>
    <n v="0"/>
    <n v="18.781199999999998"/>
  </r>
  <r>
    <n v="857"/>
    <s v="CA-2018-125612"/>
    <n v="3"/>
    <n v="8"/>
    <n v="2018"/>
    <s v="Standard Class"/>
    <s v="BK-11260"/>
    <s v="berenike kampe"/>
    <s v="Consumer"/>
    <s v="United States-New York-New York City"/>
    <s v="East"/>
    <n v="10035"/>
    <s v="OFF-SU-10002537"/>
    <x v="1"/>
    <s v="Supplies"/>
    <s v="Acme Box Cutter Scissors"/>
    <n v="102.3"/>
    <n v="10"/>
    <n v="0"/>
    <n v="26.597999999999999"/>
  </r>
  <r>
    <n v="858"/>
    <s v="CA-2018-125612"/>
    <n v="3"/>
    <n v="8"/>
    <n v="2018"/>
    <s v="Standard Class"/>
    <s v="BK-11260"/>
    <s v="berenike kampe"/>
    <s v="Consumer"/>
    <s v="United States-New York-New York City"/>
    <s v="East"/>
    <n v="10035"/>
    <s v="OFF-ST-10003221"/>
    <x v="1"/>
    <s v="Storage"/>
    <s v="Staple magnet"/>
    <n v="21.36"/>
    <n v="2"/>
    <n v="0"/>
    <n v="5.7671999999999999"/>
  </r>
  <r>
    <n v="859"/>
    <s v="CA-2021-161984"/>
    <n v="10"/>
    <n v="4"/>
    <n v="2021"/>
    <s v="Standard Class"/>
    <s v="SJ-20125"/>
    <s v="sanjit jacobs"/>
    <s v="Home Office"/>
    <s v="United States-New Jersey-New Brunswick"/>
    <s v="East"/>
    <n v="8901"/>
    <s v="OFF-PA-10004569"/>
    <x v="1"/>
    <s v="Paper"/>
    <s v="Wirebound Message Books, Two 4 1/4&quot; x 5&quot; Forms per Page"/>
    <n v="7.61"/>
    <n v="1"/>
    <n v="0"/>
    <n v="3.5767000000000002"/>
  </r>
  <r>
    <n v="860"/>
    <s v="CA-2021-161984"/>
    <n v="10"/>
    <n v="4"/>
    <n v="2021"/>
    <s v="Standard Class"/>
    <s v="SJ-20125"/>
    <s v="sanjit jacobs"/>
    <s v="Home Office"/>
    <s v="United States-New Jersey-New Brunswick"/>
    <s v="East"/>
    <n v="8901"/>
    <s v="OFF-FA-10000624"/>
    <x v="1"/>
    <s v="Fasteners"/>
    <s v="OIC Binder Clips"/>
    <n v="7.16"/>
    <n v="2"/>
    <n v="0"/>
    <n v="3.58"/>
  </r>
  <r>
    <n v="861"/>
    <s v="CA-2018-133851"/>
    <n v="9"/>
    <n v="6"/>
    <n v="2018"/>
    <s v="Standard Class"/>
    <s v="CM-12445"/>
    <s v="chuck magee"/>
    <s v="Consumer"/>
    <s v="United States-California-San Francisco"/>
    <s v="West"/>
    <n v="94122"/>
    <s v="OFF-SU-10001225"/>
    <x v="1"/>
    <s v="Supplies"/>
    <s v="Staple remover"/>
    <n v="7.36"/>
    <n v="2"/>
    <n v="0"/>
    <n v="0.1472"/>
  </r>
  <r>
    <n v="862"/>
    <s v="CA-2018-133851"/>
    <n v="9"/>
    <n v="6"/>
    <n v="2018"/>
    <s v="Standard Class"/>
    <s v="CM-12445"/>
    <s v="chuck magee"/>
    <s v="Consumer"/>
    <s v="United States-California-San Francisco"/>
    <s v="West"/>
    <n v="94122"/>
    <s v="OFF-AR-10003752"/>
    <x v="1"/>
    <s v="Art"/>
    <s v="Deluxe Chalkboard Eraser Cleaner"/>
    <n v="23.1"/>
    <n v="2"/>
    <n v="0"/>
    <n v="10.625999999999999"/>
  </r>
  <r>
    <n v="863"/>
    <s v="CA-2020-134474"/>
    <n v="5"/>
    <n v="1"/>
    <n v="2020"/>
    <s v="Second Class"/>
    <s v="AJ-10795"/>
    <s v="anthony johnson"/>
    <s v="Corporate"/>
    <s v="United States-Florida-Jacksonville"/>
    <s v="South"/>
    <n v="32216"/>
    <s v="TEC-AC-10001714"/>
    <x v="2"/>
    <s v="Accessories"/>
    <s v="Logitech MX Performance Wireless Mouse"/>
    <n v="191.47200000000001"/>
    <n v="6"/>
    <n v="0.2"/>
    <n v="40.687800000000003"/>
  </r>
  <r>
    <n v="864"/>
    <s v="CA-2020-134474"/>
    <n v="5"/>
    <n v="1"/>
    <n v="2020"/>
    <s v="Second Class"/>
    <s v="AJ-10795"/>
    <s v="anthony johnson"/>
    <s v="Corporate"/>
    <s v="United States-Florida-Jacksonville"/>
    <s v="South"/>
    <n v="32216"/>
    <s v="OFF-AR-10003958"/>
    <x v="1"/>
    <s v="Art"/>
    <s v="Newell 337"/>
    <n v="5.2480000000000002"/>
    <n v="2"/>
    <n v="0.2"/>
    <n v="0.59040000000000004"/>
  </r>
  <r>
    <n v="865"/>
    <s v="CA-2020-134474"/>
    <n v="5"/>
    <n v="1"/>
    <n v="2020"/>
    <s v="Second Class"/>
    <s v="AJ-10795"/>
    <s v="anthony johnson"/>
    <s v="Corporate"/>
    <s v="United States-Florida-Jacksonville"/>
    <s v="South"/>
    <n v="32216"/>
    <s v="TEC-PH-10002923"/>
    <x v="2"/>
    <s v="Phones"/>
    <s v="Logitech B530 USB Headset - headset - Full size, Binaural"/>
    <n v="59.183999999999997"/>
    <n v="2"/>
    <n v="0.2"/>
    <n v="5.1786000000000003"/>
  </r>
  <r>
    <n v="866"/>
    <s v="CA-2018-149020"/>
    <n v="10"/>
    <n v="1"/>
    <n v="2018"/>
    <s v="Standard Class"/>
    <s v="AJ-10780"/>
    <s v="anthony jacobs"/>
    <s v="Corporate"/>
    <s v="United States-Virginia-Springfield"/>
    <s v="South"/>
    <n v="22153"/>
    <s v="OFF-LA-10004272"/>
    <x v="1"/>
    <s v="Labels"/>
    <s v="Avery 482"/>
    <n v="2.89"/>
    <n v="1"/>
    <n v="0"/>
    <n v="1.3583000000000001"/>
  </r>
  <r>
    <n v="867"/>
    <s v="CA-2018-149020"/>
    <n v="10"/>
    <n v="1"/>
    <n v="2018"/>
    <s v="Standard Class"/>
    <s v="AJ-10780"/>
    <s v="anthony jacobs"/>
    <s v="Corporate"/>
    <s v="United States-Virginia-Springfield"/>
    <s v="South"/>
    <n v="22153"/>
    <s v="FUR-FU-10000965"/>
    <x v="0"/>
    <s v="Furnishings"/>
    <s v="Howard Miller 11-1/2&quot; Diameter Ridgewood Wall Clock"/>
    <n v="51.94"/>
    <n v="1"/>
    <n v="0"/>
    <n v="21.295400000000001"/>
  </r>
  <r>
    <n v="868"/>
    <s v="CA-2020-134362"/>
    <n v="29"/>
    <n v="9"/>
    <n v="2020"/>
    <s v="First Class"/>
    <s v="LS-16945"/>
    <s v="linda southworth"/>
    <s v="Corporate"/>
    <s v="United States-Pennsylvania-Philadelphia"/>
    <s v="East"/>
    <n v="19140"/>
    <s v="OFF-LA-10004853"/>
    <x v="1"/>
    <s v="Labels"/>
    <s v="Avery 483"/>
    <n v="15.936"/>
    <n v="4"/>
    <n v="0.2"/>
    <n v="5.1791999999999998"/>
  </r>
  <r>
    <n v="869"/>
    <s v="CA-2018-136742"/>
    <n v="6"/>
    <n v="4"/>
    <n v="2018"/>
    <s v="Standard Class"/>
    <s v="GP-14740"/>
    <s v="guy phonely"/>
    <s v="Corporate"/>
    <s v="United States-Pennsylvania-Lancaster"/>
    <s v="East"/>
    <n v="17602"/>
    <s v="OFF-BI-10003719"/>
    <x v="1"/>
    <s v="Binders"/>
    <s v="Large Capacity Hanging Post Binders"/>
    <n v="44.91"/>
    <n v="6"/>
    <n v="0.7"/>
    <n v="-35.927999999999997"/>
  </r>
  <r>
    <n v="870"/>
    <s v="CA-2020-158099"/>
    <n v="3"/>
    <n v="9"/>
    <n v="2020"/>
    <s v="First Class"/>
    <s v="PK-18910"/>
    <s v="paul knutson"/>
    <s v="Home Office"/>
    <s v="United States-Pennsylvania-Philadelphia"/>
    <s v="East"/>
    <n v="19143"/>
    <s v="OFF-BI-10000545"/>
    <x v="1"/>
    <s v="Binders"/>
    <s v="GBC Ibimaster 500 Manual ProClick Binding System"/>
    <n v="1141.47"/>
    <n v="5"/>
    <n v="0.7"/>
    <n v="-760.98"/>
  </r>
  <r>
    <n v="871"/>
    <s v="CA-2020-158099"/>
    <n v="3"/>
    <n v="9"/>
    <n v="2020"/>
    <s v="First Class"/>
    <s v="PK-18910"/>
    <s v="paul knutson"/>
    <s v="Home Office"/>
    <s v="United States-Pennsylvania-Philadelphia"/>
    <s v="East"/>
    <n v="19143"/>
    <s v="TEC-PH-10002496"/>
    <x v="2"/>
    <s v="Phones"/>
    <s v="Cisco SPA301"/>
    <n v="374.37599999999998"/>
    <n v="3"/>
    <n v="0.2"/>
    <n v="46.796999999999997"/>
  </r>
  <r>
    <n v="872"/>
    <s v="CA-2019-131128"/>
    <n v="19"/>
    <n v="10"/>
    <n v="2019"/>
    <s v="First Class"/>
    <s v="TB-21520"/>
    <s v="tracy blumstein"/>
    <s v="Consumer"/>
    <s v="United States-New Hampshire-Concord"/>
    <s v="East"/>
    <n v="3301"/>
    <s v="OFF-PA-10003591"/>
    <x v="1"/>
    <s v="Paper"/>
    <s v="Southworth 100% Cotton The Best Paper"/>
    <n v="34.44"/>
    <n v="3"/>
    <n v="0"/>
    <n v="17.22"/>
  </r>
  <r>
    <n v="873"/>
    <s v="CA-2018-148488"/>
    <n v="10"/>
    <n v="12"/>
    <n v="2018"/>
    <s v="Standard Class"/>
    <s v="SM-20005"/>
    <s v="sally matthias"/>
    <s v="Consumer"/>
    <s v="United States-New York-New York City"/>
    <s v="East"/>
    <n v="10009"/>
    <s v="OFF-PA-10004470"/>
    <x v="1"/>
    <s v="Paper"/>
    <s v="Adams Write n' Stick Phone Message Book, 11&quot; X 5 1/4&quot;, 200 Messages"/>
    <n v="18.175999999999998"/>
    <n v="4"/>
    <n v="0.2"/>
    <n v="5.9071999999999996"/>
  </r>
  <r>
    <n v="874"/>
    <s v="CA-2018-148488"/>
    <n v="10"/>
    <n v="12"/>
    <n v="2018"/>
    <s v="Standard Class"/>
    <s v="SM-20005"/>
    <s v="sally matthias"/>
    <s v="Consumer"/>
    <s v="United States-New York-New York City"/>
    <s v="East"/>
    <n v="10009"/>
    <s v="OFF-BI-10000315"/>
    <x v="1"/>
    <s v="Binders"/>
    <s v="Poly Designer Cover &amp; Back"/>
    <n v="28.484999999999999"/>
    <n v="5"/>
    <n v="0.7"/>
    <n v="-20.888999999999999"/>
  </r>
  <r>
    <n v="875"/>
    <s v="CA-2021-114636"/>
    <n v="25"/>
    <n v="8"/>
    <n v="2021"/>
    <s v="Standard Class"/>
    <s v="GA-14725"/>
    <s v="guy armstrong"/>
    <s v="Consumer"/>
    <s v="United States-North Carolina-Charlotte"/>
    <s v="South"/>
    <n v="28205"/>
    <s v="OFF-PA-10001790"/>
    <x v="1"/>
    <s v="Paper"/>
    <s v="Xerox 1910"/>
    <n v="192.16"/>
    <n v="5"/>
    <n v="0.2"/>
    <n v="67.256"/>
  </r>
  <r>
    <n v="876"/>
    <s v="CA-2020-116736"/>
    <n v="17"/>
    <n v="1"/>
    <n v="2020"/>
    <s v="Standard Class"/>
    <s v="CC-12430"/>
    <s v="chuck clark"/>
    <s v="Home Office"/>
    <s v="United States-New Hampshire-Concord"/>
    <s v="East"/>
    <n v="3301"/>
    <s v="FUR-FU-10004017"/>
    <x v="0"/>
    <s v="Furnishings"/>
    <s v="Tenex Contemporary Contur Chairmats for Low and Medium Pile Carpet, Computer, 39&quot; x 49&quot;"/>
    <n v="258.072"/>
    <n v="3"/>
    <n v="0.2"/>
    <n v="0"/>
  </r>
  <r>
    <n v="877"/>
    <s v="CA-2020-116736"/>
    <n v="17"/>
    <n v="1"/>
    <n v="2020"/>
    <s v="Standard Class"/>
    <s v="CC-12430"/>
    <s v="chuck clark"/>
    <s v="Home Office"/>
    <s v="United States-New Hampshire-Concord"/>
    <s v="East"/>
    <n v="3301"/>
    <s v="TEC-AC-10003628"/>
    <x v="2"/>
    <s v="Accessories"/>
    <s v="Logitech 910-002974 M325 Wireless Mouse for Web Scrolling"/>
    <n v="209.93"/>
    <n v="7"/>
    <n v="0"/>
    <n v="92.369200000000006"/>
  </r>
  <r>
    <n v="878"/>
    <s v="CA-2020-116736"/>
    <n v="17"/>
    <n v="1"/>
    <n v="2020"/>
    <s v="Standard Class"/>
    <s v="CC-12430"/>
    <s v="chuck clark"/>
    <s v="Home Office"/>
    <s v="United States-New Hampshire-Concord"/>
    <s v="East"/>
    <n v="3301"/>
    <s v="TEC-AC-10002049"/>
    <x v="2"/>
    <s v="Accessories"/>
    <s v="Logitech G19 Programmable Gaming Keyboard"/>
    <n v="371.97"/>
    <n v="3"/>
    <n v="0"/>
    <n v="66.954599999999999"/>
  </r>
  <r>
    <n v="879"/>
    <s v="US-2018-158638"/>
    <n v="17"/>
    <n v="9"/>
    <n v="2018"/>
    <s v="Standard Class"/>
    <s v="AG-10765"/>
    <s v="anthony garverick"/>
    <s v="Home Office"/>
    <s v="United States-Pennsylvania-Philadelphia"/>
    <s v="East"/>
    <n v="19120"/>
    <s v="OFF-BI-10003712"/>
    <x v="1"/>
    <s v="Binders"/>
    <s v="Acco Pressboard Covers with Storage Hooks, 14 7/8&quot; x 11&quot;, Light Blue"/>
    <n v="5.8920000000000003"/>
    <n v="4"/>
    <n v="0.7"/>
    <n v="-4.1243999999999996"/>
  </r>
  <r>
    <n v="880"/>
    <s v="CA-2021-111689"/>
    <n v="30"/>
    <n v="11"/>
    <n v="2021"/>
    <s v="Second Class"/>
    <s v="HP-14815"/>
    <s v="harold pawlan"/>
    <s v="Home Office"/>
    <s v="United States-New York-New York City"/>
    <s v="East"/>
    <n v="10024"/>
    <s v="OFF-BI-10003984"/>
    <x v="1"/>
    <s v="Binders"/>
    <s v="Lock-Up Easel 'Spel-Binder'"/>
    <n v="68.471999999999994"/>
    <n v="3"/>
    <n v="0.2"/>
    <n v="23.109300000000001"/>
  </r>
  <r>
    <n v="881"/>
    <s v="CA-2021-111689"/>
    <n v="30"/>
    <n v="11"/>
    <n v="2021"/>
    <s v="Second Class"/>
    <s v="HP-14815"/>
    <s v="harold pawlan"/>
    <s v="Home Office"/>
    <s v="United States-New York-New York City"/>
    <s v="East"/>
    <n v="10024"/>
    <s v="FUR-CH-10004287"/>
    <x v="0"/>
    <s v="Chairs"/>
    <s v="SAFCO Arco Folding Chair"/>
    <n v="1740.06"/>
    <n v="9"/>
    <n v="0.3"/>
    <n v="-24.858000000000001"/>
  </r>
  <r>
    <n v="882"/>
    <s v="CA-2019-129098"/>
    <n v="9"/>
    <n v="10"/>
    <n v="2019"/>
    <s v="Standard Class"/>
    <s v="DK-13090"/>
    <s v="dave kipp"/>
    <s v="Consumer"/>
    <s v="United States-Virginia-Springfield"/>
    <s v="South"/>
    <n v="22153"/>
    <s v="OFF-ST-10001321"/>
    <x v="1"/>
    <s v="Storage"/>
    <s v="Decoflex Hanging Personal Folder File, Blue"/>
    <n v="92.52"/>
    <n v="6"/>
    <n v="0"/>
    <n v="24.980399999999999"/>
  </r>
  <r>
    <n v="883"/>
    <s v="US-2021-123463"/>
    <n v="23"/>
    <n v="12"/>
    <n v="2021"/>
    <s v="Same Day"/>
    <s v="GZ-14470"/>
    <s v="gary zandusky"/>
    <s v="Consumer"/>
    <s v="United States-California-San Francisco"/>
    <s v="West"/>
    <n v="94109"/>
    <s v="OFF-AR-10001118"/>
    <x v="1"/>
    <s v="Art"/>
    <s v="Binney &amp; Smith Crayola Metallic Crayons, 16-Color Pack"/>
    <n v="2.6960000000000002"/>
    <n v="1"/>
    <n v="0.2"/>
    <n v="0.80879999999999996"/>
  </r>
  <r>
    <n v="884"/>
    <s v="CA-2020-165148"/>
    <n v="22"/>
    <n v="10"/>
    <n v="2020"/>
    <s v="First Class"/>
    <s v="PM-19135"/>
    <s v="peter mcvee"/>
    <s v="Home Office"/>
    <s v="United States-Michigan-Detroit"/>
    <s v="Central"/>
    <n v="48227"/>
    <s v="FUR-FU-10000732"/>
    <x v="0"/>
    <s v="Furnishings"/>
    <s v="Eldon 200 Class Desk Accessories"/>
    <n v="18.84"/>
    <n v="3"/>
    <n v="0"/>
    <n v="6.0288000000000004"/>
  </r>
  <r>
    <n v="885"/>
    <s v="CA-2018-134061"/>
    <n v="29"/>
    <n v="4"/>
    <n v="2018"/>
    <s v="Standard Class"/>
    <s v="LL-16840"/>
    <s v="lauren leatherbury"/>
    <s v="Consumer"/>
    <s v="United States-New York-Rochester"/>
    <s v="East"/>
    <n v="14609"/>
    <s v="FUR-FU-10001424"/>
    <x v="0"/>
    <s v="Furnishings"/>
    <s v="Dax Clear Box Frame"/>
    <n v="17.46"/>
    <n v="2"/>
    <n v="0"/>
    <n v="5.9363999999999999"/>
  </r>
  <r>
    <n v="886"/>
    <s v="CA-2019-143602"/>
    <n v="25"/>
    <n v="4"/>
    <n v="2019"/>
    <s v="Second Class"/>
    <s v="JS-15595"/>
    <s v="jill stevenson"/>
    <s v="Corporate"/>
    <s v="United States-California-Los Angeles"/>
    <s v="West"/>
    <n v="90045"/>
    <s v="OFF-BI-10002071"/>
    <x v="1"/>
    <s v="Binders"/>
    <s v="Fellowes Black Plastic Comb Bindings"/>
    <n v="13.944000000000001"/>
    <n v="3"/>
    <n v="0.2"/>
    <n v="4.5317999999999996"/>
  </r>
  <r>
    <n v="887"/>
    <s v="CA-2021-115364"/>
    <n v="26"/>
    <n v="6"/>
    <n v="2021"/>
    <s v="Standard Class"/>
    <s v="OT-18730"/>
    <s v="olvera toch"/>
    <s v="Consumer"/>
    <s v="United States-California-San Diego"/>
    <s v="West"/>
    <n v="92105"/>
    <s v="OFF-ST-10002486"/>
    <x v="1"/>
    <s v="Storage"/>
    <s v="Eldon Shelf Savers Cubes and Bins"/>
    <n v="83.76"/>
    <n v="12"/>
    <n v="0"/>
    <n v="1.6752"/>
  </r>
  <r>
    <n v="888"/>
    <s v="CA-2021-150707"/>
    <n v="14"/>
    <n v="10"/>
    <n v="2021"/>
    <s v="Standard Class"/>
    <s v="EL-13735"/>
    <s v="ed ludwig"/>
    <s v="Home Office"/>
    <s v="United States-Maryland-Columbia"/>
    <s v="East"/>
    <n v="21044"/>
    <s v="OFF-BI-10001078"/>
    <x v="1"/>
    <s v="Binders"/>
    <s v="Acco PRESSTEX Data Binder with Storage Hooks, Dark Blue, 14 7/8&quot; X 11&quot;"/>
    <n v="25.824000000000002"/>
    <n v="6"/>
    <n v="0.2"/>
    <n v="9.3612000000000002"/>
  </r>
  <r>
    <n v="889"/>
    <s v="CA-2018-104976"/>
    <n v="9"/>
    <n v="12"/>
    <n v="2018"/>
    <s v="Standard Class"/>
    <s v="CK-12760"/>
    <s v="cyma kinney"/>
    <s v="Corporate"/>
    <s v="United States-California-San Francisco"/>
    <s v="West"/>
    <n v="94122"/>
    <s v="OFF-PA-10003845"/>
    <x v="1"/>
    <s v="Paper"/>
    <s v="Xerox 1987"/>
    <n v="5.78"/>
    <n v="1"/>
    <n v="0"/>
    <n v="2.8321999999999998"/>
  </r>
  <r>
    <n v="890"/>
    <s v="CA-2021-132934"/>
    <n v="20"/>
    <n v="6"/>
    <n v="2021"/>
    <s v="Standard Class"/>
    <s v="JE-15475"/>
    <s v="jeremy ellison"/>
    <s v="Consumer"/>
    <s v="United States-New York-New Rochelle"/>
    <s v="East"/>
    <n v="10801"/>
    <s v="TEC-AC-10000927"/>
    <x v="2"/>
    <s v="Accessories"/>
    <s v="Anker Ultrathin Bluetooth Wireless Keyboard Aluminum Cover with Stand"/>
    <n v="149.94999999999999"/>
    <n v="5"/>
    <n v="0"/>
    <n v="14.994999999999999"/>
  </r>
  <r>
    <n v="891"/>
    <s v="CA-2021-132934"/>
    <n v="20"/>
    <n v="6"/>
    <n v="2021"/>
    <s v="Standard Class"/>
    <s v="JE-15475"/>
    <s v="jeremy ellison"/>
    <s v="Consumer"/>
    <s v="United States-New York-New Rochelle"/>
    <s v="East"/>
    <n v="10801"/>
    <s v="OFF-BI-10001098"/>
    <x v="1"/>
    <s v="Binders"/>
    <s v="Acco D-Ring Binder w/DublLock"/>
    <n v="51.311999999999998"/>
    <n v="3"/>
    <n v="0.2"/>
    <n v="18.6006"/>
  </r>
  <r>
    <n v="892"/>
    <s v="CA-2021-133256"/>
    <n v="26"/>
    <n v="6"/>
    <n v="2021"/>
    <s v="First Class"/>
    <s v="TH-21550"/>
    <s v="tracy hopkins"/>
    <s v="Home Office"/>
    <s v="United States-Michigan-Detroit"/>
    <s v="Central"/>
    <n v="48227"/>
    <s v="OFF-PA-10001622"/>
    <x v="1"/>
    <s v="Paper"/>
    <s v="Ampad Poly Cover Wirebound Steno Book, 6&quot; x 9&quot; Assorted Colors, Gregg Ruled"/>
    <n v="4.54"/>
    <n v="1"/>
    <n v="0"/>
    <n v="2.0430000000000001"/>
  </r>
  <r>
    <n v="893"/>
    <s v="CA-2021-133256"/>
    <n v="26"/>
    <n v="6"/>
    <n v="2021"/>
    <s v="First Class"/>
    <s v="TH-21550"/>
    <s v="tracy hopkins"/>
    <s v="Home Office"/>
    <s v="United States-Michigan-Detroit"/>
    <s v="Central"/>
    <n v="48227"/>
    <s v="OFF-AR-10003158"/>
    <x v="1"/>
    <s v="Art"/>
    <s v="Fluorescent Highlighters by Dixon"/>
    <n v="15.92"/>
    <n v="4"/>
    <n v="0"/>
    <n v="5.4127999999999998"/>
  </r>
  <r>
    <n v="894"/>
    <s v="CA-2021-133256"/>
    <n v="26"/>
    <n v="6"/>
    <n v="2021"/>
    <s v="First Class"/>
    <s v="TH-21550"/>
    <s v="tracy hopkins"/>
    <s v="Home Office"/>
    <s v="United States-Michigan-Detroit"/>
    <s v="Central"/>
    <n v="48227"/>
    <s v="TEC-PH-10002660"/>
    <x v="2"/>
    <s v="Phones"/>
    <s v="Nortel Networks T7316 E Nt8 B27"/>
    <n v="543.91999999999996"/>
    <n v="8"/>
    <n v="0"/>
    <n v="135.97999999999999"/>
  </r>
  <r>
    <n v="895"/>
    <s v="CA-2020-105494"/>
    <n v="10"/>
    <n v="11"/>
    <n v="2020"/>
    <s v="First Class"/>
    <s v="PC-18745"/>
    <s v="pamela coakley"/>
    <s v="Corporate"/>
    <s v="United States-California-San Francisco"/>
    <s v="West"/>
    <n v="94122"/>
    <s v="OFF-ST-10002205"/>
    <x v="1"/>
    <s v="Storage"/>
    <s v="File Shuttle I and Handi-File"/>
    <n v="53.423999999999999"/>
    <n v="3"/>
    <n v="0.2"/>
    <n v="4.6745999999999999"/>
  </r>
  <r>
    <n v="896"/>
    <s v="CA-2020-105494"/>
    <n v="10"/>
    <n v="11"/>
    <n v="2020"/>
    <s v="First Class"/>
    <s v="PC-18745"/>
    <s v="pamela coakley"/>
    <s v="Corporate"/>
    <s v="United States-California-San Francisco"/>
    <s v="West"/>
    <n v="94122"/>
    <s v="OFF-BI-10003364"/>
    <x v="1"/>
    <s v="Binders"/>
    <s v="Binding Machine Supplies"/>
    <n v="70.007999999999996"/>
    <n v="3"/>
    <n v="0.2"/>
    <n v="24.502800000000001"/>
  </r>
  <r>
    <n v="897"/>
    <s v="CA-2020-140634"/>
    <n v="3"/>
    <n v="10"/>
    <n v="2020"/>
    <s v="Second Class"/>
    <s v="HL-15040"/>
    <s v="hunter lopez"/>
    <s v="Consumer"/>
    <s v="United States-Texas-Houston"/>
    <s v="Central"/>
    <n v="77095"/>
    <s v="OFF-EN-10001099"/>
    <x v="1"/>
    <s v="Envelopes"/>
    <s v="Staple envelope"/>
    <n v="28.4"/>
    <n v="5"/>
    <n v="0"/>
    <n v="13.348000000000001"/>
  </r>
  <r>
    <n v="898"/>
    <s v="CA-2018-144407"/>
    <n v="9"/>
    <n v="9"/>
    <n v="2018"/>
    <s v="Standard Class"/>
    <s v="MS-17365"/>
    <s v="maribeth schnelling"/>
    <s v="Consumer"/>
    <s v="United States-Michigan-Detroit"/>
    <s v="Central"/>
    <n v="48227"/>
    <s v="OFF-LA-10003923"/>
    <x v="1"/>
    <s v="Labels"/>
    <s v="Alphabetical Labels for Top Tab Filing"/>
    <n v="29.6"/>
    <n v="2"/>
    <n v="0"/>
    <n v="14.8"/>
  </r>
  <r>
    <n v="899"/>
    <s v="CA-2021-160983"/>
    <n v="29"/>
    <n v="10"/>
    <n v="2021"/>
    <s v="Second Class"/>
    <s v="GB-14530"/>
    <s v="george bell"/>
    <s v="Corporate"/>
    <s v="United States-New York-Auburn"/>
    <s v="East"/>
    <n v="13021"/>
    <s v="OFF-PA-10002250"/>
    <x v="1"/>
    <s v="Paper"/>
    <s v="Things To Do Today Pad"/>
    <n v="46.96"/>
    <n v="8"/>
    <n v="0"/>
    <n v="22.540800000000001"/>
  </r>
  <r>
    <n v="900"/>
    <s v="US-2020-114622"/>
    <n v="10"/>
    <n v="4"/>
    <n v="2020"/>
    <s v="First Class"/>
    <s v="JR-16210"/>
    <s v="justin ritter"/>
    <s v="Corporate"/>
    <s v="United States-Ohio-Springfield"/>
    <s v="East"/>
    <n v="45503"/>
    <s v="OFF-BI-10004716"/>
    <x v="1"/>
    <s v="Binders"/>
    <s v="Wilson Jones Hanging Recycled Pressboard Data Binders"/>
    <n v="8.9039999999999999"/>
    <n v="2"/>
    <n v="0.7"/>
    <n v="-6.5296000000000003"/>
  </r>
  <r>
    <n v="901"/>
    <s v="CA-2021-150959"/>
    <n v="11"/>
    <n v="11"/>
    <n v="2021"/>
    <s v="First Class"/>
    <s v="TD-20995"/>
    <s v="tamara dahlen"/>
    <s v="Consumer"/>
    <s v="United States-Texas-Garland"/>
    <s v="Central"/>
    <n v="75043"/>
    <s v="OFF-LA-10001045"/>
    <x v="1"/>
    <s v="Labels"/>
    <s v="Permanent Self-Adhesive File Folder Labels for Typewriters by Universal"/>
    <n v="10.44"/>
    <n v="5"/>
    <n v="0.2"/>
    <n v="3.3929999999999998"/>
  </r>
  <r>
    <n v="902"/>
    <s v="CA-2021-150959"/>
    <n v="11"/>
    <n v="11"/>
    <n v="2021"/>
    <s v="First Class"/>
    <s v="TD-20995"/>
    <s v="tamara dahlen"/>
    <s v="Consumer"/>
    <s v="United States-Texas-Garland"/>
    <s v="Central"/>
    <n v="75043"/>
    <s v="OFF-BI-10001510"/>
    <x v="1"/>
    <s v="Binders"/>
    <s v="Deluxe Heavy-Duty Vinyl Round Ring Binder"/>
    <n v="18.335999999999999"/>
    <n v="4"/>
    <n v="0.8"/>
    <n v="-32.088000000000001"/>
  </r>
  <r>
    <n v="903"/>
    <s v="CA-2021-132353"/>
    <n v="15"/>
    <n v="9"/>
    <n v="2021"/>
    <s v="First Class"/>
    <s v="DB-13060"/>
    <s v="dave brooks"/>
    <s v="Consumer"/>
    <s v="United States-Illinois-Chicago"/>
    <s v="Central"/>
    <n v="60653"/>
    <s v="TEC-PH-10004536"/>
    <x v="2"/>
    <s v="Phones"/>
    <s v="Avaya 5420 Digital phone"/>
    <n v="944.93"/>
    <n v="7"/>
    <n v="0"/>
    <n v="236.23249999999999"/>
  </r>
  <r>
    <n v="904"/>
    <s v="CA-2020-130477"/>
    <n v="8"/>
    <n v="4"/>
    <n v="2020"/>
    <s v="Standard Class"/>
    <s v="LC-17140"/>
    <s v="logan currie"/>
    <s v="Consumer"/>
    <s v="United States-California-Los Angeles"/>
    <s v="West"/>
    <n v="90032"/>
    <s v="OFF-PA-10002947"/>
    <x v="1"/>
    <s v="Paper"/>
    <s v="Xerox 1923"/>
    <n v="20.04"/>
    <n v="3"/>
    <n v="0"/>
    <n v="9.6191999999999993"/>
  </r>
  <r>
    <n v="905"/>
    <s v="CA-2020-130477"/>
    <n v="8"/>
    <n v="4"/>
    <n v="2020"/>
    <s v="Standard Class"/>
    <s v="LC-17140"/>
    <s v="logan currie"/>
    <s v="Consumer"/>
    <s v="United States-California-Los Angeles"/>
    <s v="West"/>
    <n v="90032"/>
    <s v="OFF-ST-10002583"/>
    <x v="1"/>
    <s v="Storage"/>
    <s v="Fellowes Neat Ideas Storage Cubes"/>
    <n v="64.959999999999994"/>
    <n v="2"/>
    <n v="0"/>
    <n v="2.5983999999999998"/>
  </r>
  <r>
    <n v="906"/>
    <s v="CA-2020-130477"/>
    <n v="8"/>
    <n v="4"/>
    <n v="2020"/>
    <s v="Standard Class"/>
    <s v="LC-17140"/>
    <s v="logan currie"/>
    <s v="Consumer"/>
    <s v="United States-California-Los Angeles"/>
    <s v="West"/>
    <n v="90032"/>
    <s v="OFF-PA-10000019"/>
    <x v="1"/>
    <s v="Paper"/>
    <s v="Xerox 1931"/>
    <n v="12.96"/>
    <n v="2"/>
    <n v="0"/>
    <n v="6.2207999999999997"/>
  </r>
  <r>
    <n v="907"/>
    <s v="CA-2021-143259"/>
    <n v="30"/>
    <n v="12"/>
    <n v="2021"/>
    <s v="Standard Class"/>
    <s v="PO-18865"/>
    <s v="patrick o'donnell"/>
    <s v="Consumer"/>
    <s v="United States-New York-New York City"/>
    <s v="East"/>
    <n v="10009"/>
    <s v="FUR-BO-10003441"/>
    <x v="0"/>
    <s v="Bookcases"/>
    <s v="Bush Westfield Collection Bookcases, Fully Assembled"/>
    <n v="323.13600000000002"/>
    <n v="4"/>
    <n v="0.2"/>
    <n v="12.117599999999999"/>
  </r>
  <r>
    <n v="908"/>
    <s v="CA-2021-143259"/>
    <n v="30"/>
    <n v="12"/>
    <n v="2021"/>
    <s v="Standard Class"/>
    <s v="PO-18865"/>
    <s v="patrick o'donnell"/>
    <s v="Consumer"/>
    <s v="United States-New York-New York City"/>
    <s v="East"/>
    <n v="10009"/>
    <s v="TEC-PH-10004774"/>
    <x v="2"/>
    <s v="Phones"/>
    <s v="Gear Head AU3700S Headset"/>
    <n v="90.93"/>
    <n v="7"/>
    <n v="0"/>
    <n v="2.7279"/>
  </r>
  <r>
    <n v="909"/>
    <s v="CA-2021-143259"/>
    <n v="30"/>
    <n v="12"/>
    <n v="2021"/>
    <s v="Standard Class"/>
    <s v="PO-18865"/>
    <s v="patrick o'donnell"/>
    <s v="Consumer"/>
    <s v="United States-New York-New York City"/>
    <s v="East"/>
    <n v="10009"/>
    <s v="OFF-BI-10003684"/>
    <x v="1"/>
    <s v="Binders"/>
    <s v="Wilson Jones Legal Size Ring Binders"/>
    <n v="52.776000000000003"/>
    <n v="3"/>
    <n v="0.2"/>
    <n v="19.791"/>
  </r>
  <r>
    <n v="910"/>
    <s v="CA-2021-137596"/>
    <n v="2"/>
    <n v="9"/>
    <n v="2021"/>
    <s v="Standard Class"/>
    <s v="BE-11335"/>
    <s v="bill eplett"/>
    <s v="Home Office"/>
    <s v="United States-Michigan-Jackson"/>
    <s v="Central"/>
    <n v="49201"/>
    <s v="TEC-PH-10001494"/>
    <x v="2"/>
    <s v="Phones"/>
    <s v="Polycom CX600 IP Phone VoIP phone"/>
    <n v="1199.8"/>
    <n v="4"/>
    <n v="0"/>
    <n v="323.94600000000003"/>
  </r>
  <r>
    <n v="911"/>
    <s v="CA-2021-137596"/>
    <n v="2"/>
    <n v="9"/>
    <n v="2021"/>
    <s v="Standard Class"/>
    <s v="BE-11335"/>
    <s v="bill eplett"/>
    <s v="Home Office"/>
    <s v="United States-Michigan-Jackson"/>
    <s v="Central"/>
    <n v="49201"/>
    <s v="TEC-AC-10004666"/>
    <x v="2"/>
    <s v="Accessories"/>
    <s v="Maxell iVDR EX 500GB Cartridge"/>
    <n v="1928.78"/>
    <n v="7"/>
    <n v="0"/>
    <n v="829.37540000000001"/>
  </r>
  <r>
    <n v="912"/>
    <s v="CA-2021-137596"/>
    <n v="2"/>
    <n v="9"/>
    <n v="2021"/>
    <s v="Standard Class"/>
    <s v="BE-11335"/>
    <s v="bill eplett"/>
    <s v="Home Office"/>
    <s v="United States-Michigan-Jackson"/>
    <s v="Central"/>
    <n v="49201"/>
    <s v="OFF-ST-10003816"/>
    <x v="1"/>
    <s v="Storage"/>
    <s v="Fellowes High-Stak Drawer Files"/>
    <n v="352.38"/>
    <n v="2"/>
    <n v="0"/>
    <n v="81.047399999999996"/>
  </r>
  <r>
    <n v="913"/>
    <s v="CA-2019-133627"/>
    <n v="31"/>
    <n v="5"/>
    <n v="2019"/>
    <s v="Standard Class"/>
    <s v="SC-20050"/>
    <s v="sample company a"/>
    <s v="Home Office"/>
    <s v="United States-Connecticut-Norwich"/>
    <s v="East"/>
    <n v="6360"/>
    <s v="FUR-FU-10001935"/>
    <x v="0"/>
    <s v="Furnishings"/>
    <s v="3M Hangers With Command Adhesive"/>
    <n v="2.96"/>
    <n v="1"/>
    <n v="0.2"/>
    <n v="0.77700000000000002"/>
  </r>
  <r>
    <n v="914"/>
    <s v="CA-2021-102519"/>
    <n v="27"/>
    <n v="11"/>
    <n v="2021"/>
    <s v="First Class"/>
    <s v="BM-11650"/>
    <s v="brian moss"/>
    <s v="Corporate"/>
    <s v="United States-Wisconsin-Milwaukee"/>
    <s v="Central"/>
    <n v="53209"/>
    <s v="FUR-FU-10004091"/>
    <x v="0"/>
    <s v="Furnishings"/>
    <s v="Howard Miller 13&quot; Diameter Goldtone Round Wall Clock"/>
    <n v="300.416"/>
    <n v="8"/>
    <n v="0.2"/>
    <n v="78.859200000000001"/>
  </r>
  <r>
    <n v="915"/>
    <s v="CA-2021-102519"/>
    <n v="27"/>
    <n v="11"/>
    <n v="2021"/>
    <s v="First Class"/>
    <s v="BM-11650"/>
    <s v="brian moss"/>
    <s v="Corporate"/>
    <s v="United States-Wisconsin-Milwaukee"/>
    <s v="Central"/>
    <n v="53209"/>
    <s v="TEC-AC-10001772"/>
    <x v="2"/>
    <s v="Accessories"/>
    <s v="Memorex Mini Travel Drive 16 GB USB 2.0 Flash Drive"/>
    <n v="63.88"/>
    <n v="4"/>
    <n v="0"/>
    <n v="24.9132"/>
  </r>
  <r>
    <n v="916"/>
    <s v="US-2018-141215"/>
    <n v="15"/>
    <n v="6"/>
    <n v="2018"/>
    <s v="Standard Class"/>
    <s v="KL-16555"/>
    <s v="kelly lampkin"/>
    <s v="Corporate"/>
    <s v="United States-Texas-San Antonio"/>
    <s v="Central"/>
    <n v="78207"/>
    <s v="FUR-TA-10001520"/>
    <x v="0"/>
    <s v="Tables"/>
    <s v="Lesro Sheffield Collection Coffee Table, End Table, Center Table, Corner Table"/>
    <n v="99.918000000000006"/>
    <n v="2"/>
    <n v="0.3"/>
    <n v="-18.5562"/>
  </r>
  <r>
    <n v="917"/>
    <s v="US-2018-141215"/>
    <n v="15"/>
    <n v="6"/>
    <n v="2018"/>
    <s v="Standard Class"/>
    <s v="KL-16555"/>
    <s v="kelly lampkin"/>
    <s v="Corporate"/>
    <s v="United States-Texas-San Antonio"/>
    <s v="Central"/>
    <n v="78207"/>
    <s v="FUR-CH-10003379"/>
    <x v="0"/>
    <s v="Chairs"/>
    <s v="Global Commerce Series High-Back Swivel/Tilt Chairs"/>
    <n v="683.952"/>
    <n v="3"/>
    <n v="0.2"/>
    <n v="42.747"/>
  </r>
  <r>
    <n v="918"/>
    <s v="US-2018-141215"/>
    <n v="15"/>
    <n v="6"/>
    <n v="2018"/>
    <s v="Standard Class"/>
    <s v="KL-16555"/>
    <s v="kelly lampkin"/>
    <s v="Corporate"/>
    <s v="United States-Texas-San Antonio"/>
    <s v="Central"/>
    <n v="78207"/>
    <s v="OFF-BI-10002706"/>
    <x v="1"/>
    <s v="Binders"/>
    <s v="Avery Premier Heavy-Duty Binder with Round Locking Rings"/>
    <n v="14.28"/>
    <n v="1"/>
    <n v="0"/>
    <n v="6.5688000000000004"/>
  </r>
  <r>
    <n v="919"/>
    <s v="CA-2020-165218"/>
    <n v="5"/>
    <n v="3"/>
    <n v="2020"/>
    <s v="Standard Class"/>
    <s v="RW-19630"/>
    <s v="rob williams"/>
    <s v="Corporate"/>
    <s v="United States-Texas-Dallas"/>
    <s v="Central"/>
    <n v="75220"/>
    <s v="OFF-EN-10000056"/>
    <x v="1"/>
    <s v="Envelopes"/>
    <s v="Cameo Buff Policy Envelopes"/>
    <n v="186.69"/>
    <n v="3"/>
    <n v="0"/>
    <n v="87.744299999999996"/>
  </r>
  <r>
    <n v="920"/>
    <s v="CA-2020-165218"/>
    <n v="5"/>
    <n v="3"/>
    <n v="2020"/>
    <s v="Standard Class"/>
    <s v="RW-19630"/>
    <s v="rob williams"/>
    <s v="Corporate"/>
    <s v="United States-Texas-Dallas"/>
    <s v="Central"/>
    <n v="75220"/>
    <s v="OFF-ST-10001558"/>
    <x v="1"/>
    <s v="Storage"/>
    <s v="Acco Perma 4000 Stacking Storage Drawers"/>
    <n v="12.992000000000001"/>
    <n v="1"/>
    <n v="0.2"/>
    <n v="-0.81200000000000006"/>
  </r>
  <r>
    <n v="921"/>
    <s v="CA-2018-138296"/>
    <n v="5"/>
    <n v="12"/>
    <n v="2018"/>
    <s v="Standard Class"/>
    <s v="RC-19825"/>
    <s v="roy collins"/>
    <s v="Consumer"/>
    <s v="United States-Virginia-Alexandria"/>
    <s v="South"/>
    <n v="22304"/>
    <s v="OFF-ST-10002444"/>
    <x v="1"/>
    <s v="Storage"/>
    <s v="Recycled Eldon Regeneration Jumbo File"/>
    <n v="36.840000000000003"/>
    <n v="3"/>
    <n v="0"/>
    <n v="10.315200000000001"/>
  </r>
  <r>
    <n v="922"/>
    <s v="CA-2019-111164"/>
    <n v="11"/>
    <n v="4"/>
    <n v="2019"/>
    <s v="Standard Class"/>
    <s v="SE-20110"/>
    <s v="sanjit engle"/>
    <s v="Consumer"/>
    <s v="United States-New York-New York City"/>
    <s v="East"/>
    <n v="10009"/>
    <s v="TEC-AC-10002473"/>
    <x v="2"/>
    <s v="Accessories"/>
    <s v="Maxell 4.7GB DVD-R"/>
    <n v="85.14"/>
    <n v="3"/>
    <n v="0"/>
    <n v="34.907400000000003"/>
  </r>
  <r>
    <n v="923"/>
    <s v="CA-2019-111164"/>
    <n v="11"/>
    <n v="4"/>
    <n v="2019"/>
    <s v="Standard Class"/>
    <s v="SE-20110"/>
    <s v="sanjit engle"/>
    <s v="Consumer"/>
    <s v="United States-New York-New York City"/>
    <s v="East"/>
    <n v="10009"/>
    <s v="TEC-PH-10004531"/>
    <x v="2"/>
    <s v="Phones"/>
    <s v="OtterBox Commuter Series Case - iPhone 5 &amp; 5s"/>
    <n v="21.99"/>
    <n v="1"/>
    <n v="0"/>
    <n v="10.555199999999999"/>
  </r>
  <r>
    <n v="924"/>
    <s v="CA-2019-111164"/>
    <n v="11"/>
    <n v="4"/>
    <n v="2019"/>
    <s v="Standard Class"/>
    <s v="SE-20110"/>
    <s v="sanjit engle"/>
    <s v="Consumer"/>
    <s v="United States-New York-New York City"/>
    <s v="East"/>
    <n v="10009"/>
    <s v="OFF-AP-10004487"/>
    <x v="1"/>
    <s v="Appliances"/>
    <s v="Kensington 4 Outlet MasterPiece Compact Power Control Center"/>
    <n v="406.6"/>
    <n v="5"/>
    <n v="0"/>
    <n v="113.848"/>
  </r>
  <r>
    <n v="925"/>
    <s v="CA-2020-149797"/>
    <n v="15"/>
    <n v="9"/>
    <n v="2020"/>
    <s v="Standard Class"/>
    <s v="AH-10075"/>
    <s v="adam hart"/>
    <s v="Corporate"/>
    <s v="United States-New York-New York City"/>
    <s v="East"/>
    <n v="10011"/>
    <s v="OFF-BI-10003650"/>
    <x v="1"/>
    <s v="Binders"/>
    <s v="GBC DocuBind 300 Electric Binding Machine"/>
    <n v="157.79400000000001"/>
    <n v="1"/>
    <n v="0.7"/>
    <n v="-115.71559999999999"/>
  </r>
  <r>
    <n v="926"/>
    <s v="CA-2018-132962"/>
    <n v="13"/>
    <n v="9"/>
    <n v="2018"/>
    <s v="First Class"/>
    <s v="JM-15535"/>
    <s v="jessica myrick"/>
    <s v="Consumer"/>
    <s v="United States-Pennsylvania-Philadelphia"/>
    <s v="East"/>
    <n v="19143"/>
    <s v="OFF-PA-10003543"/>
    <x v="1"/>
    <s v="Paper"/>
    <s v="Xerox 1985"/>
    <n v="15.552"/>
    <n v="3"/>
    <n v="0.2"/>
    <n v="5.4432"/>
  </r>
  <r>
    <n v="927"/>
    <s v="CA-2018-132962"/>
    <n v="13"/>
    <n v="9"/>
    <n v="2018"/>
    <s v="First Class"/>
    <s v="JM-15535"/>
    <s v="jessica myrick"/>
    <s v="Consumer"/>
    <s v="United States-Pennsylvania-Philadelphia"/>
    <s v="East"/>
    <n v="19143"/>
    <s v="TEC-AC-10004353"/>
    <x v="2"/>
    <s v="Accessories"/>
    <s v="Hypercom P1300 Pinpad"/>
    <n v="252"/>
    <n v="5"/>
    <n v="0.2"/>
    <n v="53.55"/>
  </r>
  <r>
    <n v="928"/>
    <s v="CA-2019-115091"/>
    <n v="5"/>
    <n v="10"/>
    <n v="2019"/>
    <s v="Standard Class"/>
    <s v="JJ-15760"/>
    <s v="joel jenkins"/>
    <s v="Home Office"/>
    <s v="United States-Virginia-Springfield"/>
    <s v="South"/>
    <n v="22153"/>
    <s v="OFF-AR-10000658"/>
    <x v="1"/>
    <s v="Art"/>
    <s v="Newell 324"/>
    <n v="9.24"/>
    <n v="1"/>
    <n v="0.2"/>
    <n v="0.92400000000000004"/>
  </r>
  <r>
    <n v="929"/>
    <s v="CA-2019-115091"/>
    <n v="5"/>
    <n v="10"/>
    <n v="2019"/>
    <s v="Standard Class"/>
    <s v="JJ-15760"/>
    <s v="joel jenkins"/>
    <s v="Home Office"/>
    <s v="United States-Virginia-Springfield"/>
    <s v="South"/>
    <n v="22153"/>
    <s v="OFF-AP-10000696"/>
    <x v="1"/>
    <s v="Appliances"/>
    <s v="Holmes Odor Grabber"/>
    <n v="8.6519999999999992"/>
    <n v="3"/>
    <n v="0.8"/>
    <n v="-20.3322"/>
  </r>
  <r>
    <n v="930"/>
    <s v="CA-2021-144932"/>
    <n v="14"/>
    <n v="4"/>
    <n v="2021"/>
    <s v="First Class"/>
    <s v="AB-10165"/>
    <s v="alan barnes"/>
    <s v="Consumer"/>
    <s v="United States-Ohio-Toledo"/>
    <s v="East"/>
    <n v="43615"/>
    <s v="OFF-AR-10003560"/>
    <x v="1"/>
    <s v="Art"/>
    <s v="Zebra Zazzle Fluorescent Highlighters"/>
    <n v="19.456"/>
    <n v="4"/>
    <n v="0.2"/>
    <n v="3.4047999999999998"/>
  </r>
  <r>
    <n v="931"/>
    <s v="CA-2021-144932"/>
    <n v="14"/>
    <n v="4"/>
    <n v="2021"/>
    <s v="First Class"/>
    <s v="AB-10165"/>
    <s v="alan barnes"/>
    <s v="Consumer"/>
    <s v="United States-Ohio-Toledo"/>
    <s v="East"/>
    <n v="43615"/>
    <s v="OFF-AR-10001468"/>
    <x v="1"/>
    <s v="Art"/>
    <s v="Sanford Prismacolor Professional Thick Lead Art Pencils, 36-Color Set"/>
    <n v="89.855999999999995"/>
    <n v="3"/>
    <n v="0.2"/>
    <n v="21.340800000000002"/>
  </r>
  <r>
    <n v="932"/>
    <s v="CA-2021-144932"/>
    <n v="14"/>
    <n v="4"/>
    <n v="2021"/>
    <s v="First Class"/>
    <s v="AB-10165"/>
    <s v="alan barnes"/>
    <s v="Consumer"/>
    <s v="United States-Ohio-Toledo"/>
    <s v="East"/>
    <n v="43615"/>
    <s v="OFF-PA-10004971"/>
    <x v="1"/>
    <s v="Paper"/>
    <s v="Xerox 196"/>
    <n v="4.6239999999999997"/>
    <n v="1"/>
    <n v="0.2"/>
    <n v="1.6761999999999999"/>
  </r>
  <r>
    <n v="933"/>
    <s v="CA-2021-114216"/>
    <n v="2"/>
    <n v="9"/>
    <n v="2021"/>
    <s v="Standard Class"/>
    <s v="RK-19300"/>
    <s v="ralph kennedy"/>
    <s v="Consumer"/>
    <s v="United States-Pennsylvania-Philadelphia"/>
    <s v="East"/>
    <n v="19140"/>
    <s v="OFF-PA-10002195"/>
    <x v="1"/>
    <s v="Paper"/>
    <s v="RSVP Cards &amp; Envelopes, Blank White, 8-1/2&quot; X 11&quot;, 24 Cards/25 Envelopes/Set"/>
    <n v="12.192"/>
    <n v="3"/>
    <n v="0.2"/>
    <n v="4.1147999999999998"/>
  </r>
  <r>
    <n v="934"/>
    <s v="CA-2020-140081"/>
    <n v="20"/>
    <n v="6"/>
    <n v="2020"/>
    <s v="Standard Class"/>
    <s v="CG-12040"/>
    <s v="catherine glotzbach"/>
    <s v="Home Office"/>
    <s v="United States-Pennsylvania-Philadelphia"/>
    <s v="East"/>
    <n v="19120"/>
    <s v="OFF-PA-10001745"/>
    <x v="1"/>
    <s v="Paper"/>
    <s v="Wirebound Message Books, 2 7/8&quot; x 5&quot;, 3 Forms per Page"/>
    <n v="45.055999999999997"/>
    <n v="8"/>
    <n v="0.2"/>
    <n v="15.2064"/>
  </r>
  <r>
    <n v="935"/>
    <s v="CA-2020-140081"/>
    <n v="20"/>
    <n v="6"/>
    <n v="2020"/>
    <s v="Standard Class"/>
    <s v="CG-12040"/>
    <s v="catherine glotzbach"/>
    <s v="Home Office"/>
    <s v="United States-Pennsylvania-Philadelphia"/>
    <s v="East"/>
    <n v="19120"/>
    <s v="OFF-BI-10004826"/>
    <x v="1"/>
    <s v="Binders"/>
    <s v="JM Magazine Binder"/>
    <n v="29.718"/>
    <n v="6"/>
    <n v="0.7"/>
    <n v="-21.793199999999999"/>
  </r>
  <r>
    <n v="936"/>
    <s v="CA-2020-140081"/>
    <n v="20"/>
    <n v="6"/>
    <n v="2020"/>
    <s v="Standard Class"/>
    <s v="CG-12040"/>
    <s v="catherine glotzbach"/>
    <s v="Home Office"/>
    <s v="United States-Pennsylvania-Philadelphia"/>
    <s v="East"/>
    <n v="19120"/>
    <s v="OFF-PA-10001870"/>
    <x v="1"/>
    <s v="Paper"/>
    <s v="Xerox 202"/>
    <n v="38.880000000000003"/>
    <n v="6"/>
    <n v="0"/>
    <n v="18.662400000000002"/>
  </r>
  <r>
    <n v="937"/>
    <s v="CA-2020-140081"/>
    <n v="20"/>
    <n v="6"/>
    <n v="2020"/>
    <s v="Standard Class"/>
    <s v="CG-12040"/>
    <s v="catherine glotzbach"/>
    <s v="Home Office"/>
    <s v="United States-Pennsylvania-Philadelphia"/>
    <s v="East"/>
    <n v="19120"/>
    <s v="OFF-AP-10001058"/>
    <x v="1"/>
    <s v="Appliances"/>
    <s v="Sanyo 2.5 Cubic Foot Mid-Size Office Refrigerators"/>
    <n v="839.43"/>
    <n v="3"/>
    <n v="0"/>
    <n v="218.2518"/>
  </r>
  <r>
    <n v="938"/>
    <s v="US-2021-111745"/>
    <n v="5"/>
    <n v="11"/>
    <n v="2021"/>
    <s v="First Class"/>
    <s v="RA-19885"/>
    <s v="ruben ausman"/>
    <s v="Corporate"/>
    <s v="United States-New Mexico-Farmington"/>
    <s v="West"/>
    <n v="87401"/>
    <s v="TEC-AC-10003911"/>
    <x v="2"/>
    <s v="Accessories"/>
    <s v="NETGEAR AC1750 Dual Band Gigabit Smart WiFi Router"/>
    <n v="1023.936"/>
    <n v="8"/>
    <n v="0.2"/>
    <n v="179.18879999999999"/>
  </r>
  <r>
    <n v="939"/>
    <s v="CA-2019-148250"/>
    <n v="13"/>
    <n v="12"/>
    <n v="2019"/>
    <s v="Standard Class"/>
    <s v="RP-19270"/>
    <s v="rachel payne"/>
    <s v="Corporate"/>
    <s v="United States-California-Riverside"/>
    <s v="West"/>
    <n v="92503"/>
    <s v="OFF-PA-10000289"/>
    <x v="1"/>
    <s v="Paper"/>
    <s v="Xerox 213"/>
    <n v="12.96"/>
    <n v="2"/>
    <n v="0"/>
    <n v="6.2207999999999997"/>
  </r>
  <r>
    <n v="940"/>
    <s v="CA-2019-148250"/>
    <n v="13"/>
    <n v="12"/>
    <n v="2019"/>
    <s v="Standard Class"/>
    <s v="RP-19270"/>
    <s v="rachel payne"/>
    <s v="Corporate"/>
    <s v="United States-California-Riverside"/>
    <s v="West"/>
    <n v="92503"/>
    <s v="OFF-AP-10003040"/>
    <x v="1"/>
    <s v="Appliances"/>
    <s v="Fellowes 8 Outlet Superior Workstation Surge Protector w/o Phone/Fax/Modem Protection"/>
    <n v="134.47999999999999"/>
    <n v="4"/>
    <n v="0"/>
    <n v="34.964799999999997"/>
  </r>
  <r>
    <n v="941"/>
    <s v="CA-2020-105760"/>
    <n v="19"/>
    <n v="6"/>
    <n v="2020"/>
    <s v="First Class"/>
    <s v="KC-16255"/>
    <s v="karen carlisle"/>
    <s v="Corporate"/>
    <s v="United States-California-San Francisco"/>
    <s v="West"/>
    <n v="94110"/>
    <s v="OFF-PA-10000350"/>
    <x v="1"/>
    <s v="Paper"/>
    <s v="Message Book, Standard Line &quot;While You Were Out&quot;, 5 1/2&quot; X 4&quot;, 200 Sets/Book"/>
    <n v="17.12"/>
    <n v="2"/>
    <n v="0"/>
    <n v="8.0464000000000002"/>
  </r>
  <r>
    <n v="942"/>
    <s v="CA-2020-142958"/>
    <n v="13"/>
    <n v="12"/>
    <n v="2020"/>
    <s v="Standard Class"/>
    <s v="RW-19630"/>
    <s v="rob williams"/>
    <s v="Corporate"/>
    <s v="United States-California-Torrance"/>
    <s v="West"/>
    <n v="90503"/>
    <s v="OFF-BI-10001759"/>
    <x v="1"/>
    <s v="Binders"/>
    <s v="Acco Pressboard Covers with Storage Hooks, 14 7/8&quot; x 11&quot;, Dark Blue"/>
    <n v="6.0960000000000001"/>
    <n v="2"/>
    <n v="0.2"/>
    <n v="2.2098"/>
  </r>
  <r>
    <n v="943"/>
    <s v="CA-2020-142958"/>
    <n v="13"/>
    <n v="12"/>
    <n v="2020"/>
    <s v="Standard Class"/>
    <s v="RW-19630"/>
    <s v="rob williams"/>
    <s v="Corporate"/>
    <s v="United States-California-Torrance"/>
    <s v="West"/>
    <n v="90503"/>
    <s v="FUR-TA-10000577"/>
    <x v="0"/>
    <s v="Tables"/>
    <s v="Bretford CR4500 Series Slim Rectangular Table"/>
    <n v="957.57749999999999"/>
    <n v="5"/>
    <n v="0.45"/>
    <n v="-383.03100000000001"/>
  </r>
  <r>
    <n v="944"/>
    <s v="CA-2019-120880"/>
    <n v="29"/>
    <n v="5"/>
    <n v="2019"/>
    <s v="Standard Class"/>
    <s v="JL-15850"/>
    <s v="john lucas"/>
    <s v="Consumer"/>
    <s v="United States-Washington-Seattle"/>
    <s v="West"/>
    <n v="98105"/>
    <s v="OFF-PA-10004101"/>
    <x v="1"/>
    <s v="Paper"/>
    <s v="Xerox 1894"/>
    <n v="10.368"/>
    <n v="2"/>
    <n v="0.2"/>
    <n v="3.6288"/>
  </r>
  <r>
    <n v="945"/>
    <s v="CA-2019-120880"/>
    <n v="29"/>
    <n v="5"/>
    <n v="2019"/>
    <s v="Standard Class"/>
    <s v="JL-15850"/>
    <s v="john lucas"/>
    <s v="Consumer"/>
    <s v="United States-Washington-Seattle"/>
    <s v="West"/>
    <n v="98105"/>
    <s v="OFF-ST-10001496"/>
    <x v="1"/>
    <s v="Storage"/>
    <s v="Standard Rollaway File with Lock"/>
    <n v="540.57000000000005"/>
    <n v="3"/>
    <n v="0"/>
    <n v="140.54820000000001"/>
  </r>
  <r>
    <n v="946"/>
    <s v="CA-2019-120880"/>
    <n v="29"/>
    <n v="5"/>
    <n v="2019"/>
    <s v="Standard Class"/>
    <s v="JL-15850"/>
    <s v="john lucas"/>
    <s v="Consumer"/>
    <s v="United States-Washington-Seattle"/>
    <s v="West"/>
    <n v="98105"/>
    <s v="OFF-BI-10002931"/>
    <x v="1"/>
    <s v="Binders"/>
    <s v="Avery Trapezoid Extra Heavy Duty 4&quot; Binders"/>
    <n v="167.76"/>
    <n v="5"/>
    <n v="0.2"/>
    <n v="62.91"/>
  </r>
  <r>
    <n v="947"/>
    <s v="US-2019-140200"/>
    <n v="26"/>
    <n v="7"/>
    <n v="2019"/>
    <s v="First Class"/>
    <s v="CA-12775"/>
    <s v="cynthia arntzen"/>
    <s v="Consumer"/>
    <s v="United States-Arizona-Mesa"/>
    <s v="West"/>
    <n v="85204"/>
    <s v="FUR-TA-10002356"/>
    <x v="0"/>
    <s v="Tables"/>
    <s v="Bevis Boat-Shaped Conference Table"/>
    <n v="393.16500000000002"/>
    <n v="3"/>
    <n v="0.5"/>
    <n v="-204.44579999999999"/>
  </r>
  <r>
    <n v="948"/>
    <s v="US-2021-110576"/>
    <n v="28"/>
    <n v="11"/>
    <n v="2021"/>
    <s v="Standard Class"/>
    <s v="RB-19795"/>
    <s v="ross baird"/>
    <s v="Home Office"/>
    <s v="United States-Pennsylvania-Philadelphia"/>
    <s v="East"/>
    <n v="19120"/>
    <s v="FUR-FU-10003601"/>
    <x v="0"/>
    <s v="Furnishings"/>
    <s v="Deflect-o RollaMat Studded, Beveled Mat for Medium Pile Carpeting"/>
    <n v="516.48800000000006"/>
    <n v="7"/>
    <n v="0.2"/>
    <n v="-12.9122"/>
  </r>
  <r>
    <n v="949"/>
    <s v="US-2021-110576"/>
    <n v="28"/>
    <n v="11"/>
    <n v="2021"/>
    <s v="Standard Class"/>
    <s v="RB-19795"/>
    <s v="ross baird"/>
    <s v="Home Office"/>
    <s v="United States-Pennsylvania-Philadelphia"/>
    <s v="East"/>
    <n v="19120"/>
    <s v="FUR-FU-10000576"/>
    <x v="0"/>
    <s v="Furnishings"/>
    <s v="Luxo Professional Fluorescent Magnifier Lamp with Clamp-Mount Base"/>
    <n v="419.68"/>
    <n v="5"/>
    <n v="0.6"/>
    <n v="-356.72800000000001"/>
  </r>
  <r>
    <n v="950"/>
    <s v="US-2021-110576"/>
    <n v="28"/>
    <n v="11"/>
    <n v="2021"/>
    <s v="Standard Class"/>
    <s v="RB-19795"/>
    <s v="ross baird"/>
    <s v="Home Office"/>
    <s v="United States-Pennsylvania-Philadelphia"/>
    <s v="East"/>
    <n v="19120"/>
    <s v="FUR-TA-10004154"/>
    <x v="0"/>
    <s v="Tables"/>
    <s v="Riverside Furniture Oval Coffee Table, Oval End Table, End Table with Drawer"/>
    <n v="2065.3200000000002"/>
    <n v="12"/>
    <n v="0.4"/>
    <n v="-619.596"/>
  </r>
  <r>
    <n v="951"/>
    <s v="US-2021-110576"/>
    <n v="28"/>
    <n v="11"/>
    <n v="2021"/>
    <s v="Standard Class"/>
    <s v="RB-19795"/>
    <s v="ross baird"/>
    <s v="Home Office"/>
    <s v="United States-Pennsylvania-Philadelphia"/>
    <s v="East"/>
    <n v="19120"/>
    <s v="OFF-PA-10000788"/>
    <x v="1"/>
    <s v="Paper"/>
    <s v="Xerox 210"/>
    <n v="15.552"/>
    <n v="3"/>
    <n v="0.2"/>
    <n v="5.4432"/>
  </r>
  <r>
    <n v="952"/>
    <s v="US-2021-110576"/>
    <n v="28"/>
    <n v="11"/>
    <n v="2021"/>
    <s v="Standard Class"/>
    <s v="RB-19795"/>
    <s v="ross baird"/>
    <s v="Home Office"/>
    <s v="United States-Pennsylvania-Philadelphia"/>
    <s v="East"/>
    <n v="19120"/>
    <s v="OFF-PA-10002479"/>
    <x v="1"/>
    <s v="Paper"/>
    <s v="Xerox 4200 Series MultiUse Premium Copy Paper (20Lb. and 84 Bright)"/>
    <n v="10.56"/>
    <n v="2"/>
    <n v="0"/>
    <n v="4.7519999999999998"/>
  </r>
  <r>
    <n v="953"/>
    <s v="CA-2021-131156"/>
    <n v="3"/>
    <n v="4"/>
    <n v="2021"/>
    <s v="Standard Class"/>
    <s v="KH-16360"/>
    <s v="katherine hughes"/>
    <s v="Consumer"/>
    <s v="United States-Pennsylvania-Philadelphia"/>
    <s v="East"/>
    <n v="19143"/>
    <s v="FUR-FU-10001940"/>
    <x v="0"/>
    <s v="Furnishings"/>
    <s v="Staple-based wall hangings"/>
    <n v="11.688000000000001"/>
    <n v="3"/>
    <n v="0.6"/>
    <n v="-4.6752000000000002"/>
  </r>
  <r>
    <n v="954"/>
    <s v="CA-2021-136539"/>
    <n v="28"/>
    <n v="12"/>
    <n v="2021"/>
    <s v="Standard Class"/>
    <s v="GH-14665"/>
    <s v="greg hansen"/>
    <s v="Consumer"/>
    <s v="United States-Texas-Round Rock"/>
    <s v="Central"/>
    <n v="78664"/>
    <s v="OFF-AR-10001958"/>
    <x v="1"/>
    <s v="Art"/>
    <s v="Stanley Bostitch Contemporary Electric Pencil Sharpeners"/>
    <n v="27.167999999999999"/>
    <n v="2"/>
    <n v="0.2"/>
    <n v="2.7168000000000001"/>
  </r>
  <r>
    <n v="955"/>
    <s v="CA-2021-136539"/>
    <n v="28"/>
    <n v="12"/>
    <n v="2021"/>
    <s v="Standard Class"/>
    <s v="GH-14665"/>
    <s v="greg hansen"/>
    <s v="Consumer"/>
    <s v="United States-Texas-Round Rock"/>
    <s v="Central"/>
    <n v="78664"/>
    <s v="FUR-BO-10004709"/>
    <x v="0"/>
    <s v="Bookcases"/>
    <s v="Bush Westfield Collection Bookcases, Medium Cherry Finish"/>
    <n v="86.97"/>
    <n v="3"/>
    <n v="0.5"/>
    <n v="-48.703200000000002"/>
  </r>
  <r>
    <n v="956"/>
    <s v="CA-2021-119305"/>
    <n v="30"/>
    <n v="11"/>
    <n v="2021"/>
    <s v="Standard Class"/>
    <s v="SW-20275"/>
    <s v="scott williamson"/>
    <s v="Consumer"/>
    <s v="United States-Mississippi-Jackson"/>
    <s v="South"/>
    <n v="39212"/>
    <s v="OFF-ST-10000604"/>
    <x v="1"/>
    <s v="Storage"/>
    <s v="Home/Office Personal File Carts"/>
    <n v="208.56"/>
    <n v="6"/>
    <n v="0"/>
    <n v="52.14"/>
  </r>
  <r>
    <n v="957"/>
    <s v="CA-2021-102414"/>
    <n v="15"/>
    <n v="5"/>
    <n v="2021"/>
    <s v="Second Class"/>
    <s v="JA-15970"/>
    <s v="joseph airdo"/>
    <s v="Consumer"/>
    <s v="United States-Arizona-Phoenix"/>
    <s v="West"/>
    <n v="85023"/>
    <s v="TEC-PH-10002923"/>
    <x v="2"/>
    <s v="Phones"/>
    <s v="Logitech B530 USB Headset - headset - Full size, Binaural"/>
    <n v="59.183999999999997"/>
    <n v="2"/>
    <n v="0.2"/>
    <n v="5.1786000000000003"/>
  </r>
  <r>
    <n v="958"/>
    <s v="CA-2021-102414"/>
    <n v="15"/>
    <n v="5"/>
    <n v="2021"/>
    <s v="Second Class"/>
    <s v="JA-15970"/>
    <s v="joseph airdo"/>
    <s v="Consumer"/>
    <s v="United States-Arizona-Phoenix"/>
    <s v="West"/>
    <n v="85023"/>
    <s v="OFF-BI-10004465"/>
    <x v="1"/>
    <s v="Binders"/>
    <s v="Avery Durable Slant Ring Binders"/>
    <n v="4.7519999999999998"/>
    <n v="2"/>
    <n v="0.7"/>
    <n v="-3.1680000000000001"/>
  </r>
  <r>
    <n v="959"/>
    <s v="CA-2021-102414"/>
    <n v="15"/>
    <n v="5"/>
    <n v="2021"/>
    <s v="Second Class"/>
    <s v="JA-15970"/>
    <s v="joseph airdo"/>
    <s v="Consumer"/>
    <s v="United States-Arizona-Phoenix"/>
    <s v="West"/>
    <n v="85023"/>
    <s v="OFF-PA-10002333"/>
    <x v="1"/>
    <s v="Paper"/>
    <s v="Universal Ultra Bright White Copier/Laser Paper, 8 1/2&quot; x 11&quot;, Ream"/>
    <n v="15.552"/>
    <n v="3"/>
    <n v="0.2"/>
    <n v="5.6375999999999999"/>
  </r>
  <r>
    <n v="960"/>
    <s v="CA-2019-112571"/>
    <n v="22"/>
    <n v="9"/>
    <n v="2019"/>
    <s v="Same Day"/>
    <s v="DL-12925"/>
    <s v="daniel lacy"/>
    <s v="Consumer"/>
    <s v="United States-California-Oceanside"/>
    <s v="West"/>
    <n v="92054"/>
    <s v="FUR-FU-10004188"/>
    <x v="0"/>
    <s v="Furnishings"/>
    <s v="Luxo Professional Combination Clamp-On Lamps"/>
    <n v="204.6"/>
    <n v="2"/>
    <n v="0"/>
    <n v="53.195999999999998"/>
  </r>
  <r>
    <n v="961"/>
    <s v="CA-2021-152142"/>
    <n v="14"/>
    <n v="11"/>
    <n v="2021"/>
    <s v="Standard Class"/>
    <s v="LW-16990"/>
    <s v="lindsay williams"/>
    <s v="Corporate"/>
    <s v="United States-California-San Francisco"/>
    <s v="West"/>
    <n v="94110"/>
    <s v="FUR-CH-10002965"/>
    <x v="0"/>
    <s v="Chairs"/>
    <s v="Global Leather Highback Executive Chair with Pneumatic Height Adjustment, Black"/>
    <n v="321.56799999999998"/>
    <n v="2"/>
    <n v="0.2"/>
    <n v="28.1372"/>
  </r>
  <r>
    <n v="962"/>
    <s v="CA-2019-160059"/>
    <n v="27"/>
    <n v="11"/>
    <n v="2019"/>
    <s v="Standard Class"/>
    <s v="TB-21190"/>
    <s v="thomas brumley"/>
    <s v="Home Office"/>
    <s v="United States-Arkansas-Fayetteville"/>
    <s v="South"/>
    <n v="72701"/>
    <s v="OFF-BI-10000145"/>
    <x v="1"/>
    <s v="Binders"/>
    <s v="Zipper Ring Binder Pockets"/>
    <n v="6.24"/>
    <n v="2"/>
    <n v="0"/>
    <n v="3.0575999999999999"/>
  </r>
  <r>
    <n v="963"/>
    <s v="CA-2020-120859"/>
    <n v="1"/>
    <n v="9"/>
    <n v="2020"/>
    <s v="First Class"/>
    <s v="CV-12805"/>
    <s v="cynthia voltz"/>
    <s v="Corporate"/>
    <s v="United States-California-San Francisco"/>
    <s v="West"/>
    <n v="94110"/>
    <s v="OFF-EN-10001335"/>
    <x v="1"/>
    <s v="Envelopes"/>
    <s v="White Business Envelopes with Contemporary Seam, Recycled White Business Envelopes"/>
    <n v="52.512"/>
    <n v="6"/>
    <n v="0.2"/>
    <n v="19.692"/>
  </r>
  <r>
    <n v="964"/>
    <s v="CA-2018-127488"/>
    <n v="22"/>
    <n v="9"/>
    <n v="2018"/>
    <s v="Second Class"/>
    <s v="MS-17365"/>
    <s v="maribeth schnelling"/>
    <s v="Consumer"/>
    <s v="United States-Florida-Boca Raton"/>
    <s v="South"/>
    <n v="33433"/>
    <s v="OFF-LA-10001613"/>
    <x v="1"/>
    <s v="Labels"/>
    <s v="Avery File Folder Labels"/>
    <n v="4.6079999999999997"/>
    <n v="2"/>
    <n v="0.2"/>
    <n v="1.6704000000000001"/>
  </r>
  <r>
    <n v="965"/>
    <s v="CA-2021-135279"/>
    <n v="9"/>
    <n v="4"/>
    <n v="2021"/>
    <s v="First Class"/>
    <s v="BS-11800"/>
    <s v="bryan spruell"/>
    <s v="Home Office"/>
    <s v="United States-New York-New York City"/>
    <s v="East"/>
    <n v="10011"/>
    <s v="OFF-LA-10004055"/>
    <x v="1"/>
    <s v="Labels"/>
    <s v="Color-Coded Legal Exhibit Labels"/>
    <n v="9.82"/>
    <n v="2"/>
    <n v="0"/>
    <n v="4.8117999999999999"/>
  </r>
  <r>
    <n v="966"/>
    <s v="CA-2021-135279"/>
    <n v="9"/>
    <n v="4"/>
    <n v="2021"/>
    <s v="First Class"/>
    <s v="BS-11800"/>
    <s v="bryan spruell"/>
    <s v="Home Office"/>
    <s v="United States-New York-New York City"/>
    <s v="East"/>
    <n v="10011"/>
    <s v="OFF-AR-10004344"/>
    <x v="1"/>
    <s v="Art"/>
    <s v="Bulldog Vacuum Base Pencil Sharpener"/>
    <n v="95.92"/>
    <n v="8"/>
    <n v="0"/>
    <n v="25.898399999999999"/>
  </r>
  <r>
    <n v="967"/>
    <s v="CA-2021-135279"/>
    <n v="9"/>
    <n v="4"/>
    <n v="2021"/>
    <s v="First Class"/>
    <s v="BS-11800"/>
    <s v="bryan spruell"/>
    <s v="Home Office"/>
    <s v="United States-New York-New York City"/>
    <s v="East"/>
    <n v="10011"/>
    <s v="OFF-PA-10004621"/>
    <x v="1"/>
    <s v="Paper"/>
    <s v="Xerox 212"/>
    <n v="12.96"/>
    <n v="2"/>
    <n v="0"/>
    <n v="6.2207999999999997"/>
  </r>
  <r>
    <n v="968"/>
    <s v="CA-2021-135279"/>
    <n v="9"/>
    <n v="4"/>
    <n v="2021"/>
    <s v="First Class"/>
    <s v="BS-11800"/>
    <s v="bryan spruell"/>
    <s v="Home Office"/>
    <s v="United States-New York-New York City"/>
    <s v="East"/>
    <n v="10011"/>
    <s v="OFF-PA-10001281"/>
    <x v="1"/>
    <s v="Paper"/>
    <s v="Computer Printout Paper with Letter-Trim Fine Perforations"/>
    <n v="191.6"/>
    <n v="4"/>
    <n v="0"/>
    <n v="91.968000000000004"/>
  </r>
  <r>
    <n v="969"/>
    <s v="CA-2021-135279"/>
    <n v="9"/>
    <n v="4"/>
    <n v="2021"/>
    <s v="First Class"/>
    <s v="BS-11800"/>
    <s v="bryan spruell"/>
    <s v="Home Office"/>
    <s v="United States-New York-New York City"/>
    <s v="East"/>
    <n v="10011"/>
    <s v="OFF-LA-10001613"/>
    <x v="1"/>
    <s v="Labels"/>
    <s v="Avery File Folder Labels"/>
    <n v="4.6079999999999997"/>
    <n v="2"/>
    <n v="0.2"/>
    <n v="1.6704000000000001"/>
  </r>
  <r>
    <n v="970"/>
    <s v="CA-2021-135279"/>
    <n v="9"/>
    <n v="4"/>
    <n v="2021"/>
    <s v="First Class"/>
    <s v="BS-11800"/>
    <s v="bryan spruell"/>
    <s v="Home Office"/>
    <s v="United States-New York-New York City"/>
    <s v="East"/>
    <n v="10011"/>
    <s v="OFF-ST-10001097"/>
    <x v="1"/>
    <s v="Storage"/>
    <s v="Office Impressions Heavy Duty Welded Shelving &amp; Multimedia Storage Drawers"/>
    <n v="501.81"/>
    <n v="3"/>
    <n v="0"/>
    <n v="0"/>
  </r>
  <r>
    <n v="971"/>
    <s v="CA-2018-115791"/>
    <n v="16"/>
    <n v="1"/>
    <n v="2018"/>
    <s v="Second Class"/>
    <s v="DL-13315"/>
    <s v="delfina latchford"/>
    <s v="Consumer"/>
    <s v="United States-Pennsylvania-Philadelphia"/>
    <s v="East"/>
    <n v="19134"/>
    <s v="FUR-FU-10001095"/>
    <x v="0"/>
    <s v="Furnishings"/>
    <s v="DAX Black Cherry Wood-Tone Poster Frame"/>
    <n v="127.104"/>
    <n v="6"/>
    <n v="0.2"/>
    <n v="28.598400000000002"/>
  </r>
  <r>
    <n v="972"/>
    <s v="CA-2018-115791"/>
    <n v="16"/>
    <n v="1"/>
    <n v="2018"/>
    <s v="Second Class"/>
    <s v="DL-13315"/>
    <s v="delfina latchford"/>
    <s v="Consumer"/>
    <s v="United States-Pennsylvania-Philadelphia"/>
    <s v="East"/>
    <n v="19134"/>
    <s v="TEC-PH-10004614"/>
    <x v="2"/>
    <s v="Phones"/>
    <s v="AT&amp;T 841000 Phone"/>
    <n v="82.8"/>
    <n v="2"/>
    <n v="0.4"/>
    <n v="-20.7"/>
  </r>
  <r>
    <n v="973"/>
    <s v="CA-2018-115791"/>
    <n v="16"/>
    <n v="1"/>
    <n v="2018"/>
    <s v="Second Class"/>
    <s v="DL-13315"/>
    <s v="delfina latchford"/>
    <s v="Consumer"/>
    <s v="United States-Pennsylvania-Philadelphia"/>
    <s v="East"/>
    <n v="19134"/>
    <s v="OFF-BI-10001575"/>
    <x v="1"/>
    <s v="Binders"/>
    <s v="GBC Linen Binding Covers"/>
    <n v="18.588000000000001"/>
    <n v="2"/>
    <n v="0.7"/>
    <n v="-13.6312"/>
  </r>
  <r>
    <n v="974"/>
    <s v="CA-2018-115791"/>
    <n v="16"/>
    <n v="1"/>
    <n v="2018"/>
    <s v="Second Class"/>
    <s v="DL-13315"/>
    <s v="delfina latchford"/>
    <s v="Consumer"/>
    <s v="United States-Pennsylvania-Philadelphia"/>
    <s v="East"/>
    <n v="19134"/>
    <s v="OFF-LA-10001074"/>
    <x v="1"/>
    <s v="Labels"/>
    <s v="Round Specialty Laser Printer Labels"/>
    <n v="100.24"/>
    <n v="10"/>
    <n v="0.2"/>
    <n v="33.831000000000003"/>
  </r>
  <r>
    <n v="975"/>
    <s v="US-2021-103247"/>
    <n v="5"/>
    <n v="10"/>
    <n v="2021"/>
    <s v="Second Class"/>
    <s v="PO-19195"/>
    <s v="phillina ober"/>
    <s v="Home Office"/>
    <s v="United States-New York-New York City"/>
    <s v="East"/>
    <n v="10011"/>
    <s v="TEC-PH-10003555"/>
    <x v="2"/>
    <s v="Phones"/>
    <s v="Motorola HK250 Universal Bluetooth Headset"/>
    <n v="55.176000000000002"/>
    <n v="3"/>
    <n v="0.2"/>
    <n v="-12.4146"/>
  </r>
  <r>
    <n v="976"/>
    <s v="US-2021-103247"/>
    <n v="5"/>
    <n v="10"/>
    <n v="2021"/>
    <s v="Second Class"/>
    <s v="PO-19195"/>
    <s v="phillina ober"/>
    <s v="Home Office"/>
    <s v="United States-New York-New York City"/>
    <s v="East"/>
    <n v="10011"/>
    <s v="OFF-BI-10004492"/>
    <x v="1"/>
    <s v="Binders"/>
    <s v="Tuf-Vin Binders"/>
    <n v="75.792000000000002"/>
    <n v="3"/>
    <n v="0.2"/>
    <n v="25.579799999999999"/>
  </r>
  <r>
    <n v="977"/>
    <s v="US-2021-100209"/>
    <n v="9"/>
    <n v="7"/>
    <n v="2021"/>
    <s v="Standard Class"/>
    <s v="TD-20995"/>
    <s v="tamara dahlen"/>
    <s v="Consumer"/>
    <s v="United States-Oregon-Portland"/>
    <s v="West"/>
    <n v="97206"/>
    <s v="OFF-BI-10002012"/>
    <x v="1"/>
    <s v="Binders"/>
    <s v="Wilson Jones Easy Flow II Sheet Lifters"/>
    <n v="1.08"/>
    <n v="2"/>
    <n v="0.7"/>
    <n v="-0.79200000000000004"/>
  </r>
  <r>
    <n v="978"/>
    <s v="CA-2021-159366"/>
    <n v="7"/>
    <n v="1"/>
    <n v="2021"/>
    <s v="First Class"/>
    <s v="BW-11110"/>
    <s v="bart watters"/>
    <s v="Corporate"/>
    <s v="United States-Michigan-Detroit"/>
    <s v="Central"/>
    <n v="48205"/>
    <s v="TEC-MA-10000822"/>
    <x v="2"/>
    <s v="Machines"/>
    <s v="Lexmark MX611dhe Monochrome Laser Printer"/>
    <n v="8159.9520000000002"/>
    <n v="8"/>
    <n v="0.4"/>
    <n v="-1359.992"/>
  </r>
  <r>
    <n v="979"/>
    <s v="CA-2020-145499"/>
    <n v="30"/>
    <n v="5"/>
    <n v="2020"/>
    <s v="First Class"/>
    <s v="RW-19690"/>
    <s v="robert waldorf"/>
    <s v="Consumer"/>
    <s v="United States-North Carolina-Wilmington"/>
    <s v="South"/>
    <n v="28403"/>
    <s v="OFF-BI-10000848"/>
    <x v="1"/>
    <s v="Binders"/>
    <s v="Angle-D Ring Binders"/>
    <n v="3.282"/>
    <n v="2"/>
    <n v="0.7"/>
    <n v="-2.6255999999999999"/>
  </r>
  <r>
    <n v="980"/>
    <s v="CA-2019-157035"/>
    <n v="9"/>
    <n v="12"/>
    <n v="2019"/>
    <s v="First Class"/>
    <s v="KB-16600"/>
    <s v="ken brennan"/>
    <s v="Corporate"/>
    <s v="United States-Indiana-Columbus"/>
    <s v="Central"/>
    <n v="47201"/>
    <s v="OFF-PA-10004156"/>
    <x v="1"/>
    <s v="Paper"/>
    <s v="Xerox 188"/>
    <n v="34.020000000000003"/>
    <n v="3"/>
    <n v="0"/>
    <n v="16.669799999999999"/>
  </r>
  <r>
    <n v="981"/>
    <s v="CA-2020-144939"/>
    <n v="3"/>
    <n v="10"/>
    <n v="2020"/>
    <s v="Standard Class"/>
    <s v="EB-13870"/>
    <s v="emily burns"/>
    <s v="Consumer"/>
    <s v="United States-New York-New York City"/>
    <s v="East"/>
    <n v="10035"/>
    <s v="FUR-CH-10003199"/>
    <x v="0"/>
    <s v="Chairs"/>
    <s v="Office Star - Contemporary Task Swivel Chair"/>
    <n v="332.94"/>
    <n v="3"/>
    <n v="0"/>
    <n v="79.905600000000007"/>
  </r>
  <r>
    <n v="982"/>
    <s v="CA-2018-163419"/>
    <n v="11"/>
    <n v="11"/>
    <n v="2018"/>
    <s v="Second Class"/>
    <s v="TZ-21580"/>
    <s v="tracy zic"/>
    <s v="Consumer"/>
    <s v="United States-Colorado-Louisville"/>
    <s v="West"/>
    <n v="80027"/>
    <s v="OFF-AR-10000034"/>
    <x v="1"/>
    <s v="Art"/>
    <s v="BIC Brite Liner Grip Highlighters, Assorted, 5/Pack"/>
    <n v="3.3919999999999999"/>
    <n v="1"/>
    <n v="0.2"/>
    <n v="0.80559999999999998"/>
  </r>
  <r>
    <n v="983"/>
    <s v="CA-2018-163419"/>
    <n v="11"/>
    <n v="11"/>
    <n v="2018"/>
    <s v="Second Class"/>
    <s v="TZ-21580"/>
    <s v="tracy zic"/>
    <s v="Consumer"/>
    <s v="United States-Colorado-Louisville"/>
    <s v="West"/>
    <n v="80027"/>
    <s v="TEC-PH-10000560"/>
    <x v="2"/>
    <s v="Phones"/>
    <s v="Samsung Galaxy S III - 16GB - pebble blue (T-Mobile)"/>
    <n v="559.98400000000004"/>
    <n v="2"/>
    <n v="0.2"/>
    <n v="55.998399999999997"/>
  </r>
  <r>
    <n v="984"/>
    <s v="CA-2018-163419"/>
    <n v="11"/>
    <n v="11"/>
    <n v="2018"/>
    <s v="Second Class"/>
    <s v="TZ-21580"/>
    <s v="tracy zic"/>
    <s v="Consumer"/>
    <s v="United States-Colorado-Louisville"/>
    <s v="West"/>
    <n v="80027"/>
    <s v="FUR-CH-10000665"/>
    <x v="0"/>
    <s v="Chairs"/>
    <s v="Global Airflow Leather Mesh Back Chair, Black"/>
    <n v="301.95999999999998"/>
    <n v="2"/>
    <n v="0"/>
    <n v="90.587999999999994"/>
  </r>
  <r>
    <n v="985"/>
    <s v="CA-2021-100314"/>
    <n v="29"/>
    <n v="9"/>
    <n v="2021"/>
    <s v="Standard Class"/>
    <s v="AS-10630"/>
    <s v="ann steele"/>
    <s v="Home Office"/>
    <s v="United States-Texas-Pasadena"/>
    <s v="Central"/>
    <n v="77506"/>
    <s v="OFF-LA-10001569"/>
    <x v="1"/>
    <s v="Labels"/>
    <s v="Avery 499"/>
    <n v="9.9600000000000009"/>
    <n v="2"/>
    <n v="0"/>
    <n v="4.5815999999999999"/>
  </r>
  <r>
    <n v="986"/>
    <s v="CA-2021-100314"/>
    <n v="29"/>
    <n v="9"/>
    <n v="2021"/>
    <s v="Standard Class"/>
    <s v="AS-10630"/>
    <s v="ann steele"/>
    <s v="Home Office"/>
    <s v="United States-Texas-Pasadena"/>
    <s v="Central"/>
    <n v="77506"/>
    <s v="OFF-EN-10000461"/>
    <x v="1"/>
    <s v="Envelopes"/>
    <s v="#10- 4 1/8&quot; x 9 1/2&quot; Recycled Envelopes"/>
    <n v="27.968"/>
    <n v="4"/>
    <n v="0.2"/>
    <n v="9.4391999999999996"/>
  </r>
  <r>
    <n v="987"/>
    <s v="CA-2021-100314"/>
    <n v="29"/>
    <n v="9"/>
    <n v="2021"/>
    <s v="Standard Class"/>
    <s v="AS-10630"/>
    <s v="ann steele"/>
    <s v="Home Office"/>
    <s v="United States-Texas-Pasadena"/>
    <s v="Central"/>
    <n v="77506"/>
    <s v="TEC-MA-10003066"/>
    <x v="2"/>
    <s v="Machines"/>
    <s v="Wasp CCD Handheld Bar Code Reader"/>
    <n v="336.51"/>
    <n v="3"/>
    <n v="0.4"/>
    <n v="44.868000000000002"/>
  </r>
  <r>
    <n v="988"/>
    <s v="CA-2019-146829"/>
    <n v="10"/>
    <n v="3"/>
    <n v="2019"/>
    <s v="Same Day"/>
    <s v="TS-21340"/>
    <s v="toby swindell"/>
    <s v="Consumer"/>
    <s v="United States-Texas-Houston"/>
    <s v="Central"/>
    <n v="77041"/>
    <s v="OFF-BI-10004022"/>
    <x v="1"/>
    <s v="Binders"/>
    <s v="Acco Suede Grain Vinyl Round Ring Binder"/>
    <n v="1.1120000000000001"/>
    <n v="2"/>
    <n v="0.8"/>
    <n v="-1.8904000000000001"/>
  </r>
  <r>
    <n v="989"/>
    <s v="CA-2021-167899"/>
    <n v="21"/>
    <n v="5"/>
    <n v="2021"/>
    <s v="Standard Class"/>
    <s v="JG-15805"/>
    <s v="john grady"/>
    <s v="Corporate"/>
    <s v="United States-New York-Auburn"/>
    <s v="East"/>
    <n v="13021"/>
    <s v="FUR-FU-10004071"/>
    <x v="0"/>
    <s v="Furnishings"/>
    <s v="Luxo Professional Magnifying Clamp-On Fluorescent Lamps"/>
    <n v="104.01"/>
    <n v="1"/>
    <n v="0"/>
    <n v="14.561400000000001"/>
  </r>
  <r>
    <n v="990"/>
    <s v="CA-2021-167899"/>
    <n v="21"/>
    <n v="5"/>
    <n v="2021"/>
    <s v="Standard Class"/>
    <s v="JG-15805"/>
    <s v="john grady"/>
    <s v="Corporate"/>
    <s v="United States-New York-Auburn"/>
    <s v="East"/>
    <n v="13021"/>
    <s v="OFF-AR-10001988"/>
    <x v="1"/>
    <s v="Art"/>
    <s v="Bulldog Table or Wall-Mount Pencil Sharpener"/>
    <n v="17.97"/>
    <n v="3"/>
    <n v="0"/>
    <n v="5.2112999999999996"/>
  </r>
  <r>
    <n v="991"/>
    <s v="CA-2019-153549"/>
    <n v="29"/>
    <n v="3"/>
    <n v="2019"/>
    <s v="Second Class"/>
    <s v="SL-20155"/>
    <s v="sara luxemburg"/>
    <s v="Home Office"/>
    <s v="United States-Florida-Jacksonville"/>
    <s v="South"/>
    <n v="32216"/>
    <s v="FUR-CH-10004086"/>
    <x v="0"/>
    <s v="Chairs"/>
    <s v="Hon 4070 Series Pagoda Armless Upholstered Stacking Chairs"/>
    <n v="466.76799999999997"/>
    <n v="2"/>
    <n v="0.2"/>
    <n v="52.511400000000002"/>
  </r>
  <r>
    <n v="992"/>
    <s v="CA-2020-110023"/>
    <n v="9"/>
    <n v="9"/>
    <n v="2020"/>
    <s v="First Class"/>
    <s v="TS-21610"/>
    <s v="troy staebel"/>
    <s v="Consumer"/>
    <s v="United States-New York-New York City"/>
    <s v="East"/>
    <n v="10024"/>
    <s v="OFF-BI-10001036"/>
    <x v="1"/>
    <s v="Binders"/>
    <s v="Cardinal EasyOpen D-Ring Binders"/>
    <n v="18.28"/>
    <n v="2"/>
    <n v="0"/>
    <n v="9.14"/>
  </r>
  <r>
    <n v="993"/>
    <s v="CA-2020-105585"/>
    <n v="26"/>
    <n v="8"/>
    <n v="2020"/>
    <s v="First Class"/>
    <s v="RF-19735"/>
    <s v="roland fjeld"/>
    <s v="Consumer"/>
    <s v="United States-California-San Jose"/>
    <s v="West"/>
    <n v="95123"/>
    <s v="OFF-FA-10002983"/>
    <x v="1"/>
    <s v="Fasteners"/>
    <s v="Advantus SlideClip Paper Clips"/>
    <n v="19.096"/>
    <n v="7"/>
    <n v="0.2"/>
    <n v="6.6836000000000002"/>
  </r>
  <r>
    <n v="994"/>
    <s v="CA-2020-105585"/>
    <n v="26"/>
    <n v="8"/>
    <n v="2020"/>
    <s v="First Class"/>
    <s v="RF-19735"/>
    <s v="roland fjeld"/>
    <s v="Consumer"/>
    <s v="United States-California-San Jose"/>
    <s v="West"/>
    <n v="95123"/>
    <s v="OFF-PA-10003625"/>
    <x v="1"/>
    <s v="Paper"/>
    <s v="Xerox 1979"/>
    <n v="154.9"/>
    <n v="5"/>
    <n v="0"/>
    <n v="69.704999999999998"/>
  </r>
  <r>
    <n v="995"/>
    <s v="CA-2018-117639"/>
    <n v="21"/>
    <n v="5"/>
    <n v="2018"/>
    <s v="Standard Class"/>
    <s v="MW-18235"/>
    <s v="mitch willingham"/>
    <s v="Corporate"/>
    <s v="United States-Virginia-Virginia Beach"/>
    <s v="South"/>
    <n v="23464"/>
    <s v="OFF-BI-10003925"/>
    <x v="1"/>
    <s v="Binders"/>
    <s v="Fellowes PB300 Plastic Comb Binding Machine"/>
    <n v="2715.93"/>
    <n v="7"/>
    <n v="0"/>
    <n v="1276.4871000000001"/>
  </r>
  <r>
    <n v="996"/>
    <s v="CA-2018-117639"/>
    <n v="21"/>
    <n v="5"/>
    <n v="2018"/>
    <s v="Standard Class"/>
    <s v="MW-18235"/>
    <s v="mitch willingham"/>
    <s v="Corporate"/>
    <s v="United States-Virginia-Virginia Beach"/>
    <s v="South"/>
    <n v="23464"/>
    <s v="TEC-PH-10001530"/>
    <x v="2"/>
    <s v="Phones"/>
    <s v="Plantronics Voyager Pro Legend"/>
    <n v="617.97"/>
    <n v="3"/>
    <n v="0"/>
    <n v="173.0316"/>
  </r>
  <r>
    <n v="997"/>
    <s v="CA-2019-162537"/>
    <n v="28"/>
    <n v="10"/>
    <n v="2019"/>
    <s v="Standard Class"/>
    <s v="RD-19585"/>
    <s v="rob dowd"/>
    <s v="Consumer"/>
    <s v="United States-Kentucky-Henderson"/>
    <s v="South"/>
    <n v="42420"/>
    <s v="OFF-EN-10003862"/>
    <x v="1"/>
    <s v="Envelopes"/>
    <s v="Laser &amp; Ink Jet Business Envelopes"/>
    <n v="10.67"/>
    <n v="1"/>
    <n v="0"/>
    <n v="4.9081999999999999"/>
  </r>
  <r>
    <n v="998"/>
    <s v="CA-2019-162537"/>
    <n v="28"/>
    <n v="10"/>
    <n v="2019"/>
    <s v="Standard Class"/>
    <s v="RD-19585"/>
    <s v="rob dowd"/>
    <s v="Consumer"/>
    <s v="United States-Kentucky-Henderson"/>
    <s v="South"/>
    <n v="42420"/>
    <s v="OFF-ST-10004258"/>
    <x v="1"/>
    <s v="Storage"/>
    <s v="Portable Personal File Box"/>
    <n v="36.630000000000003"/>
    <n v="3"/>
    <n v="0"/>
    <n v="9.8901000000000003"/>
  </r>
  <r>
    <n v="999"/>
    <s v="CA-2019-162537"/>
    <n v="28"/>
    <n v="10"/>
    <n v="2019"/>
    <s v="Standard Class"/>
    <s v="RD-19585"/>
    <s v="rob dowd"/>
    <s v="Consumer"/>
    <s v="United States-Kentucky-Henderson"/>
    <s v="South"/>
    <n v="42420"/>
    <s v="FUR-FU-10002885"/>
    <x v="0"/>
    <s v="Furnishings"/>
    <s v="Magna Visual Magnetic Picture Hangers"/>
    <n v="24.1"/>
    <n v="5"/>
    <n v="0"/>
    <n v="9.1579999999999995"/>
  </r>
  <r>
    <n v="1000"/>
    <s v="CA-2019-162537"/>
    <n v="28"/>
    <n v="10"/>
    <n v="2019"/>
    <s v="Standard Class"/>
    <s v="RD-19585"/>
    <s v="rob dowd"/>
    <s v="Consumer"/>
    <s v="United States-Kentucky-Henderson"/>
    <s v="South"/>
    <n v="42420"/>
    <s v="FUR-FU-10001918"/>
    <x v="0"/>
    <s v="Furnishings"/>
    <s v="C-Line Cubicle Keepers Polyproplyene Holder With Velcro Backings"/>
    <n v="15.135999999999999"/>
    <n v="4"/>
    <n v="0.2"/>
    <n v="3.59480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7D53FE-77F3-4404-99DC-7A83B02854F2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8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3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Sales" fld="16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86DBD71-27EB-4CAC-A5F4-D781C552D639}" name="Table3" displayName="Table3" ref="A1:T1005" totalsRowShown="0">
  <autoFilter ref="A1:T1005" xr:uid="{386DBD71-27EB-4CAC-A5F4-D781C552D639}"/>
  <tableColumns count="20">
    <tableColumn id="1" xr3:uid="{EA88DB07-83F1-4F80-8062-411FD8D57591}" name="Row ID"/>
    <tableColumn id="2" xr3:uid="{3F9E0903-5198-4A58-B7E0-AD85FA202410}" name="Order ID"/>
    <tableColumn id="3" xr3:uid="{94E17AFE-FA57-411D-8D49-71810C6CFFCF}" name="Day"/>
    <tableColumn id="4" xr3:uid="{F7DA338B-C67A-41CF-8BC0-1A5E6BDF4FA2}" name="Month"/>
    <tableColumn id="5" xr3:uid="{08687FA3-3825-407C-8453-8FCAC7B979D4}" name="Year"/>
    <tableColumn id="6" xr3:uid="{EECB796C-6B2C-4BF9-8238-8786D03D4ABB}" name="Ship Mode"/>
    <tableColumn id="7" xr3:uid="{531FEF85-347B-4F47-9240-8CBF26328297}" name="Customer ID"/>
    <tableColumn id="8" xr3:uid="{E01391D6-7EB4-45DF-BA49-F054D411F61B}" name="Customer Name"/>
    <tableColumn id="9" xr3:uid="{2D52FEB8-068D-4F0D-A6DD-7E360B611621}" name="Segment"/>
    <tableColumn id="10" xr3:uid="{1512598F-45C7-44E3-8CC1-2251AC9C31B8}" name="Country-State-City"/>
    <tableColumn id="11" xr3:uid="{871465DF-3C49-4209-B2F5-F92FFBC63989}" name="Region"/>
    <tableColumn id="12" xr3:uid="{F51E74E7-7762-4637-A87D-F639990B1A37}" name="Postal Code"/>
    <tableColumn id="13" xr3:uid="{B796F4F5-EC7E-45E7-8D1B-A5CDD5E38940}" name="Product ID"/>
    <tableColumn id="14" xr3:uid="{22BF421B-E726-469E-B7A0-0412937DA12E}" name="Category"/>
    <tableColumn id="15" xr3:uid="{E398DB0C-6C22-4F48-AA10-972AF1ACA070}" name="Sub-Category"/>
    <tableColumn id="16" xr3:uid="{0BCDC3AC-AA00-4AF8-8DB9-D8E787BC62A7}" name="Product Name"/>
    <tableColumn id="17" xr3:uid="{AC0711AC-ACC3-4583-8ED6-B888A8A4551B}" name="Sales" dataDxfId="3">
      <calculatedColumnFormula>_xlfn.XLOOKUP(Table3[[#This Row],[Product Name]],Sales!A:A,Sales!B:B)</calculatedColumnFormula>
    </tableColumn>
    <tableColumn id="18" xr3:uid="{97BB41D4-7F95-4248-ACBD-414151F6548E}" name="Quantity" dataDxfId="2">
      <calculatedColumnFormula>_xlfn.XLOOKUP(Table3[[#This Row],[Product Name]],Sales!A:A,Sales!C:C)</calculatedColumnFormula>
    </tableColumn>
    <tableColumn id="19" xr3:uid="{EAB2F13C-1783-417B-9483-ABA2EC700EC9}" name="Discount" dataDxfId="1">
      <calculatedColumnFormula>_xlfn.XLOOKUP(Table3[[#This Row],[Product Name]],Sales!A:A,Sales!D:D)</calculatedColumnFormula>
    </tableColumn>
    <tableColumn id="20" xr3:uid="{FBAF2123-E649-4208-A31D-F0E7EFFAE305}" name="Profit" dataDxfId="0">
      <calculatedColumnFormula>_xlfn.XLOOKUP(Table3[[#This Row],[Product Name]],Sales!A:A,Sales!E:E)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55138-E42D-4CB0-BDE9-0967BA184AA2}">
  <dimension ref="A3:B8"/>
  <sheetViews>
    <sheetView tabSelected="1" workbookViewId="0">
      <selection activeCell="L11" sqref="L11"/>
    </sheetView>
  </sheetViews>
  <sheetFormatPr defaultRowHeight="13" x14ac:dyDescent="0.3"/>
  <cols>
    <col min="1" max="1" width="13.36328125" bestFit="1" customWidth="1"/>
    <col min="2" max="2" width="14.08984375" bestFit="1" customWidth="1"/>
  </cols>
  <sheetData>
    <row r="3" spans="1:2" x14ac:dyDescent="0.3">
      <c r="A3" s="1" t="s">
        <v>2977</v>
      </c>
      <c r="B3" t="s">
        <v>2979</v>
      </c>
    </row>
    <row r="4" spans="1:2" x14ac:dyDescent="0.3">
      <c r="A4" s="2" t="s">
        <v>22</v>
      </c>
      <c r="B4" s="3">
        <v>208</v>
      </c>
    </row>
    <row r="5" spans="1:2" x14ac:dyDescent="0.3">
      <c r="A5" s="2" t="s">
        <v>2656</v>
      </c>
      <c r="B5" s="3">
        <v>2</v>
      </c>
    </row>
    <row r="6" spans="1:2" x14ac:dyDescent="0.3">
      <c r="A6" s="2" t="s">
        <v>33</v>
      </c>
      <c r="B6" s="3">
        <v>604</v>
      </c>
    </row>
    <row r="7" spans="1:2" x14ac:dyDescent="0.3">
      <c r="A7" s="2" t="s">
        <v>54</v>
      </c>
      <c r="B7" s="3">
        <v>190</v>
      </c>
    </row>
    <row r="8" spans="1:2" x14ac:dyDescent="0.3">
      <c r="A8" s="2" t="s">
        <v>2978</v>
      </c>
      <c r="B8" s="3">
        <v>1004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EA9C7-8836-4892-B6EE-29B4F8476422}">
  <dimension ref="A1:T1005"/>
  <sheetViews>
    <sheetView topLeftCell="A2" zoomScale="108" zoomScaleNormal="133" workbookViewId="0">
      <selection activeCell="D5" sqref="D5"/>
    </sheetView>
  </sheetViews>
  <sheetFormatPr defaultRowHeight="13" x14ac:dyDescent="0.3"/>
  <cols>
    <col min="1" max="1" width="10.26953125" customWidth="1"/>
    <col min="2" max="2" width="15" bestFit="1" customWidth="1"/>
    <col min="6" max="6" width="13.81640625" customWidth="1"/>
    <col min="7" max="7" width="15.26953125" customWidth="1"/>
    <col min="8" max="8" width="13.7265625" bestFit="1" customWidth="1"/>
    <col min="9" max="9" width="12" customWidth="1"/>
    <col min="10" max="10" width="37.453125" bestFit="1" customWidth="1"/>
    <col min="11" max="11" width="10.453125" customWidth="1"/>
    <col min="12" max="12" width="15.453125" customWidth="1"/>
    <col min="13" max="13" width="13.54296875" customWidth="1"/>
    <col min="14" max="14" width="12.26953125" customWidth="1"/>
    <col min="15" max="15" width="16.81640625" customWidth="1"/>
    <col min="16" max="16" width="96" bestFit="1" customWidth="1"/>
    <col min="18" max="18" width="11.26953125" customWidth="1"/>
    <col min="19" max="19" width="11.81640625" customWidth="1"/>
  </cols>
  <sheetData>
    <row r="1" spans="1:20" x14ac:dyDescent="0.3">
      <c r="A1" t="s">
        <v>0</v>
      </c>
      <c r="B1" t="s">
        <v>1</v>
      </c>
      <c r="C1" t="s">
        <v>2411</v>
      </c>
      <c r="D1" t="s">
        <v>2412</v>
      </c>
      <c r="E1" t="s">
        <v>2413</v>
      </c>
      <c r="F1" t="s">
        <v>2</v>
      </c>
      <c r="G1" t="s">
        <v>3</v>
      </c>
      <c r="H1" t="s">
        <v>4</v>
      </c>
      <c r="I1" t="s">
        <v>5</v>
      </c>
      <c r="J1" t="s">
        <v>2976</v>
      </c>
      <c r="K1" t="s">
        <v>7</v>
      </c>
      <c r="L1" t="s">
        <v>6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</row>
    <row r="2" spans="1:20" x14ac:dyDescent="0.3">
      <c r="A2">
        <v>1</v>
      </c>
      <c r="B2" t="s">
        <v>16</v>
      </c>
      <c r="C2">
        <v>8</v>
      </c>
      <c r="D2">
        <v>11</v>
      </c>
      <c r="E2">
        <v>2020</v>
      </c>
      <c r="F2" t="s">
        <v>17</v>
      </c>
      <c r="G2" t="s">
        <v>18</v>
      </c>
      <c r="H2" t="s">
        <v>2609</v>
      </c>
      <c r="I2" t="s">
        <v>19</v>
      </c>
      <c r="J2" t="s">
        <v>2414</v>
      </c>
      <c r="K2" t="s">
        <v>20</v>
      </c>
      <c r="L2">
        <v>42420</v>
      </c>
      <c r="M2" t="s">
        <v>21</v>
      </c>
      <c r="N2" t="s">
        <v>22</v>
      </c>
      <c r="O2" t="s">
        <v>23</v>
      </c>
      <c r="P2" t="s">
        <v>24</v>
      </c>
      <c r="Q2">
        <f>_xlfn.XLOOKUP(Table3[[#This Row],[Product Name]],Sales!A:A,Sales!B:B)</f>
        <v>261.95999999999998</v>
      </c>
      <c r="R2">
        <f>_xlfn.XLOOKUP(Table3[[#This Row],[Product Name]],Sales!A:A,Sales!C:C)</f>
        <v>2</v>
      </c>
      <c r="S2">
        <f>_xlfn.XLOOKUP(Table3[[#This Row],[Product Name]],Sales!A:A,Sales!D:D)</f>
        <v>0</v>
      </c>
      <c r="T2">
        <f>_xlfn.XLOOKUP(Table3[[#This Row],[Product Name]],Sales!A:A,Sales!E:E)</f>
        <v>41.913600000000002</v>
      </c>
    </row>
    <row r="3" spans="1:20" x14ac:dyDescent="0.3">
      <c r="A3">
        <v>2</v>
      </c>
      <c r="B3" t="s">
        <v>16</v>
      </c>
      <c r="C3">
        <v>8</v>
      </c>
      <c r="D3">
        <v>11</v>
      </c>
      <c r="E3">
        <v>2020</v>
      </c>
      <c r="F3" t="s">
        <v>17</v>
      </c>
      <c r="G3" t="s">
        <v>18</v>
      </c>
      <c r="H3" t="s">
        <v>2609</v>
      </c>
      <c r="I3" t="s">
        <v>19</v>
      </c>
      <c r="J3" t="s">
        <v>2414</v>
      </c>
      <c r="K3" t="s">
        <v>20</v>
      </c>
      <c r="L3">
        <v>42420</v>
      </c>
      <c r="M3" t="s">
        <v>25</v>
      </c>
      <c r="N3" t="s">
        <v>22</v>
      </c>
      <c r="O3" t="s">
        <v>26</v>
      </c>
      <c r="P3" t="s">
        <v>27</v>
      </c>
      <c r="Q3">
        <f>_xlfn.XLOOKUP(Table3[[#This Row],[Product Name]],Sales!A:A,Sales!B:B)</f>
        <v>731.94</v>
      </c>
      <c r="R3">
        <f>_xlfn.XLOOKUP(Table3[[#This Row],[Product Name]],Sales!A:A,Sales!C:C)</f>
        <v>3</v>
      </c>
      <c r="S3">
        <f>_xlfn.XLOOKUP(Table3[[#This Row],[Product Name]],Sales!A:A,Sales!D:D)</f>
        <v>0</v>
      </c>
      <c r="T3">
        <f>_xlfn.XLOOKUP(Table3[[#This Row],[Product Name]],Sales!A:A,Sales!E:E)</f>
        <v>219.58199999999999</v>
      </c>
    </row>
    <row r="4" spans="1:20" x14ac:dyDescent="0.3">
      <c r="A4">
        <v>3</v>
      </c>
      <c r="B4" t="s">
        <v>28</v>
      </c>
      <c r="C4">
        <v>12</v>
      </c>
      <c r="D4">
        <v>6</v>
      </c>
      <c r="E4">
        <v>2020</v>
      </c>
      <c r="F4" t="s">
        <v>17</v>
      </c>
      <c r="G4" t="s">
        <v>29</v>
      </c>
      <c r="H4" t="s">
        <v>2610</v>
      </c>
      <c r="I4" t="s">
        <v>30</v>
      </c>
      <c r="J4" t="s">
        <v>2415</v>
      </c>
      <c r="K4" t="s">
        <v>31</v>
      </c>
      <c r="L4">
        <v>90036</v>
      </c>
      <c r="M4" t="s">
        <v>32</v>
      </c>
      <c r="N4" t="s">
        <v>33</v>
      </c>
      <c r="O4" t="s">
        <v>34</v>
      </c>
      <c r="P4" t="s">
        <v>35</v>
      </c>
      <c r="Q4">
        <f>_xlfn.XLOOKUP(Table3[[#This Row],[Product Name]],Sales!A:A,Sales!B:B)</f>
        <v>14.62</v>
      </c>
      <c r="R4">
        <f>_xlfn.XLOOKUP(Table3[[#This Row],[Product Name]],Sales!A:A,Sales!C:C)</f>
        <v>2</v>
      </c>
      <c r="S4">
        <f>_xlfn.XLOOKUP(Table3[[#This Row],[Product Name]],Sales!A:A,Sales!D:D)</f>
        <v>0</v>
      </c>
      <c r="T4">
        <f>_xlfn.XLOOKUP(Table3[[#This Row],[Product Name]],Sales!A:A,Sales!E:E)</f>
        <v>6.8714000000000004</v>
      </c>
    </row>
    <row r="5" spans="1:20" x14ac:dyDescent="0.3">
      <c r="A5">
        <v>4</v>
      </c>
      <c r="B5" t="s">
        <v>36</v>
      </c>
      <c r="C5">
        <v>11</v>
      </c>
      <c r="D5">
        <v>10</v>
      </c>
      <c r="E5">
        <v>2019</v>
      </c>
      <c r="F5" t="s">
        <v>37</v>
      </c>
      <c r="G5" t="s">
        <v>38</v>
      </c>
      <c r="H5" t="s">
        <v>2611</v>
      </c>
      <c r="I5" t="s">
        <v>19</v>
      </c>
      <c r="J5" t="s">
        <v>2416</v>
      </c>
      <c r="K5" t="s">
        <v>20</v>
      </c>
      <c r="L5">
        <v>33311</v>
      </c>
      <c r="M5" t="s">
        <v>39</v>
      </c>
      <c r="N5" t="s">
        <v>22</v>
      </c>
      <c r="O5" t="s">
        <v>40</v>
      </c>
      <c r="P5" t="s">
        <v>41</v>
      </c>
      <c r="Q5">
        <f>_xlfn.XLOOKUP(Table3[[#This Row],[Product Name]],Sales!A:A,Sales!B:B)</f>
        <v>957.57749999999999</v>
      </c>
      <c r="R5">
        <f>_xlfn.XLOOKUP(Table3[[#This Row],[Product Name]],Sales!A:A,Sales!C:C)</f>
        <v>5</v>
      </c>
      <c r="S5">
        <f>_xlfn.XLOOKUP(Table3[[#This Row],[Product Name]],Sales!A:A,Sales!D:D)</f>
        <v>0.45</v>
      </c>
      <c r="T5">
        <f>_xlfn.XLOOKUP(Table3[[#This Row],[Product Name]],Sales!A:A,Sales!E:E)</f>
        <v>-383.03100000000001</v>
      </c>
    </row>
    <row r="6" spans="1:20" x14ac:dyDescent="0.3">
      <c r="A6">
        <v>5</v>
      </c>
      <c r="B6" t="s">
        <v>36</v>
      </c>
      <c r="C6">
        <v>11</v>
      </c>
      <c r="D6">
        <v>10</v>
      </c>
      <c r="E6">
        <v>2019</v>
      </c>
      <c r="F6" t="s">
        <v>37</v>
      </c>
      <c r="G6" t="s">
        <v>38</v>
      </c>
      <c r="H6" t="s">
        <v>2611</v>
      </c>
      <c r="I6" t="s">
        <v>19</v>
      </c>
      <c r="J6" t="s">
        <v>2416</v>
      </c>
      <c r="K6" t="s">
        <v>20</v>
      </c>
      <c r="L6">
        <v>33311</v>
      </c>
      <c r="M6" t="s">
        <v>42</v>
      </c>
      <c r="N6" t="s">
        <v>33</v>
      </c>
      <c r="O6" t="s">
        <v>43</v>
      </c>
      <c r="P6" t="s">
        <v>44</v>
      </c>
      <c r="Q6">
        <f>_xlfn.XLOOKUP(Table3[[#This Row],[Product Name]],Sales!A:A,Sales!B:B)</f>
        <v>22.367999999999999</v>
      </c>
      <c r="R6">
        <f>_xlfn.XLOOKUP(Table3[[#This Row],[Product Name]],Sales!A:A,Sales!C:C)</f>
        <v>2</v>
      </c>
      <c r="S6">
        <f>_xlfn.XLOOKUP(Table3[[#This Row],[Product Name]],Sales!A:A,Sales!D:D)</f>
        <v>0.2</v>
      </c>
      <c r="T6">
        <f>_xlfn.XLOOKUP(Table3[[#This Row],[Product Name]],Sales!A:A,Sales!E:E)</f>
        <v>2.5164</v>
      </c>
    </row>
    <row r="7" spans="1:20" x14ac:dyDescent="0.3">
      <c r="A7">
        <v>6</v>
      </c>
      <c r="B7" t="s">
        <v>45</v>
      </c>
      <c r="C7">
        <v>9</v>
      </c>
      <c r="D7">
        <v>6</v>
      </c>
      <c r="E7">
        <v>2018</v>
      </c>
      <c r="F7" t="s">
        <v>37</v>
      </c>
      <c r="G7" t="s">
        <v>46</v>
      </c>
      <c r="H7" t="s">
        <v>2612</v>
      </c>
      <c r="I7" t="s">
        <v>19</v>
      </c>
      <c r="J7" t="s">
        <v>2415</v>
      </c>
      <c r="K7" t="s">
        <v>31</v>
      </c>
      <c r="L7">
        <v>90032</v>
      </c>
      <c r="M7" t="s">
        <v>47</v>
      </c>
      <c r="N7" t="s">
        <v>22</v>
      </c>
      <c r="O7" t="s">
        <v>48</v>
      </c>
      <c r="P7" t="s">
        <v>49</v>
      </c>
      <c r="Q7">
        <f>_xlfn.XLOOKUP(Table3[[#This Row],[Product Name]],Sales!A:A,Sales!B:B)</f>
        <v>48.86</v>
      </c>
      <c r="R7">
        <f>_xlfn.XLOOKUP(Table3[[#This Row],[Product Name]],Sales!A:A,Sales!C:C)</f>
        <v>7</v>
      </c>
      <c r="S7">
        <f>_xlfn.XLOOKUP(Table3[[#This Row],[Product Name]],Sales!A:A,Sales!D:D)</f>
        <v>0</v>
      </c>
      <c r="T7">
        <f>_xlfn.XLOOKUP(Table3[[#This Row],[Product Name]],Sales!A:A,Sales!E:E)</f>
        <v>14.1694</v>
      </c>
    </row>
    <row r="8" spans="1:20" x14ac:dyDescent="0.3">
      <c r="A8">
        <v>7</v>
      </c>
      <c r="B8" t="s">
        <v>45</v>
      </c>
      <c r="C8">
        <v>9</v>
      </c>
      <c r="D8">
        <v>6</v>
      </c>
      <c r="E8">
        <v>2018</v>
      </c>
      <c r="F8" t="s">
        <v>37</v>
      </c>
      <c r="G8" t="s">
        <v>46</v>
      </c>
      <c r="H8" t="s">
        <v>2612</v>
      </c>
      <c r="I8" t="s">
        <v>19</v>
      </c>
      <c r="J8" t="s">
        <v>2415</v>
      </c>
      <c r="K8" t="s">
        <v>31</v>
      </c>
      <c r="L8">
        <v>90032</v>
      </c>
      <c r="M8" t="s">
        <v>50</v>
      </c>
      <c r="N8" t="s">
        <v>33</v>
      </c>
      <c r="O8" t="s">
        <v>51</v>
      </c>
      <c r="P8" t="s">
        <v>52</v>
      </c>
      <c r="Q8">
        <f>_xlfn.XLOOKUP(Table3[[#This Row],[Product Name]],Sales!A:A,Sales!B:B)</f>
        <v>7.28</v>
      </c>
      <c r="R8">
        <f>_xlfn.XLOOKUP(Table3[[#This Row],[Product Name]],Sales!A:A,Sales!C:C)</f>
        <v>4</v>
      </c>
      <c r="S8">
        <f>_xlfn.XLOOKUP(Table3[[#This Row],[Product Name]],Sales!A:A,Sales!D:D)</f>
        <v>0</v>
      </c>
      <c r="T8">
        <f>_xlfn.XLOOKUP(Table3[[#This Row],[Product Name]],Sales!A:A,Sales!E:E)</f>
        <v>1.9656</v>
      </c>
    </row>
    <row r="9" spans="1:20" x14ac:dyDescent="0.3">
      <c r="A9">
        <v>8</v>
      </c>
      <c r="B9" t="s">
        <v>45</v>
      </c>
      <c r="C9">
        <v>9</v>
      </c>
      <c r="D9">
        <v>6</v>
      </c>
      <c r="E9">
        <v>2018</v>
      </c>
      <c r="F9" t="s">
        <v>37</v>
      </c>
      <c r="G9" t="s">
        <v>46</v>
      </c>
      <c r="H9" t="s">
        <v>2612</v>
      </c>
      <c r="I9" t="s">
        <v>19</v>
      </c>
      <c r="J9" t="s">
        <v>2415</v>
      </c>
      <c r="K9" t="s">
        <v>31</v>
      </c>
      <c r="L9">
        <v>90032</v>
      </c>
      <c r="M9" t="s">
        <v>53</v>
      </c>
      <c r="N9" t="s">
        <v>54</v>
      </c>
      <c r="O9" t="s">
        <v>55</v>
      </c>
      <c r="P9" t="s">
        <v>56</v>
      </c>
      <c r="Q9">
        <f>_xlfn.XLOOKUP(Table3[[#This Row],[Product Name]],Sales!A:A,Sales!B:B)</f>
        <v>907.15200000000004</v>
      </c>
      <c r="R9">
        <f>_xlfn.XLOOKUP(Table3[[#This Row],[Product Name]],Sales!A:A,Sales!C:C)</f>
        <v>6</v>
      </c>
      <c r="S9">
        <f>_xlfn.XLOOKUP(Table3[[#This Row],[Product Name]],Sales!A:A,Sales!D:D)</f>
        <v>0.2</v>
      </c>
      <c r="T9">
        <f>_xlfn.XLOOKUP(Table3[[#This Row],[Product Name]],Sales!A:A,Sales!E:E)</f>
        <v>90.715199999999996</v>
      </c>
    </row>
    <row r="10" spans="1:20" x14ac:dyDescent="0.3">
      <c r="A10">
        <v>9</v>
      </c>
      <c r="B10" t="s">
        <v>45</v>
      </c>
      <c r="C10">
        <v>9</v>
      </c>
      <c r="D10">
        <v>6</v>
      </c>
      <c r="E10">
        <v>2018</v>
      </c>
      <c r="F10" t="s">
        <v>37</v>
      </c>
      <c r="G10" t="s">
        <v>46</v>
      </c>
      <c r="H10" t="s">
        <v>2612</v>
      </c>
      <c r="I10" t="s">
        <v>19</v>
      </c>
      <c r="J10" t="s">
        <v>2415</v>
      </c>
      <c r="K10" t="s">
        <v>31</v>
      </c>
      <c r="L10">
        <v>90032</v>
      </c>
      <c r="M10" t="s">
        <v>57</v>
      </c>
      <c r="N10" t="s">
        <v>33</v>
      </c>
      <c r="O10" t="s">
        <v>58</v>
      </c>
      <c r="P10" t="s">
        <v>59</v>
      </c>
      <c r="Q10">
        <f>_xlfn.XLOOKUP(Table3[[#This Row],[Product Name]],Sales!A:A,Sales!B:B)</f>
        <v>18.504000000000001</v>
      </c>
      <c r="R10">
        <f>_xlfn.XLOOKUP(Table3[[#This Row],[Product Name]],Sales!A:A,Sales!C:C)</f>
        <v>3</v>
      </c>
      <c r="S10">
        <f>_xlfn.XLOOKUP(Table3[[#This Row],[Product Name]],Sales!A:A,Sales!D:D)</f>
        <v>0.2</v>
      </c>
      <c r="T10">
        <f>_xlfn.XLOOKUP(Table3[[#This Row],[Product Name]],Sales!A:A,Sales!E:E)</f>
        <v>5.7824999999999998</v>
      </c>
    </row>
    <row r="11" spans="1:20" x14ac:dyDescent="0.3">
      <c r="A11">
        <v>10</v>
      </c>
      <c r="B11" t="s">
        <v>45</v>
      </c>
      <c r="C11">
        <v>9</v>
      </c>
      <c r="D11">
        <v>6</v>
      </c>
      <c r="E11">
        <v>2018</v>
      </c>
      <c r="F11" t="s">
        <v>37</v>
      </c>
      <c r="G11" t="s">
        <v>46</v>
      </c>
      <c r="H11" t="s">
        <v>2612</v>
      </c>
      <c r="I11" t="s">
        <v>19</v>
      </c>
      <c r="J11" t="s">
        <v>2415</v>
      </c>
      <c r="K11" t="s">
        <v>31</v>
      </c>
      <c r="L11">
        <v>90032</v>
      </c>
      <c r="M11" t="s">
        <v>60</v>
      </c>
      <c r="N11" t="s">
        <v>33</v>
      </c>
      <c r="O11" t="s">
        <v>61</v>
      </c>
      <c r="P11" t="s">
        <v>62</v>
      </c>
      <c r="Q11">
        <f>_xlfn.XLOOKUP(Table3[[#This Row],[Product Name]],Sales!A:A,Sales!B:B)</f>
        <v>114.9</v>
      </c>
      <c r="R11">
        <f>_xlfn.XLOOKUP(Table3[[#This Row],[Product Name]],Sales!A:A,Sales!C:C)</f>
        <v>5</v>
      </c>
      <c r="S11">
        <f>_xlfn.XLOOKUP(Table3[[#This Row],[Product Name]],Sales!A:A,Sales!D:D)</f>
        <v>0</v>
      </c>
      <c r="T11">
        <f>_xlfn.XLOOKUP(Table3[[#This Row],[Product Name]],Sales!A:A,Sales!E:E)</f>
        <v>34.47</v>
      </c>
    </row>
    <row r="12" spans="1:20" x14ac:dyDescent="0.3">
      <c r="A12">
        <v>11</v>
      </c>
      <c r="B12" t="s">
        <v>45</v>
      </c>
      <c r="C12">
        <v>9</v>
      </c>
      <c r="D12">
        <v>6</v>
      </c>
      <c r="E12">
        <v>2018</v>
      </c>
      <c r="F12" t="s">
        <v>37</v>
      </c>
      <c r="G12" t="s">
        <v>46</v>
      </c>
      <c r="H12" t="s">
        <v>2612</v>
      </c>
      <c r="I12" t="s">
        <v>19</v>
      </c>
      <c r="J12" t="s">
        <v>2415</v>
      </c>
      <c r="K12" t="s">
        <v>31</v>
      </c>
      <c r="L12">
        <v>90032</v>
      </c>
      <c r="M12" t="s">
        <v>63</v>
      </c>
      <c r="N12" t="s">
        <v>22</v>
      </c>
      <c r="O12" t="s">
        <v>40</v>
      </c>
      <c r="P12" t="s">
        <v>64</v>
      </c>
      <c r="Q12">
        <f>_xlfn.XLOOKUP(Table3[[#This Row],[Product Name]],Sales!A:A,Sales!B:B)</f>
        <v>1706.184</v>
      </c>
      <c r="R12">
        <f>_xlfn.XLOOKUP(Table3[[#This Row],[Product Name]],Sales!A:A,Sales!C:C)</f>
        <v>9</v>
      </c>
      <c r="S12">
        <f>_xlfn.XLOOKUP(Table3[[#This Row],[Product Name]],Sales!A:A,Sales!D:D)</f>
        <v>0.2</v>
      </c>
      <c r="T12">
        <f>_xlfn.XLOOKUP(Table3[[#This Row],[Product Name]],Sales!A:A,Sales!E:E)</f>
        <v>85.309200000000004</v>
      </c>
    </row>
    <row r="13" spans="1:20" x14ac:dyDescent="0.3">
      <c r="A13">
        <v>12</v>
      </c>
      <c r="B13" t="s">
        <v>45</v>
      </c>
      <c r="C13">
        <v>9</v>
      </c>
      <c r="D13">
        <v>6</v>
      </c>
      <c r="E13">
        <v>2018</v>
      </c>
      <c r="F13" t="s">
        <v>37</v>
      </c>
      <c r="G13" t="s">
        <v>46</v>
      </c>
      <c r="H13" t="s">
        <v>2612</v>
      </c>
      <c r="I13" t="s">
        <v>19</v>
      </c>
      <c r="J13" t="s">
        <v>2415</v>
      </c>
      <c r="K13" t="s">
        <v>31</v>
      </c>
      <c r="L13">
        <v>90032</v>
      </c>
      <c r="M13" t="s">
        <v>65</v>
      </c>
      <c r="N13" t="s">
        <v>54</v>
      </c>
      <c r="O13" t="s">
        <v>55</v>
      </c>
      <c r="P13" t="s">
        <v>66</v>
      </c>
      <c r="Q13">
        <f>_xlfn.XLOOKUP(Table3[[#This Row],[Product Name]],Sales!A:A,Sales!B:B)</f>
        <v>911.42399999999998</v>
      </c>
      <c r="R13">
        <f>_xlfn.XLOOKUP(Table3[[#This Row],[Product Name]],Sales!A:A,Sales!C:C)</f>
        <v>4</v>
      </c>
      <c r="S13">
        <f>_xlfn.XLOOKUP(Table3[[#This Row],[Product Name]],Sales!A:A,Sales!D:D)</f>
        <v>0.2</v>
      </c>
      <c r="T13">
        <f>_xlfn.XLOOKUP(Table3[[#This Row],[Product Name]],Sales!A:A,Sales!E:E)</f>
        <v>68.356800000000007</v>
      </c>
    </row>
    <row r="14" spans="1:20" x14ac:dyDescent="0.3">
      <c r="A14">
        <v>13</v>
      </c>
      <c r="B14" t="s">
        <v>67</v>
      </c>
      <c r="C14">
        <v>15</v>
      </c>
      <c r="D14">
        <v>4</v>
      </c>
      <c r="E14">
        <v>2021</v>
      </c>
      <c r="F14" t="s">
        <v>37</v>
      </c>
      <c r="G14" t="s">
        <v>68</v>
      </c>
      <c r="H14" t="s">
        <v>2613</v>
      </c>
      <c r="I14" t="s">
        <v>19</v>
      </c>
      <c r="J14" t="s">
        <v>2417</v>
      </c>
      <c r="K14" t="s">
        <v>20</v>
      </c>
      <c r="L14">
        <v>28027</v>
      </c>
      <c r="M14" t="s">
        <v>69</v>
      </c>
      <c r="N14" t="s">
        <v>33</v>
      </c>
      <c r="O14" t="s">
        <v>70</v>
      </c>
      <c r="P14" t="s">
        <v>71</v>
      </c>
      <c r="Q14">
        <f>_xlfn.XLOOKUP(Table3[[#This Row],[Product Name]],Sales!A:A,Sales!B:B)</f>
        <v>15.552</v>
      </c>
      <c r="R14">
        <f>_xlfn.XLOOKUP(Table3[[#This Row],[Product Name]],Sales!A:A,Sales!C:C)</f>
        <v>3</v>
      </c>
      <c r="S14">
        <f>_xlfn.XLOOKUP(Table3[[#This Row],[Product Name]],Sales!A:A,Sales!D:D)</f>
        <v>0.2</v>
      </c>
      <c r="T14">
        <f>_xlfn.XLOOKUP(Table3[[#This Row],[Product Name]],Sales!A:A,Sales!E:E)</f>
        <v>5.4432</v>
      </c>
    </row>
    <row r="15" spans="1:20" x14ac:dyDescent="0.3">
      <c r="A15">
        <v>14</v>
      </c>
      <c r="B15" t="s">
        <v>72</v>
      </c>
      <c r="C15">
        <v>5</v>
      </c>
      <c r="D15">
        <v>12</v>
      </c>
      <c r="E15">
        <v>2020</v>
      </c>
      <c r="F15" t="s">
        <v>37</v>
      </c>
      <c r="G15" t="s">
        <v>73</v>
      </c>
      <c r="H15" t="s">
        <v>2614</v>
      </c>
      <c r="I15" t="s">
        <v>19</v>
      </c>
      <c r="J15" t="s">
        <v>2418</v>
      </c>
      <c r="K15" t="s">
        <v>31</v>
      </c>
      <c r="L15">
        <v>98103</v>
      </c>
      <c r="M15" t="s">
        <v>74</v>
      </c>
      <c r="N15" t="s">
        <v>33</v>
      </c>
      <c r="O15" t="s">
        <v>58</v>
      </c>
      <c r="P15" t="s">
        <v>75</v>
      </c>
      <c r="Q15">
        <f>_xlfn.XLOOKUP(Table3[[#This Row],[Product Name]],Sales!A:A,Sales!B:B)</f>
        <v>407.976</v>
      </c>
      <c r="R15">
        <f>_xlfn.XLOOKUP(Table3[[#This Row],[Product Name]],Sales!A:A,Sales!C:C)</f>
        <v>3</v>
      </c>
      <c r="S15">
        <f>_xlfn.XLOOKUP(Table3[[#This Row],[Product Name]],Sales!A:A,Sales!D:D)</f>
        <v>0.2</v>
      </c>
      <c r="T15">
        <f>_xlfn.XLOOKUP(Table3[[#This Row],[Product Name]],Sales!A:A,Sales!E:E)</f>
        <v>132.59219999999999</v>
      </c>
    </row>
    <row r="16" spans="1:20" x14ac:dyDescent="0.3">
      <c r="A16">
        <v>15</v>
      </c>
      <c r="B16" t="s">
        <v>76</v>
      </c>
      <c r="C16">
        <v>22</v>
      </c>
      <c r="D16">
        <v>11</v>
      </c>
      <c r="E16">
        <v>2019</v>
      </c>
      <c r="F16" t="s">
        <v>37</v>
      </c>
      <c r="G16" t="s">
        <v>77</v>
      </c>
      <c r="H16" t="s">
        <v>2615</v>
      </c>
      <c r="I16" t="s">
        <v>78</v>
      </c>
      <c r="J16" t="s">
        <v>2419</v>
      </c>
      <c r="K16" t="s">
        <v>79</v>
      </c>
      <c r="L16">
        <v>76106</v>
      </c>
      <c r="M16" t="s">
        <v>80</v>
      </c>
      <c r="N16" t="s">
        <v>33</v>
      </c>
      <c r="O16" t="s">
        <v>61</v>
      </c>
      <c r="P16" t="s">
        <v>81</v>
      </c>
      <c r="Q16">
        <f>_xlfn.XLOOKUP(Table3[[#This Row],[Product Name]],Sales!A:A,Sales!B:B)</f>
        <v>68.81</v>
      </c>
      <c r="R16">
        <f>_xlfn.XLOOKUP(Table3[[#This Row],[Product Name]],Sales!A:A,Sales!C:C)</f>
        <v>5</v>
      </c>
      <c r="S16">
        <f>_xlfn.XLOOKUP(Table3[[#This Row],[Product Name]],Sales!A:A,Sales!D:D)</f>
        <v>0.8</v>
      </c>
      <c r="T16">
        <f>_xlfn.XLOOKUP(Table3[[#This Row],[Product Name]],Sales!A:A,Sales!E:E)</f>
        <v>-123.858</v>
      </c>
    </row>
    <row r="17" spans="1:20" x14ac:dyDescent="0.3">
      <c r="A17">
        <v>16</v>
      </c>
      <c r="B17" t="s">
        <v>76</v>
      </c>
      <c r="C17">
        <v>22</v>
      </c>
      <c r="D17">
        <v>11</v>
      </c>
      <c r="E17">
        <v>2019</v>
      </c>
      <c r="F17" t="s">
        <v>37</v>
      </c>
      <c r="G17" t="s">
        <v>77</v>
      </c>
      <c r="H17" t="s">
        <v>2615</v>
      </c>
      <c r="I17" t="s">
        <v>78</v>
      </c>
      <c r="J17" t="s">
        <v>2419</v>
      </c>
      <c r="K17" t="s">
        <v>79</v>
      </c>
      <c r="L17">
        <v>76106</v>
      </c>
      <c r="M17" t="s">
        <v>82</v>
      </c>
      <c r="N17" t="s">
        <v>33</v>
      </c>
      <c r="O17" t="s">
        <v>58</v>
      </c>
      <c r="P17" t="s">
        <v>83</v>
      </c>
      <c r="Q17">
        <f>_xlfn.XLOOKUP(Table3[[#This Row],[Product Name]],Sales!A:A,Sales!B:B)</f>
        <v>2.544</v>
      </c>
      <c r="R17">
        <f>_xlfn.XLOOKUP(Table3[[#This Row],[Product Name]],Sales!A:A,Sales!C:C)</f>
        <v>3</v>
      </c>
      <c r="S17">
        <f>_xlfn.XLOOKUP(Table3[[#This Row],[Product Name]],Sales!A:A,Sales!D:D)</f>
        <v>0.8</v>
      </c>
      <c r="T17">
        <f>_xlfn.XLOOKUP(Table3[[#This Row],[Product Name]],Sales!A:A,Sales!E:E)</f>
        <v>-3.8159999999999998</v>
      </c>
    </row>
    <row r="18" spans="1:20" x14ac:dyDescent="0.3">
      <c r="A18">
        <v>17</v>
      </c>
      <c r="B18" t="s">
        <v>84</v>
      </c>
      <c r="C18">
        <v>11</v>
      </c>
      <c r="D18">
        <v>11</v>
      </c>
      <c r="E18">
        <v>2018</v>
      </c>
      <c r="F18" t="s">
        <v>37</v>
      </c>
      <c r="G18" t="s">
        <v>85</v>
      </c>
      <c r="H18" t="s">
        <v>2616</v>
      </c>
      <c r="I18" t="s">
        <v>19</v>
      </c>
      <c r="J18" t="s">
        <v>2420</v>
      </c>
      <c r="K18" t="s">
        <v>79</v>
      </c>
      <c r="L18">
        <v>53711</v>
      </c>
      <c r="M18" t="s">
        <v>86</v>
      </c>
      <c r="N18" t="s">
        <v>33</v>
      </c>
      <c r="O18" t="s">
        <v>43</v>
      </c>
      <c r="P18" t="s">
        <v>87</v>
      </c>
      <c r="Q18">
        <f>_xlfn.XLOOKUP(Table3[[#This Row],[Product Name]],Sales!A:A,Sales!B:B)</f>
        <v>665.88</v>
      </c>
      <c r="R18">
        <f>_xlfn.XLOOKUP(Table3[[#This Row],[Product Name]],Sales!A:A,Sales!C:C)</f>
        <v>6</v>
      </c>
      <c r="S18">
        <f>_xlfn.XLOOKUP(Table3[[#This Row],[Product Name]],Sales!A:A,Sales!D:D)</f>
        <v>0</v>
      </c>
      <c r="T18">
        <f>_xlfn.XLOOKUP(Table3[[#This Row],[Product Name]],Sales!A:A,Sales!E:E)</f>
        <v>13.317600000000001</v>
      </c>
    </row>
    <row r="19" spans="1:20" x14ac:dyDescent="0.3">
      <c r="A19">
        <v>18</v>
      </c>
      <c r="B19" t="s">
        <v>88</v>
      </c>
      <c r="C19">
        <v>13</v>
      </c>
      <c r="D19">
        <v>5</v>
      </c>
      <c r="E19">
        <v>2018</v>
      </c>
      <c r="F19" t="s">
        <v>17</v>
      </c>
      <c r="G19" t="s">
        <v>89</v>
      </c>
      <c r="H19" t="s">
        <v>2617</v>
      </c>
      <c r="I19" t="s">
        <v>19</v>
      </c>
      <c r="J19" t="s">
        <v>2421</v>
      </c>
      <c r="K19" t="s">
        <v>31</v>
      </c>
      <c r="L19">
        <v>84084</v>
      </c>
      <c r="M19" t="s">
        <v>90</v>
      </c>
      <c r="N19" t="s">
        <v>33</v>
      </c>
      <c r="O19" t="s">
        <v>43</v>
      </c>
      <c r="P19" t="s">
        <v>91</v>
      </c>
      <c r="Q19">
        <f>_xlfn.XLOOKUP(Table3[[#This Row],[Product Name]],Sales!A:A,Sales!B:B)</f>
        <v>55.5</v>
      </c>
      <c r="R19">
        <f>_xlfn.XLOOKUP(Table3[[#This Row],[Product Name]],Sales!A:A,Sales!C:C)</f>
        <v>2</v>
      </c>
      <c r="S19">
        <f>_xlfn.XLOOKUP(Table3[[#This Row],[Product Name]],Sales!A:A,Sales!D:D)</f>
        <v>0</v>
      </c>
      <c r="T19">
        <f>_xlfn.XLOOKUP(Table3[[#This Row],[Product Name]],Sales!A:A,Sales!E:E)</f>
        <v>9.99</v>
      </c>
    </row>
    <row r="20" spans="1:20" x14ac:dyDescent="0.3">
      <c r="A20">
        <v>19</v>
      </c>
      <c r="B20" t="s">
        <v>92</v>
      </c>
      <c r="C20">
        <v>27</v>
      </c>
      <c r="D20">
        <v>8</v>
      </c>
      <c r="E20">
        <v>2018</v>
      </c>
      <c r="F20" t="s">
        <v>17</v>
      </c>
      <c r="G20" t="s">
        <v>93</v>
      </c>
      <c r="H20" t="s">
        <v>2618</v>
      </c>
      <c r="I20" t="s">
        <v>19</v>
      </c>
      <c r="J20" t="s">
        <v>2422</v>
      </c>
      <c r="K20" t="s">
        <v>31</v>
      </c>
      <c r="L20">
        <v>94109</v>
      </c>
      <c r="M20" t="s">
        <v>94</v>
      </c>
      <c r="N20" t="s">
        <v>33</v>
      </c>
      <c r="O20" t="s">
        <v>51</v>
      </c>
      <c r="P20" t="s">
        <v>95</v>
      </c>
      <c r="Q20">
        <f>_xlfn.XLOOKUP(Table3[[#This Row],[Product Name]],Sales!A:A,Sales!B:B)</f>
        <v>8.56</v>
      </c>
      <c r="R20">
        <f>_xlfn.XLOOKUP(Table3[[#This Row],[Product Name]],Sales!A:A,Sales!C:C)</f>
        <v>2</v>
      </c>
      <c r="S20">
        <f>_xlfn.XLOOKUP(Table3[[#This Row],[Product Name]],Sales!A:A,Sales!D:D)</f>
        <v>0</v>
      </c>
      <c r="T20">
        <f>_xlfn.XLOOKUP(Table3[[#This Row],[Product Name]],Sales!A:A,Sales!E:E)</f>
        <v>2.4824000000000002</v>
      </c>
    </row>
    <row r="21" spans="1:20" x14ac:dyDescent="0.3">
      <c r="A21">
        <v>20</v>
      </c>
      <c r="B21" t="s">
        <v>92</v>
      </c>
      <c r="C21">
        <v>27</v>
      </c>
      <c r="D21">
        <v>8</v>
      </c>
      <c r="E21">
        <v>2018</v>
      </c>
      <c r="F21" t="s">
        <v>17</v>
      </c>
      <c r="G21" t="s">
        <v>93</v>
      </c>
      <c r="H21" t="s">
        <v>2618</v>
      </c>
      <c r="I21" t="s">
        <v>19</v>
      </c>
      <c r="J21" t="s">
        <v>2422</v>
      </c>
      <c r="K21" t="s">
        <v>31</v>
      </c>
      <c r="L21">
        <v>94109</v>
      </c>
      <c r="M21" t="s">
        <v>96</v>
      </c>
      <c r="N21" t="s">
        <v>54</v>
      </c>
      <c r="O21" t="s">
        <v>55</v>
      </c>
      <c r="P21" t="s">
        <v>97</v>
      </c>
      <c r="Q21">
        <f>_xlfn.XLOOKUP(Table3[[#This Row],[Product Name]],Sales!A:A,Sales!B:B)</f>
        <v>213.48</v>
      </c>
      <c r="R21">
        <f>_xlfn.XLOOKUP(Table3[[#This Row],[Product Name]],Sales!A:A,Sales!C:C)</f>
        <v>3</v>
      </c>
      <c r="S21">
        <f>_xlfn.XLOOKUP(Table3[[#This Row],[Product Name]],Sales!A:A,Sales!D:D)</f>
        <v>0.2</v>
      </c>
      <c r="T21">
        <f>_xlfn.XLOOKUP(Table3[[#This Row],[Product Name]],Sales!A:A,Sales!E:E)</f>
        <v>16.010999999999999</v>
      </c>
    </row>
    <row r="22" spans="1:20" x14ac:dyDescent="0.3">
      <c r="A22">
        <v>21</v>
      </c>
      <c r="B22" t="s">
        <v>92</v>
      </c>
      <c r="C22">
        <v>27</v>
      </c>
      <c r="D22">
        <v>8</v>
      </c>
      <c r="E22">
        <v>2018</v>
      </c>
      <c r="F22" t="s">
        <v>17</v>
      </c>
      <c r="G22" t="s">
        <v>93</v>
      </c>
      <c r="H22" t="s">
        <v>2618</v>
      </c>
      <c r="I22" t="s">
        <v>19</v>
      </c>
      <c r="J22" t="s">
        <v>2422</v>
      </c>
      <c r="K22" t="s">
        <v>31</v>
      </c>
      <c r="L22">
        <v>94109</v>
      </c>
      <c r="M22" t="s">
        <v>98</v>
      </c>
      <c r="N22" t="s">
        <v>33</v>
      </c>
      <c r="O22" t="s">
        <v>58</v>
      </c>
      <c r="P22" t="s">
        <v>99</v>
      </c>
      <c r="Q22">
        <f>_xlfn.XLOOKUP(Table3[[#This Row],[Product Name]],Sales!A:A,Sales!B:B)</f>
        <v>22.72</v>
      </c>
      <c r="R22">
        <f>_xlfn.XLOOKUP(Table3[[#This Row],[Product Name]],Sales!A:A,Sales!C:C)</f>
        <v>4</v>
      </c>
      <c r="S22">
        <f>_xlfn.XLOOKUP(Table3[[#This Row],[Product Name]],Sales!A:A,Sales!D:D)</f>
        <v>0.2</v>
      </c>
      <c r="T22">
        <f>_xlfn.XLOOKUP(Table3[[#This Row],[Product Name]],Sales!A:A,Sales!E:E)</f>
        <v>7.3840000000000003</v>
      </c>
    </row>
    <row r="23" spans="1:20" x14ac:dyDescent="0.3">
      <c r="A23">
        <v>22</v>
      </c>
      <c r="B23" t="s">
        <v>100</v>
      </c>
      <c r="C23">
        <v>9</v>
      </c>
      <c r="D23">
        <v>12</v>
      </c>
      <c r="E23">
        <v>2020</v>
      </c>
      <c r="F23" t="s">
        <v>37</v>
      </c>
      <c r="G23" t="s">
        <v>101</v>
      </c>
      <c r="H23" t="s">
        <v>2619</v>
      </c>
      <c r="I23" t="s">
        <v>30</v>
      </c>
      <c r="J23" t="s">
        <v>2423</v>
      </c>
      <c r="K23" t="s">
        <v>79</v>
      </c>
      <c r="L23">
        <v>68025</v>
      </c>
      <c r="M23" t="s">
        <v>102</v>
      </c>
      <c r="N23" t="s">
        <v>33</v>
      </c>
      <c r="O23" t="s">
        <v>51</v>
      </c>
      <c r="P23" t="s">
        <v>103</v>
      </c>
      <c r="Q23">
        <f>_xlfn.XLOOKUP(Table3[[#This Row],[Product Name]],Sales!A:A,Sales!B:B)</f>
        <v>19.46</v>
      </c>
      <c r="R23">
        <f>_xlfn.XLOOKUP(Table3[[#This Row],[Product Name]],Sales!A:A,Sales!C:C)</f>
        <v>7</v>
      </c>
      <c r="S23">
        <f>_xlfn.XLOOKUP(Table3[[#This Row],[Product Name]],Sales!A:A,Sales!D:D)</f>
        <v>0</v>
      </c>
      <c r="T23">
        <f>_xlfn.XLOOKUP(Table3[[#This Row],[Product Name]],Sales!A:A,Sales!E:E)</f>
        <v>5.0595999999999997</v>
      </c>
    </row>
    <row r="24" spans="1:20" x14ac:dyDescent="0.3">
      <c r="A24">
        <v>23</v>
      </c>
      <c r="B24" t="s">
        <v>100</v>
      </c>
      <c r="C24">
        <v>9</v>
      </c>
      <c r="D24">
        <v>12</v>
      </c>
      <c r="E24">
        <v>2020</v>
      </c>
      <c r="F24" t="s">
        <v>37</v>
      </c>
      <c r="G24" t="s">
        <v>101</v>
      </c>
      <c r="H24" t="s">
        <v>2619</v>
      </c>
      <c r="I24" t="s">
        <v>30</v>
      </c>
      <c r="J24" t="s">
        <v>2423</v>
      </c>
      <c r="K24" t="s">
        <v>79</v>
      </c>
      <c r="L24">
        <v>68025</v>
      </c>
      <c r="M24" t="s">
        <v>104</v>
      </c>
      <c r="N24" t="s">
        <v>33</v>
      </c>
      <c r="O24" t="s">
        <v>61</v>
      </c>
      <c r="P24" t="s">
        <v>105</v>
      </c>
      <c r="Q24">
        <f>_xlfn.XLOOKUP(Table3[[#This Row],[Product Name]],Sales!A:A,Sales!B:B)</f>
        <v>60.34</v>
      </c>
      <c r="R24">
        <f>_xlfn.XLOOKUP(Table3[[#This Row],[Product Name]],Sales!A:A,Sales!C:C)</f>
        <v>7</v>
      </c>
      <c r="S24">
        <f>_xlfn.XLOOKUP(Table3[[#This Row],[Product Name]],Sales!A:A,Sales!D:D)</f>
        <v>0</v>
      </c>
      <c r="T24">
        <f>_xlfn.XLOOKUP(Table3[[#This Row],[Product Name]],Sales!A:A,Sales!E:E)</f>
        <v>15.6884</v>
      </c>
    </row>
    <row r="25" spans="1:20" x14ac:dyDescent="0.3">
      <c r="A25">
        <v>24</v>
      </c>
      <c r="B25" t="s">
        <v>106</v>
      </c>
      <c r="C25">
        <v>16</v>
      </c>
      <c r="D25">
        <v>7</v>
      </c>
      <c r="E25">
        <v>2021</v>
      </c>
      <c r="F25" t="s">
        <v>17</v>
      </c>
      <c r="G25" t="s">
        <v>107</v>
      </c>
      <c r="H25" t="s">
        <v>2620</v>
      </c>
      <c r="I25" t="s">
        <v>19</v>
      </c>
      <c r="J25" t="s">
        <v>2424</v>
      </c>
      <c r="K25" t="s">
        <v>108</v>
      </c>
      <c r="L25">
        <v>19140</v>
      </c>
      <c r="M25" t="s">
        <v>109</v>
      </c>
      <c r="N25" t="s">
        <v>22</v>
      </c>
      <c r="O25" t="s">
        <v>26</v>
      </c>
      <c r="P25" t="s">
        <v>110</v>
      </c>
      <c r="Q25">
        <f>_xlfn.XLOOKUP(Table3[[#This Row],[Product Name]],Sales!A:A,Sales!B:B)</f>
        <v>71.372</v>
      </c>
      <c r="R25">
        <f>_xlfn.XLOOKUP(Table3[[#This Row],[Product Name]],Sales!A:A,Sales!C:C)</f>
        <v>2</v>
      </c>
      <c r="S25">
        <f>_xlfn.XLOOKUP(Table3[[#This Row],[Product Name]],Sales!A:A,Sales!D:D)</f>
        <v>0.3</v>
      </c>
      <c r="T25">
        <f>_xlfn.XLOOKUP(Table3[[#This Row],[Product Name]],Sales!A:A,Sales!E:E)</f>
        <v>-1.0196000000000001</v>
      </c>
    </row>
    <row r="26" spans="1:20" x14ac:dyDescent="0.3">
      <c r="A26">
        <v>25</v>
      </c>
      <c r="B26" t="s">
        <v>111</v>
      </c>
      <c r="C26">
        <v>25</v>
      </c>
      <c r="D26">
        <v>9</v>
      </c>
      <c r="E26">
        <v>2019</v>
      </c>
      <c r="F26" t="s">
        <v>37</v>
      </c>
      <c r="G26" t="s">
        <v>112</v>
      </c>
      <c r="H26" t="s">
        <v>2621</v>
      </c>
      <c r="I26" t="s">
        <v>19</v>
      </c>
      <c r="J26" t="s">
        <v>2425</v>
      </c>
      <c r="K26" t="s">
        <v>31</v>
      </c>
      <c r="L26">
        <v>84057</v>
      </c>
      <c r="M26" t="s">
        <v>39</v>
      </c>
      <c r="N26" t="s">
        <v>22</v>
      </c>
      <c r="O26" t="s">
        <v>40</v>
      </c>
      <c r="P26" t="s">
        <v>41</v>
      </c>
      <c r="Q26">
        <f>_xlfn.XLOOKUP(Table3[[#This Row],[Product Name]],Sales!A:A,Sales!B:B)</f>
        <v>957.57749999999999</v>
      </c>
      <c r="R26">
        <f>_xlfn.XLOOKUP(Table3[[#This Row],[Product Name]],Sales!A:A,Sales!C:C)</f>
        <v>5</v>
      </c>
      <c r="S26">
        <f>_xlfn.XLOOKUP(Table3[[#This Row],[Product Name]],Sales!A:A,Sales!D:D)</f>
        <v>0.45</v>
      </c>
      <c r="T26">
        <f>_xlfn.XLOOKUP(Table3[[#This Row],[Product Name]],Sales!A:A,Sales!E:E)</f>
        <v>-383.03100000000001</v>
      </c>
    </row>
    <row r="27" spans="1:20" x14ac:dyDescent="0.3">
      <c r="A27">
        <v>26</v>
      </c>
      <c r="B27" t="s">
        <v>113</v>
      </c>
      <c r="C27">
        <v>16</v>
      </c>
      <c r="D27">
        <v>1</v>
      </c>
      <c r="E27">
        <v>2020</v>
      </c>
      <c r="F27" t="s">
        <v>17</v>
      </c>
      <c r="G27" t="s">
        <v>114</v>
      </c>
      <c r="H27" t="s">
        <v>2622</v>
      </c>
      <c r="I27" t="s">
        <v>19</v>
      </c>
      <c r="J27" t="s">
        <v>2415</v>
      </c>
      <c r="K27" t="s">
        <v>31</v>
      </c>
      <c r="L27">
        <v>90049</v>
      </c>
      <c r="M27" t="s">
        <v>115</v>
      </c>
      <c r="N27" t="s">
        <v>33</v>
      </c>
      <c r="O27" t="s">
        <v>58</v>
      </c>
      <c r="P27" t="s">
        <v>116</v>
      </c>
      <c r="Q27">
        <f>_xlfn.XLOOKUP(Table3[[#This Row],[Product Name]],Sales!A:A,Sales!B:B)</f>
        <v>11.648</v>
      </c>
      <c r="R27">
        <f>_xlfn.XLOOKUP(Table3[[#This Row],[Product Name]],Sales!A:A,Sales!C:C)</f>
        <v>2</v>
      </c>
      <c r="S27">
        <f>_xlfn.XLOOKUP(Table3[[#This Row],[Product Name]],Sales!A:A,Sales!D:D)</f>
        <v>0.2</v>
      </c>
      <c r="T27">
        <f>_xlfn.XLOOKUP(Table3[[#This Row],[Product Name]],Sales!A:A,Sales!E:E)</f>
        <v>4.2224000000000004</v>
      </c>
    </row>
    <row r="28" spans="1:20" x14ac:dyDescent="0.3">
      <c r="A28">
        <v>27</v>
      </c>
      <c r="B28" t="s">
        <v>113</v>
      </c>
      <c r="C28">
        <v>16</v>
      </c>
      <c r="D28">
        <v>1</v>
      </c>
      <c r="E28">
        <v>2020</v>
      </c>
      <c r="F28" t="s">
        <v>17</v>
      </c>
      <c r="G28" t="s">
        <v>114</v>
      </c>
      <c r="H28" t="s">
        <v>2622</v>
      </c>
      <c r="I28" t="s">
        <v>19</v>
      </c>
      <c r="J28" t="s">
        <v>2415</v>
      </c>
      <c r="K28" t="s">
        <v>31</v>
      </c>
      <c r="L28">
        <v>90049</v>
      </c>
      <c r="M28" t="s">
        <v>117</v>
      </c>
      <c r="N28" t="s">
        <v>54</v>
      </c>
      <c r="O28" t="s">
        <v>118</v>
      </c>
      <c r="P28" t="s">
        <v>119</v>
      </c>
      <c r="Q28">
        <f>_xlfn.XLOOKUP(Table3[[#This Row],[Product Name]],Sales!A:A,Sales!B:B)</f>
        <v>90.57</v>
      </c>
      <c r="R28">
        <f>_xlfn.XLOOKUP(Table3[[#This Row],[Product Name]],Sales!A:A,Sales!C:C)</f>
        <v>3</v>
      </c>
      <c r="S28">
        <f>_xlfn.XLOOKUP(Table3[[#This Row],[Product Name]],Sales!A:A,Sales!D:D)</f>
        <v>0</v>
      </c>
      <c r="T28">
        <f>_xlfn.XLOOKUP(Table3[[#This Row],[Product Name]],Sales!A:A,Sales!E:E)</f>
        <v>11.774100000000001</v>
      </c>
    </row>
    <row r="29" spans="1:20" x14ac:dyDescent="0.3">
      <c r="A29">
        <v>28</v>
      </c>
      <c r="B29" t="s">
        <v>120</v>
      </c>
      <c r="C29">
        <v>17</v>
      </c>
      <c r="D29">
        <v>9</v>
      </c>
      <c r="E29">
        <v>2019</v>
      </c>
      <c r="F29" t="s">
        <v>37</v>
      </c>
      <c r="G29" t="s">
        <v>121</v>
      </c>
      <c r="H29" t="s">
        <v>2623</v>
      </c>
      <c r="I29" t="s">
        <v>19</v>
      </c>
      <c r="J29" t="s">
        <v>2424</v>
      </c>
      <c r="K29" t="s">
        <v>108</v>
      </c>
      <c r="L29">
        <v>19140</v>
      </c>
      <c r="M29" t="s">
        <v>122</v>
      </c>
      <c r="N29" t="s">
        <v>22</v>
      </c>
      <c r="O29" t="s">
        <v>23</v>
      </c>
      <c r="P29" t="s">
        <v>123</v>
      </c>
      <c r="Q29">
        <f>_xlfn.XLOOKUP(Table3[[#This Row],[Product Name]],Sales!A:A,Sales!B:B)</f>
        <v>3083.43</v>
      </c>
      <c r="R29">
        <f>_xlfn.XLOOKUP(Table3[[#This Row],[Product Name]],Sales!A:A,Sales!C:C)</f>
        <v>7</v>
      </c>
      <c r="S29">
        <f>_xlfn.XLOOKUP(Table3[[#This Row],[Product Name]],Sales!A:A,Sales!D:D)</f>
        <v>0.5</v>
      </c>
      <c r="T29">
        <f>_xlfn.XLOOKUP(Table3[[#This Row],[Product Name]],Sales!A:A,Sales!E:E)</f>
        <v>-1665.0522000000001</v>
      </c>
    </row>
    <row r="30" spans="1:20" x14ac:dyDescent="0.3">
      <c r="A30">
        <v>29</v>
      </c>
      <c r="B30" t="s">
        <v>120</v>
      </c>
      <c r="C30">
        <v>17</v>
      </c>
      <c r="D30">
        <v>9</v>
      </c>
      <c r="E30">
        <v>2019</v>
      </c>
      <c r="F30" t="s">
        <v>37</v>
      </c>
      <c r="G30" t="s">
        <v>121</v>
      </c>
      <c r="H30" t="s">
        <v>2623</v>
      </c>
      <c r="I30" t="s">
        <v>19</v>
      </c>
      <c r="J30" t="s">
        <v>2424</v>
      </c>
      <c r="K30" t="s">
        <v>108</v>
      </c>
      <c r="L30">
        <v>19140</v>
      </c>
      <c r="M30" t="s">
        <v>124</v>
      </c>
      <c r="N30" t="s">
        <v>33</v>
      </c>
      <c r="O30" t="s">
        <v>58</v>
      </c>
      <c r="P30" t="s">
        <v>125</v>
      </c>
      <c r="Q30">
        <f>_xlfn.XLOOKUP(Table3[[#This Row],[Product Name]],Sales!A:A,Sales!B:B)</f>
        <v>9.6180000000000003</v>
      </c>
      <c r="R30">
        <f>_xlfn.XLOOKUP(Table3[[#This Row],[Product Name]],Sales!A:A,Sales!C:C)</f>
        <v>2</v>
      </c>
      <c r="S30">
        <f>_xlfn.XLOOKUP(Table3[[#This Row],[Product Name]],Sales!A:A,Sales!D:D)</f>
        <v>0.7</v>
      </c>
      <c r="T30">
        <f>_xlfn.XLOOKUP(Table3[[#This Row],[Product Name]],Sales!A:A,Sales!E:E)</f>
        <v>-7.0532000000000004</v>
      </c>
    </row>
    <row r="31" spans="1:20" x14ac:dyDescent="0.3">
      <c r="A31">
        <v>30</v>
      </c>
      <c r="B31" t="s">
        <v>120</v>
      </c>
      <c r="C31">
        <v>17</v>
      </c>
      <c r="D31">
        <v>9</v>
      </c>
      <c r="E31">
        <v>2019</v>
      </c>
      <c r="F31" t="s">
        <v>37</v>
      </c>
      <c r="G31" t="s">
        <v>121</v>
      </c>
      <c r="H31" t="s">
        <v>2623</v>
      </c>
      <c r="I31" t="s">
        <v>19</v>
      </c>
      <c r="J31" t="s">
        <v>2424</v>
      </c>
      <c r="K31" t="s">
        <v>108</v>
      </c>
      <c r="L31">
        <v>19140</v>
      </c>
      <c r="M31" t="s">
        <v>126</v>
      </c>
      <c r="N31" t="s">
        <v>22</v>
      </c>
      <c r="O31" t="s">
        <v>48</v>
      </c>
      <c r="P31" t="s">
        <v>127</v>
      </c>
      <c r="Q31">
        <f>_xlfn.XLOOKUP(Table3[[#This Row],[Product Name]],Sales!A:A,Sales!B:B)</f>
        <v>124.2</v>
      </c>
      <c r="R31">
        <f>_xlfn.XLOOKUP(Table3[[#This Row],[Product Name]],Sales!A:A,Sales!C:C)</f>
        <v>3</v>
      </c>
      <c r="S31">
        <f>_xlfn.XLOOKUP(Table3[[#This Row],[Product Name]],Sales!A:A,Sales!D:D)</f>
        <v>0.2</v>
      </c>
      <c r="T31">
        <f>_xlfn.XLOOKUP(Table3[[#This Row],[Product Name]],Sales!A:A,Sales!E:E)</f>
        <v>15.525</v>
      </c>
    </row>
    <row r="32" spans="1:20" x14ac:dyDescent="0.3">
      <c r="A32">
        <v>31</v>
      </c>
      <c r="B32" t="s">
        <v>120</v>
      </c>
      <c r="C32">
        <v>17</v>
      </c>
      <c r="D32">
        <v>9</v>
      </c>
      <c r="E32">
        <v>2019</v>
      </c>
      <c r="F32" t="s">
        <v>37</v>
      </c>
      <c r="G32" t="s">
        <v>121</v>
      </c>
      <c r="H32" t="s">
        <v>2623</v>
      </c>
      <c r="I32" t="s">
        <v>19</v>
      </c>
      <c r="J32" t="s">
        <v>2424</v>
      </c>
      <c r="K32" t="s">
        <v>108</v>
      </c>
      <c r="L32">
        <v>19140</v>
      </c>
      <c r="M32" t="s">
        <v>128</v>
      </c>
      <c r="N32" t="s">
        <v>33</v>
      </c>
      <c r="O32" t="s">
        <v>129</v>
      </c>
      <c r="P32" t="s">
        <v>130</v>
      </c>
      <c r="Q32">
        <f>_xlfn.XLOOKUP(Table3[[#This Row],[Product Name]],Sales!A:A,Sales!B:B)</f>
        <v>3.2639999999999998</v>
      </c>
      <c r="R32">
        <f>_xlfn.XLOOKUP(Table3[[#This Row],[Product Name]],Sales!A:A,Sales!C:C)</f>
        <v>2</v>
      </c>
      <c r="S32">
        <f>_xlfn.XLOOKUP(Table3[[#This Row],[Product Name]],Sales!A:A,Sales!D:D)</f>
        <v>0.2</v>
      </c>
      <c r="T32">
        <f>_xlfn.XLOOKUP(Table3[[#This Row],[Product Name]],Sales!A:A,Sales!E:E)</f>
        <v>1.1015999999999999</v>
      </c>
    </row>
    <row r="33" spans="1:20" x14ac:dyDescent="0.3">
      <c r="A33">
        <v>32</v>
      </c>
      <c r="B33" t="s">
        <v>120</v>
      </c>
      <c r="C33">
        <v>17</v>
      </c>
      <c r="D33">
        <v>9</v>
      </c>
      <c r="E33">
        <v>2019</v>
      </c>
      <c r="F33" t="s">
        <v>37</v>
      </c>
      <c r="G33" t="s">
        <v>121</v>
      </c>
      <c r="H33" t="s">
        <v>2623</v>
      </c>
      <c r="I33" t="s">
        <v>19</v>
      </c>
      <c r="J33" t="s">
        <v>2424</v>
      </c>
      <c r="K33" t="s">
        <v>108</v>
      </c>
      <c r="L33">
        <v>19140</v>
      </c>
      <c r="M33" t="s">
        <v>131</v>
      </c>
      <c r="N33" t="s">
        <v>33</v>
      </c>
      <c r="O33" t="s">
        <v>51</v>
      </c>
      <c r="P33" t="s">
        <v>132</v>
      </c>
      <c r="Q33">
        <f>_xlfn.XLOOKUP(Table3[[#This Row],[Product Name]],Sales!A:A,Sales!B:B)</f>
        <v>86.304000000000002</v>
      </c>
      <c r="R33">
        <f>_xlfn.XLOOKUP(Table3[[#This Row],[Product Name]],Sales!A:A,Sales!C:C)</f>
        <v>6</v>
      </c>
      <c r="S33">
        <f>_xlfn.XLOOKUP(Table3[[#This Row],[Product Name]],Sales!A:A,Sales!D:D)</f>
        <v>0.2</v>
      </c>
      <c r="T33">
        <f>_xlfn.XLOOKUP(Table3[[#This Row],[Product Name]],Sales!A:A,Sales!E:E)</f>
        <v>9.7091999999999992</v>
      </c>
    </row>
    <row r="34" spans="1:20" x14ac:dyDescent="0.3">
      <c r="A34">
        <v>33</v>
      </c>
      <c r="B34" t="s">
        <v>120</v>
      </c>
      <c r="C34">
        <v>17</v>
      </c>
      <c r="D34">
        <v>9</v>
      </c>
      <c r="E34">
        <v>2019</v>
      </c>
      <c r="F34" t="s">
        <v>37</v>
      </c>
      <c r="G34" t="s">
        <v>121</v>
      </c>
      <c r="H34" t="s">
        <v>2623</v>
      </c>
      <c r="I34" t="s">
        <v>19</v>
      </c>
      <c r="J34" t="s">
        <v>2424</v>
      </c>
      <c r="K34" t="s">
        <v>108</v>
      </c>
      <c r="L34">
        <v>19140</v>
      </c>
      <c r="M34" t="s">
        <v>133</v>
      </c>
      <c r="N34" t="s">
        <v>33</v>
      </c>
      <c r="O34" t="s">
        <v>58</v>
      </c>
      <c r="P34" t="s">
        <v>134</v>
      </c>
      <c r="Q34">
        <f>_xlfn.XLOOKUP(Table3[[#This Row],[Product Name]],Sales!A:A,Sales!B:B)</f>
        <v>6.8579999999999997</v>
      </c>
      <c r="R34">
        <f>_xlfn.XLOOKUP(Table3[[#This Row],[Product Name]],Sales!A:A,Sales!C:C)</f>
        <v>6</v>
      </c>
      <c r="S34">
        <f>_xlfn.XLOOKUP(Table3[[#This Row],[Product Name]],Sales!A:A,Sales!D:D)</f>
        <v>0.7</v>
      </c>
      <c r="T34">
        <f>_xlfn.XLOOKUP(Table3[[#This Row],[Product Name]],Sales!A:A,Sales!E:E)</f>
        <v>-5.7149999999999999</v>
      </c>
    </row>
    <row r="35" spans="1:20" x14ac:dyDescent="0.3">
      <c r="A35">
        <v>34</v>
      </c>
      <c r="B35" t="s">
        <v>120</v>
      </c>
      <c r="C35">
        <v>17</v>
      </c>
      <c r="D35">
        <v>9</v>
      </c>
      <c r="E35">
        <v>2019</v>
      </c>
      <c r="F35" t="s">
        <v>37</v>
      </c>
      <c r="G35" t="s">
        <v>121</v>
      </c>
      <c r="H35" t="s">
        <v>2623</v>
      </c>
      <c r="I35" t="s">
        <v>19</v>
      </c>
      <c r="J35" t="s">
        <v>2424</v>
      </c>
      <c r="K35" t="s">
        <v>108</v>
      </c>
      <c r="L35">
        <v>19140</v>
      </c>
      <c r="M35" t="s">
        <v>135</v>
      </c>
      <c r="N35" t="s">
        <v>33</v>
      </c>
      <c r="O35" t="s">
        <v>51</v>
      </c>
      <c r="P35" t="s">
        <v>136</v>
      </c>
      <c r="Q35">
        <f>_xlfn.XLOOKUP(Table3[[#This Row],[Product Name]],Sales!A:A,Sales!B:B)</f>
        <v>15.76</v>
      </c>
      <c r="R35">
        <f>_xlfn.XLOOKUP(Table3[[#This Row],[Product Name]],Sales!A:A,Sales!C:C)</f>
        <v>2</v>
      </c>
      <c r="S35">
        <f>_xlfn.XLOOKUP(Table3[[#This Row],[Product Name]],Sales!A:A,Sales!D:D)</f>
        <v>0.2</v>
      </c>
      <c r="T35">
        <f>_xlfn.XLOOKUP(Table3[[#This Row],[Product Name]],Sales!A:A,Sales!E:E)</f>
        <v>3.5459999999999998</v>
      </c>
    </row>
    <row r="36" spans="1:20" x14ac:dyDescent="0.3">
      <c r="A36">
        <v>35</v>
      </c>
      <c r="B36" t="s">
        <v>137</v>
      </c>
      <c r="C36">
        <v>19</v>
      </c>
      <c r="D36">
        <v>10</v>
      </c>
      <c r="E36">
        <v>2021</v>
      </c>
      <c r="F36" t="s">
        <v>17</v>
      </c>
      <c r="G36" t="s">
        <v>138</v>
      </c>
      <c r="H36" t="s">
        <v>2624</v>
      </c>
      <c r="I36" t="s">
        <v>78</v>
      </c>
      <c r="J36" t="s">
        <v>2426</v>
      </c>
      <c r="K36" t="s">
        <v>79</v>
      </c>
      <c r="L36">
        <v>77095</v>
      </c>
      <c r="M36" t="s">
        <v>139</v>
      </c>
      <c r="N36" t="s">
        <v>33</v>
      </c>
      <c r="O36" t="s">
        <v>70</v>
      </c>
      <c r="P36" t="s">
        <v>140</v>
      </c>
      <c r="Q36">
        <f>_xlfn.XLOOKUP(Table3[[#This Row],[Product Name]],Sales!A:A,Sales!B:B)</f>
        <v>29.472000000000001</v>
      </c>
      <c r="R36">
        <f>_xlfn.XLOOKUP(Table3[[#This Row],[Product Name]],Sales!A:A,Sales!C:C)</f>
        <v>3</v>
      </c>
      <c r="S36">
        <f>_xlfn.XLOOKUP(Table3[[#This Row],[Product Name]],Sales!A:A,Sales!D:D)</f>
        <v>0.2</v>
      </c>
      <c r="T36">
        <f>_xlfn.XLOOKUP(Table3[[#This Row],[Product Name]],Sales!A:A,Sales!E:E)</f>
        <v>9.9467999999999996</v>
      </c>
    </row>
    <row r="37" spans="1:20" x14ac:dyDescent="0.3">
      <c r="A37">
        <v>36</v>
      </c>
      <c r="B37" t="s">
        <v>141</v>
      </c>
      <c r="C37">
        <v>8</v>
      </c>
      <c r="D37">
        <v>12</v>
      </c>
      <c r="E37">
        <v>2020</v>
      </c>
      <c r="F37" t="s">
        <v>142</v>
      </c>
      <c r="G37" t="s">
        <v>143</v>
      </c>
      <c r="H37" t="s">
        <v>2625</v>
      </c>
      <c r="I37" t="s">
        <v>30</v>
      </c>
      <c r="J37" t="s">
        <v>2427</v>
      </c>
      <c r="K37" t="s">
        <v>79</v>
      </c>
      <c r="L37">
        <v>75080</v>
      </c>
      <c r="M37" t="s">
        <v>144</v>
      </c>
      <c r="N37" t="s">
        <v>54</v>
      </c>
      <c r="O37" t="s">
        <v>55</v>
      </c>
      <c r="P37" t="s">
        <v>145</v>
      </c>
      <c r="Q37">
        <f>_xlfn.XLOOKUP(Table3[[#This Row],[Product Name]],Sales!A:A,Sales!B:B)</f>
        <v>1097.5440000000001</v>
      </c>
      <c r="R37">
        <f>_xlfn.XLOOKUP(Table3[[#This Row],[Product Name]],Sales!A:A,Sales!C:C)</f>
        <v>7</v>
      </c>
      <c r="S37">
        <f>_xlfn.XLOOKUP(Table3[[#This Row],[Product Name]],Sales!A:A,Sales!D:D)</f>
        <v>0.2</v>
      </c>
      <c r="T37">
        <f>_xlfn.XLOOKUP(Table3[[#This Row],[Product Name]],Sales!A:A,Sales!E:E)</f>
        <v>123.47369999999999</v>
      </c>
    </row>
    <row r="38" spans="1:20" x14ac:dyDescent="0.3">
      <c r="A38">
        <v>37</v>
      </c>
      <c r="B38" t="s">
        <v>141</v>
      </c>
      <c r="C38">
        <v>8</v>
      </c>
      <c r="D38">
        <v>12</v>
      </c>
      <c r="E38">
        <v>2020</v>
      </c>
      <c r="F38" t="s">
        <v>142</v>
      </c>
      <c r="G38" t="s">
        <v>143</v>
      </c>
      <c r="H38" t="s">
        <v>2625</v>
      </c>
      <c r="I38" t="s">
        <v>30</v>
      </c>
      <c r="J38" t="s">
        <v>2427</v>
      </c>
      <c r="K38" t="s">
        <v>79</v>
      </c>
      <c r="L38">
        <v>75080</v>
      </c>
      <c r="M38" t="s">
        <v>146</v>
      </c>
      <c r="N38" t="s">
        <v>22</v>
      </c>
      <c r="O38" t="s">
        <v>48</v>
      </c>
      <c r="P38" t="s">
        <v>147</v>
      </c>
      <c r="Q38">
        <f>_xlfn.XLOOKUP(Table3[[#This Row],[Product Name]],Sales!A:A,Sales!B:B)</f>
        <v>190.92</v>
      </c>
      <c r="R38">
        <f>_xlfn.XLOOKUP(Table3[[#This Row],[Product Name]],Sales!A:A,Sales!C:C)</f>
        <v>5</v>
      </c>
      <c r="S38">
        <f>_xlfn.XLOOKUP(Table3[[#This Row],[Product Name]],Sales!A:A,Sales!D:D)</f>
        <v>0.6</v>
      </c>
      <c r="T38">
        <f>_xlfn.XLOOKUP(Table3[[#This Row],[Product Name]],Sales!A:A,Sales!E:E)</f>
        <v>-147.96299999999999</v>
      </c>
    </row>
    <row r="39" spans="1:20" x14ac:dyDescent="0.3">
      <c r="A39">
        <v>38</v>
      </c>
      <c r="B39" t="s">
        <v>148</v>
      </c>
      <c r="C39">
        <v>27</v>
      </c>
      <c r="D39">
        <v>12</v>
      </c>
      <c r="E39">
        <v>2019</v>
      </c>
      <c r="F39" t="s">
        <v>37</v>
      </c>
      <c r="G39" t="s">
        <v>149</v>
      </c>
      <c r="H39" t="s">
        <v>2626</v>
      </c>
      <c r="I39" t="s">
        <v>78</v>
      </c>
      <c r="J39" t="s">
        <v>2426</v>
      </c>
      <c r="K39" t="s">
        <v>79</v>
      </c>
      <c r="L39">
        <v>77041</v>
      </c>
      <c r="M39" t="s">
        <v>150</v>
      </c>
      <c r="N39" t="s">
        <v>33</v>
      </c>
      <c r="O39" t="s">
        <v>129</v>
      </c>
      <c r="P39" t="s">
        <v>151</v>
      </c>
      <c r="Q39">
        <f>_xlfn.XLOOKUP(Table3[[#This Row],[Product Name]],Sales!A:A,Sales!B:B)</f>
        <v>113.328</v>
      </c>
      <c r="R39">
        <f>_xlfn.XLOOKUP(Table3[[#This Row],[Product Name]],Sales!A:A,Sales!C:C)</f>
        <v>9</v>
      </c>
      <c r="S39">
        <f>_xlfn.XLOOKUP(Table3[[#This Row],[Product Name]],Sales!A:A,Sales!D:D)</f>
        <v>0.2</v>
      </c>
      <c r="T39">
        <f>_xlfn.XLOOKUP(Table3[[#This Row],[Product Name]],Sales!A:A,Sales!E:E)</f>
        <v>35.414999999999999</v>
      </c>
    </row>
    <row r="40" spans="1:20" x14ac:dyDescent="0.3">
      <c r="A40">
        <v>39</v>
      </c>
      <c r="B40" t="s">
        <v>148</v>
      </c>
      <c r="C40">
        <v>27</v>
      </c>
      <c r="D40">
        <v>12</v>
      </c>
      <c r="E40">
        <v>2019</v>
      </c>
      <c r="F40" t="s">
        <v>37</v>
      </c>
      <c r="G40" t="s">
        <v>149</v>
      </c>
      <c r="H40" t="s">
        <v>2626</v>
      </c>
      <c r="I40" t="s">
        <v>78</v>
      </c>
      <c r="J40" t="s">
        <v>2426</v>
      </c>
      <c r="K40" t="s">
        <v>79</v>
      </c>
      <c r="L40">
        <v>77041</v>
      </c>
      <c r="M40" t="s">
        <v>152</v>
      </c>
      <c r="N40" t="s">
        <v>22</v>
      </c>
      <c r="O40" t="s">
        <v>23</v>
      </c>
      <c r="P40" t="s">
        <v>153</v>
      </c>
      <c r="Q40">
        <f>_xlfn.XLOOKUP(Table3[[#This Row],[Product Name]],Sales!A:A,Sales!B:B)</f>
        <v>532.39919999999995</v>
      </c>
      <c r="R40">
        <f>_xlfn.XLOOKUP(Table3[[#This Row],[Product Name]],Sales!A:A,Sales!C:C)</f>
        <v>3</v>
      </c>
      <c r="S40">
        <f>_xlfn.XLOOKUP(Table3[[#This Row],[Product Name]],Sales!A:A,Sales!D:D)</f>
        <v>0.32</v>
      </c>
      <c r="T40">
        <f>_xlfn.XLOOKUP(Table3[[#This Row],[Product Name]],Sales!A:A,Sales!E:E)</f>
        <v>-46.976399999999998</v>
      </c>
    </row>
    <row r="41" spans="1:20" x14ac:dyDescent="0.3">
      <c r="A41">
        <v>40</v>
      </c>
      <c r="B41" t="s">
        <v>148</v>
      </c>
      <c r="C41">
        <v>27</v>
      </c>
      <c r="D41">
        <v>12</v>
      </c>
      <c r="E41">
        <v>2019</v>
      </c>
      <c r="F41" t="s">
        <v>37</v>
      </c>
      <c r="G41" t="s">
        <v>149</v>
      </c>
      <c r="H41" t="s">
        <v>2626</v>
      </c>
      <c r="I41" t="s">
        <v>78</v>
      </c>
      <c r="J41" t="s">
        <v>2426</v>
      </c>
      <c r="K41" t="s">
        <v>79</v>
      </c>
      <c r="L41">
        <v>77041</v>
      </c>
      <c r="M41" t="s">
        <v>154</v>
      </c>
      <c r="N41" t="s">
        <v>22</v>
      </c>
      <c r="O41" t="s">
        <v>26</v>
      </c>
      <c r="P41" t="s">
        <v>155</v>
      </c>
      <c r="Q41">
        <f>_xlfn.XLOOKUP(Table3[[#This Row],[Product Name]],Sales!A:A,Sales!B:B)</f>
        <v>212.05799999999999</v>
      </c>
      <c r="R41">
        <f>_xlfn.XLOOKUP(Table3[[#This Row],[Product Name]],Sales!A:A,Sales!C:C)</f>
        <v>3</v>
      </c>
      <c r="S41">
        <f>_xlfn.XLOOKUP(Table3[[#This Row],[Product Name]],Sales!A:A,Sales!D:D)</f>
        <v>0.3</v>
      </c>
      <c r="T41">
        <f>_xlfn.XLOOKUP(Table3[[#This Row],[Product Name]],Sales!A:A,Sales!E:E)</f>
        <v>-15.147</v>
      </c>
    </row>
    <row r="42" spans="1:20" x14ac:dyDescent="0.3">
      <c r="A42">
        <v>41</v>
      </c>
      <c r="B42" t="s">
        <v>148</v>
      </c>
      <c r="C42">
        <v>27</v>
      </c>
      <c r="D42">
        <v>12</v>
      </c>
      <c r="E42">
        <v>2019</v>
      </c>
      <c r="F42" t="s">
        <v>37</v>
      </c>
      <c r="G42" t="s">
        <v>149</v>
      </c>
      <c r="H42" t="s">
        <v>2626</v>
      </c>
      <c r="I42" t="s">
        <v>78</v>
      </c>
      <c r="J42" t="s">
        <v>2426</v>
      </c>
      <c r="K42" t="s">
        <v>79</v>
      </c>
      <c r="L42">
        <v>77041</v>
      </c>
      <c r="M42" t="s">
        <v>156</v>
      </c>
      <c r="N42" t="s">
        <v>54</v>
      </c>
      <c r="O42" t="s">
        <v>55</v>
      </c>
      <c r="P42" t="s">
        <v>157</v>
      </c>
      <c r="Q42">
        <f>_xlfn.XLOOKUP(Table3[[#This Row],[Product Name]],Sales!A:A,Sales!B:B)</f>
        <v>371.16800000000001</v>
      </c>
      <c r="R42">
        <f>_xlfn.XLOOKUP(Table3[[#This Row],[Product Name]],Sales!A:A,Sales!C:C)</f>
        <v>4</v>
      </c>
      <c r="S42">
        <f>_xlfn.XLOOKUP(Table3[[#This Row],[Product Name]],Sales!A:A,Sales!D:D)</f>
        <v>0.2</v>
      </c>
      <c r="T42">
        <f>_xlfn.XLOOKUP(Table3[[#This Row],[Product Name]],Sales!A:A,Sales!E:E)</f>
        <v>41.756399999999999</v>
      </c>
    </row>
    <row r="43" spans="1:20" x14ac:dyDescent="0.3">
      <c r="A43">
        <v>42</v>
      </c>
      <c r="B43" t="s">
        <v>158</v>
      </c>
      <c r="C43">
        <v>10</v>
      </c>
      <c r="D43">
        <v>9</v>
      </c>
      <c r="E43">
        <v>2021</v>
      </c>
      <c r="F43" t="s">
        <v>37</v>
      </c>
      <c r="G43" t="s">
        <v>159</v>
      </c>
      <c r="H43" t="s">
        <v>2627</v>
      </c>
      <c r="I43" t="s">
        <v>30</v>
      </c>
      <c r="J43" t="s">
        <v>2428</v>
      </c>
      <c r="K43" t="s">
        <v>79</v>
      </c>
      <c r="L43">
        <v>60540</v>
      </c>
      <c r="M43" t="s">
        <v>160</v>
      </c>
      <c r="N43" t="s">
        <v>54</v>
      </c>
      <c r="O43" t="s">
        <v>55</v>
      </c>
      <c r="P43" t="s">
        <v>161</v>
      </c>
      <c r="Q43">
        <f>_xlfn.XLOOKUP(Table3[[#This Row],[Product Name]],Sales!A:A,Sales!B:B)</f>
        <v>147.16800000000001</v>
      </c>
      <c r="R43">
        <f>_xlfn.XLOOKUP(Table3[[#This Row],[Product Name]],Sales!A:A,Sales!C:C)</f>
        <v>4</v>
      </c>
      <c r="S43">
        <f>_xlfn.XLOOKUP(Table3[[#This Row],[Product Name]],Sales!A:A,Sales!D:D)</f>
        <v>0.2</v>
      </c>
      <c r="T43">
        <f>_xlfn.XLOOKUP(Table3[[#This Row],[Product Name]],Sales!A:A,Sales!E:E)</f>
        <v>16.5564</v>
      </c>
    </row>
    <row r="44" spans="1:20" x14ac:dyDescent="0.3">
      <c r="A44">
        <v>43</v>
      </c>
      <c r="B44" t="s">
        <v>162</v>
      </c>
      <c r="C44">
        <v>17</v>
      </c>
      <c r="D44">
        <v>7</v>
      </c>
      <c r="E44">
        <v>2020</v>
      </c>
      <c r="F44" t="s">
        <v>37</v>
      </c>
      <c r="G44" t="s">
        <v>163</v>
      </c>
      <c r="H44" t="s">
        <v>2628</v>
      </c>
      <c r="I44" t="s">
        <v>30</v>
      </c>
      <c r="J44" t="s">
        <v>2415</v>
      </c>
      <c r="K44" t="s">
        <v>31</v>
      </c>
      <c r="L44">
        <v>90049</v>
      </c>
      <c r="M44" t="s">
        <v>164</v>
      </c>
      <c r="N44" t="s">
        <v>33</v>
      </c>
      <c r="O44" t="s">
        <v>43</v>
      </c>
      <c r="P44" t="s">
        <v>165</v>
      </c>
      <c r="Q44">
        <f>_xlfn.XLOOKUP(Table3[[#This Row],[Product Name]],Sales!A:A,Sales!B:B)</f>
        <v>77.88</v>
      </c>
      <c r="R44">
        <f>_xlfn.XLOOKUP(Table3[[#This Row],[Product Name]],Sales!A:A,Sales!C:C)</f>
        <v>2</v>
      </c>
      <c r="S44">
        <f>_xlfn.XLOOKUP(Table3[[#This Row],[Product Name]],Sales!A:A,Sales!D:D)</f>
        <v>0</v>
      </c>
      <c r="T44">
        <f>_xlfn.XLOOKUP(Table3[[#This Row],[Product Name]],Sales!A:A,Sales!E:E)</f>
        <v>3.8940000000000001</v>
      </c>
    </row>
    <row r="45" spans="1:20" x14ac:dyDescent="0.3">
      <c r="A45">
        <v>44</v>
      </c>
      <c r="B45" t="s">
        <v>166</v>
      </c>
      <c r="C45">
        <v>19</v>
      </c>
      <c r="D45">
        <v>9</v>
      </c>
      <c r="E45">
        <v>2021</v>
      </c>
      <c r="F45" t="s">
        <v>37</v>
      </c>
      <c r="G45" t="s">
        <v>167</v>
      </c>
      <c r="H45" t="s">
        <v>2629</v>
      </c>
      <c r="I45" t="s">
        <v>30</v>
      </c>
      <c r="J45" t="s">
        <v>2429</v>
      </c>
      <c r="K45" t="s">
        <v>20</v>
      </c>
      <c r="L45">
        <v>32935</v>
      </c>
      <c r="M45" t="s">
        <v>168</v>
      </c>
      <c r="N45" t="s">
        <v>33</v>
      </c>
      <c r="O45" t="s">
        <v>43</v>
      </c>
      <c r="P45" t="s">
        <v>169</v>
      </c>
      <c r="Q45">
        <f>_xlfn.XLOOKUP(Table3[[#This Row],[Product Name]],Sales!A:A,Sales!B:B)</f>
        <v>95.616</v>
      </c>
      <c r="R45">
        <f>_xlfn.XLOOKUP(Table3[[#This Row],[Product Name]],Sales!A:A,Sales!C:C)</f>
        <v>2</v>
      </c>
      <c r="S45">
        <f>_xlfn.XLOOKUP(Table3[[#This Row],[Product Name]],Sales!A:A,Sales!D:D)</f>
        <v>0.2</v>
      </c>
      <c r="T45">
        <f>_xlfn.XLOOKUP(Table3[[#This Row],[Product Name]],Sales!A:A,Sales!E:E)</f>
        <v>9.5616000000000003</v>
      </c>
    </row>
    <row r="46" spans="1:20" x14ac:dyDescent="0.3">
      <c r="A46">
        <v>45</v>
      </c>
      <c r="B46" t="s">
        <v>170</v>
      </c>
      <c r="C46">
        <v>11</v>
      </c>
      <c r="D46">
        <v>3</v>
      </c>
      <c r="E46">
        <v>2020</v>
      </c>
      <c r="F46" t="s">
        <v>142</v>
      </c>
      <c r="G46" t="s">
        <v>171</v>
      </c>
      <c r="H46" t="s">
        <v>2630</v>
      </c>
      <c r="I46" t="s">
        <v>30</v>
      </c>
      <c r="J46" t="s">
        <v>2430</v>
      </c>
      <c r="K46" t="s">
        <v>79</v>
      </c>
      <c r="L46">
        <v>55122</v>
      </c>
      <c r="M46" t="s">
        <v>172</v>
      </c>
      <c r="N46" t="s">
        <v>54</v>
      </c>
      <c r="O46" t="s">
        <v>118</v>
      </c>
      <c r="P46" t="s">
        <v>173</v>
      </c>
      <c r="Q46">
        <f>_xlfn.XLOOKUP(Table3[[#This Row],[Product Name]],Sales!A:A,Sales!B:B)</f>
        <v>45.98</v>
      </c>
      <c r="R46">
        <f>_xlfn.XLOOKUP(Table3[[#This Row],[Product Name]],Sales!A:A,Sales!C:C)</f>
        <v>2</v>
      </c>
      <c r="S46">
        <f>_xlfn.XLOOKUP(Table3[[#This Row],[Product Name]],Sales!A:A,Sales!D:D)</f>
        <v>0</v>
      </c>
      <c r="T46">
        <f>_xlfn.XLOOKUP(Table3[[#This Row],[Product Name]],Sales!A:A,Sales!E:E)</f>
        <v>19.7714</v>
      </c>
    </row>
    <row r="47" spans="1:20" x14ac:dyDescent="0.3">
      <c r="A47">
        <v>46</v>
      </c>
      <c r="B47" t="s">
        <v>170</v>
      </c>
      <c r="C47">
        <v>11</v>
      </c>
      <c r="D47">
        <v>3</v>
      </c>
      <c r="E47">
        <v>2020</v>
      </c>
      <c r="F47" t="s">
        <v>142</v>
      </c>
      <c r="G47" t="s">
        <v>171</v>
      </c>
      <c r="H47" t="s">
        <v>2630</v>
      </c>
      <c r="I47" t="s">
        <v>30</v>
      </c>
      <c r="J47" t="s">
        <v>2430</v>
      </c>
      <c r="K47" t="s">
        <v>79</v>
      </c>
      <c r="L47">
        <v>55122</v>
      </c>
      <c r="M47" t="s">
        <v>174</v>
      </c>
      <c r="N47" t="s">
        <v>33</v>
      </c>
      <c r="O47" t="s">
        <v>58</v>
      </c>
      <c r="P47" t="s">
        <v>175</v>
      </c>
      <c r="Q47">
        <f>_xlfn.XLOOKUP(Table3[[#This Row],[Product Name]],Sales!A:A,Sales!B:B)</f>
        <v>17.46</v>
      </c>
      <c r="R47">
        <f>_xlfn.XLOOKUP(Table3[[#This Row],[Product Name]],Sales!A:A,Sales!C:C)</f>
        <v>2</v>
      </c>
      <c r="S47">
        <f>_xlfn.XLOOKUP(Table3[[#This Row],[Product Name]],Sales!A:A,Sales!D:D)</f>
        <v>0</v>
      </c>
      <c r="T47">
        <f>_xlfn.XLOOKUP(Table3[[#This Row],[Product Name]],Sales!A:A,Sales!E:E)</f>
        <v>8.2062000000000008</v>
      </c>
    </row>
    <row r="48" spans="1:20" x14ac:dyDescent="0.3">
      <c r="A48">
        <v>47</v>
      </c>
      <c r="B48" t="s">
        <v>176</v>
      </c>
      <c r="C48">
        <v>20</v>
      </c>
      <c r="D48">
        <v>10</v>
      </c>
      <c r="E48">
        <v>2018</v>
      </c>
      <c r="F48" t="s">
        <v>17</v>
      </c>
      <c r="G48" t="s">
        <v>177</v>
      </c>
      <c r="H48" t="s">
        <v>2631</v>
      </c>
      <c r="I48" t="s">
        <v>19</v>
      </c>
      <c r="J48" t="s">
        <v>2431</v>
      </c>
      <c r="K48" t="s">
        <v>79</v>
      </c>
      <c r="L48">
        <v>48185</v>
      </c>
      <c r="M48" t="s">
        <v>178</v>
      </c>
      <c r="N48" t="s">
        <v>33</v>
      </c>
      <c r="O48" t="s">
        <v>43</v>
      </c>
      <c r="P48" t="s">
        <v>179</v>
      </c>
      <c r="Q48">
        <f>_xlfn.XLOOKUP(Table3[[#This Row],[Product Name]],Sales!A:A,Sales!B:B)</f>
        <v>211.96</v>
      </c>
      <c r="R48">
        <f>_xlfn.XLOOKUP(Table3[[#This Row],[Product Name]],Sales!A:A,Sales!C:C)</f>
        <v>4</v>
      </c>
      <c r="S48">
        <f>_xlfn.XLOOKUP(Table3[[#This Row],[Product Name]],Sales!A:A,Sales!D:D)</f>
        <v>0</v>
      </c>
      <c r="T48">
        <f>_xlfn.XLOOKUP(Table3[[#This Row],[Product Name]],Sales!A:A,Sales!E:E)</f>
        <v>8.4784000000000006</v>
      </c>
    </row>
    <row r="49" spans="1:20" x14ac:dyDescent="0.3">
      <c r="A49">
        <v>48</v>
      </c>
      <c r="B49" t="s">
        <v>180</v>
      </c>
      <c r="C49">
        <v>20</v>
      </c>
      <c r="D49">
        <v>6</v>
      </c>
      <c r="E49">
        <v>2020</v>
      </c>
      <c r="F49" t="s">
        <v>37</v>
      </c>
      <c r="G49" t="s">
        <v>181</v>
      </c>
      <c r="H49" t="s">
        <v>2632</v>
      </c>
      <c r="I49" t="s">
        <v>19</v>
      </c>
      <c r="J49" t="s">
        <v>2432</v>
      </c>
      <c r="K49" t="s">
        <v>108</v>
      </c>
      <c r="L49">
        <v>19901</v>
      </c>
      <c r="M49" t="s">
        <v>182</v>
      </c>
      <c r="N49" t="s">
        <v>54</v>
      </c>
      <c r="O49" t="s">
        <v>118</v>
      </c>
      <c r="P49" t="s">
        <v>183</v>
      </c>
      <c r="Q49">
        <f>_xlfn.XLOOKUP(Table3[[#This Row],[Product Name]],Sales!A:A,Sales!B:B)</f>
        <v>45</v>
      </c>
      <c r="R49">
        <f>_xlfn.XLOOKUP(Table3[[#This Row],[Product Name]],Sales!A:A,Sales!C:C)</f>
        <v>3</v>
      </c>
      <c r="S49">
        <f>_xlfn.XLOOKUP(Table3[[#This Row],[Product Name]],Sales!A:A,Sales!D:D)</f>
        <v>0</v>
      </c>
      <c r="T49">
        <f>_xlfn.XLOOKUP(Table3[[#This Row],[Product Name]],Sales!A:A,Sales!E:E)</f>
        <v>4.95</v>
      </c>
    </row>
    <row r="50" spans="1:20" x14ac:dyDescent="0.3">
      <c r="A50">
        <v>49</v>
      </c>
      <c r="B50" t="s">
        <v>180</v>
      </c>
      <c r="C50">
        <v>20</v>
      </c>
      <c r="D50">
        <v>6</v>
      </c>
      <c r="E50">
        <v>2020</v>
      </c>
      <c r="F50" t="s">
        <v>37</v>
      </c>
      <c r="G50" t="s">
        <v>181</v>
      </c>
      <c r="H50" t="s">
        <v>2632</v>
      </c>
      <c r="I50" t="s">
        <v>19</v>
      </c>
      <c r="J50" t="s">
        <v>2432</v>
      </c>
      <c r="K50" t="s">
        <v>108</v>
      </c>
      <c r="L50">
        <v>19901</v>
      </c>
      <c r="M50" t="s">
        <v>184</v>
      </c>
      <c r="N50" t="s">
        <v>54</v>
      </c>
      <c r="O50" t="s">
        <v>55</v>
      </c>
      <c r="P50" t="s">
        <v>185</v>
      </c>
      <c r="Q50">
        <f>_xlfn.XLOOKUP(Table3[[#This Row],[Product Name]],Sales!A:A,Sales!B:B)</f>
        <v>21.8</v>
      </c>
      <c r="R50">
        <f>_xlfn.XLOOKUP(Table3[[#This Row],[Product Name]],Sales!A:A,Sales!C:C)</f>
        <v>2</v>
      </c>
      <c r="S50">
        <f>_xlfn.XLOOKUP(Table3[[#This Row],[Product Name]],Sales!A:A,Sales!D:D)</f>
        <v>0</v>
      </c>
      <c r="T50">
        <f>_xlfn.XLOOKUP(Table3[[#This Row],[Product Name]],Sales!A:A,Sales!E:E)</f>
        <v>6.1040000000000001</v>
      </c>
    </row>
    <row r="51" spans="1:20" x14ac:dyDescent="0.3">
      <c r="A51">
        <v>50</v>
      </c>
      <c r="B51" t="s">
        <v>186</v>
      </c>
      <c r="C51">
        <v>18</v>
      </c>
      <c r="D51">
        <v>4</v>
      </c>
      <c r="E51">
        <v>2019</v>
      </c>
      <c r="F51" t="s">
        <v>37</v>
      </c>
      <c r="G51" t="s">
        <v>187</v>
      </c>
      <c r="H51" t="s">
        <v>2633</v>
      </c>
      <c r="I51" t="s">
        <v>19</v>
      </c>
      <c r="J51" t="s">
        <v>2433</v>
      </c>
      <c r="K51" t="s">
        <v>79</v>
      </c>
      <c r="L51">
        <v>47150</v>
      </c>
      <c r="M51" t="s">
        <v>188</v>
      </c>
      <c r="N51" t="s">
        <v>33</v>
      </c>
      <c r="O51" t="s">
        <v>58</v>
      </c>
      <c r="P51" t="s">
        <v>189</v>
      </c>
      <c r="Q51">
        <f>_xlfn.XLOOKUP(Table3[[#This Row],[Product Name]],Sales!A:A,Sales!B:B)</f>
        <v>38.22</v>
      </c>
      <c r="R51">
        <f>_xlfn.XLOOKUP(Table3[[#This Row],[Product Name]],Sales!A:A,Sales!C:C)</f>
        <v>6</v>
      </c>
      <c r="S51">
        <f>_xlfn.XLOOKUP(Table3[[#This Row],[Product Name]],Sales!A:A,Sales!D:D)</f>
        <v>0</v>
      </c>
      <c r="T51">
        <f>_xlfn.XLOOKUP(Table3[[#This Row],[Product Name]],Sales!A:A,Sales!E:E)</f>
        <v>17.9634</v>
      </c>
    </row>
    <row r="52" spans="1:20" x14ac:dyDescent="0.3">
      <c r="A52">
        <v>51</v>
      </c>
      <c r="B52" t="s">
        <v>186</v>
      </c>
      <c r="C52">
        <v>18</v>
      </c>
      <c r="D52">
        <v>4</v>
      </c>
      <c r="E52">
        <v>2019</v>
      </c>
      <c r="F52" t="s">
        <v>37</v>
      </c>
      <c r="G52" t="s">
        <v>187</v>
      </c>
      <c r="H52" t="s">
        <v>2633</v>
      </c>
      <c r="I52" t="s">
        <v>19</v>
      </c>
      <c r="J52" t="s">
        <v>2433</v>
      </c>
      <c r="K52" t="s">
        <v>79</v>
      </c>
      <c r="L52">
        <v>47150</v>
      </c>
      <c r="M52" t="s">
        <v>190</v>
      </c>
      <c r="N52" t="s">
        <v>33</v>
      </c>
      <c r="O52" t="s">
        <v>34</v>
      </c>
      <c r="P52" t="s">
        <v>191</v>
      </c>
      <c r="Q52">
        <f>_xlfn.XLOOKUP(Table3[[#This Row],[Product Name]],Sales!A:A,Sales!B:B)</f>
        <v>75.180000000000007</v>
      </c>
      <c r="R52">
        <f>_xlfn.XLOOKUP(Table3[[#This Row],[Product Name]],Sales!A:A,Sales!C:C)</f>
        <v>6</v>
      </c>
      <c r="S52">
        <f>_xlfn.XLOOKUP(Table3[[#This Row],[Product Name]],Sales!A:A,Sales!D:D)</f>
        <v>0</v>
      </c>
      <c r="T52">
        <f>_xlfn.XLOOKUP(Table3[[#This Row],[Product Name]],Sales!A:A,Sales!E:E)</f>
        <v>35.334600000000002</v>
      </c>
    </row>
    <row r="53" spans="1:20" x14ac:dyDescent="0.3">
      <c r="A53">
        <v>52</v>
      </c>
      <c r="B53" t="s">
        <v>186</v>
      </c>
      <c r="C53">
        <v>18</v>
      </c>
      <c r="D53">
        <v>4</v>
      </c>
      <c r="E53">
        <v>2019</v>
      </c>
      <c r="F53" t="s">
        <v>37</v>
      </c>
      <c r="G53" t="s">
        <v>187</v>
      </c>
      <c r="H53" t="s">
        <v>2633</v>
      </c>
      <c r="I53" t="s">
        <v>19</v>
      </c>
      <c r="J53" t="s">
        <v>2433</v>
      </c>
      <c r="K53" t="s">
        <v>79</v>
      </c>
      <c r="L53">
        <v>47150</v>
      </c>
      <c r="M53" t="s">
        <v>192</v>
      </c>
      <c r="N53" t="s">
        <v>22</v>
      </c>
      <c r="O53" t="s">
        <v>48</v>
      </c>
      <c r="P53" t="s">
        <v>193</v>
      </c>
      <c r="Q53">
        <f>_xlfn.XLOOKUP(Table3[[#This Row],[Product Name]],Sales!A:A,Sales!B:B)</f>
        <v>6.16</v>
      </c>
      <c r="R53">
        <f>_xlfn.XLOOKUP(Table3[[#This Row],[Product Name]],Sales!A:A,Sales!C:C)</f>
        <v>2</v>
      </c>
      <c r="S53">
        <f>_xlfn.XLOOKUP(Table3[[#This Row],[Product Name]],Sales!A:A,Sales!D:D)</f>
        <v>0</v>
      </c>
      <c r="T53">
        <f>_xlfn.XLOOKUP(Table3[[#This Row],[Product Name]],Sales!A:A,Sales!E:E)</f>
        <v>2.9567999999999999</v>
      </c>
    </row>
    <row r="54" spans="1:20" x14ac:dyDescent="0.3">
      <c r="A54">
        <v>53</v>
      </c>
      <c r="B54" t="s">
        <v>186</v>
      </c>
      <c r="C54">
        <v>18</v>
      </c>
      <c r="D54">
        <v>4</v>
      </c>
      <c r="E54">
        <v>2019</v>
      </c>
      <c r="F54" t="s">
        <v>37</v>
      </c>
      <c r="G54" t="s">
        <v>187</v>
      </c>
      <c r="H54" t="s">
        <v>2633</v>
      </c>
      <c r="I54" t="s">
        <v>19</v>
      </c>
      <c r="J54" t="s">
        <v>2433</v>
      </c>
      <c r="K54" t="s">
        <v>79</v>
      </c>
      <c r="L54">
        <v>47150</v>
      </c>
      <c r="M54" t="s">
        <v>194</v>
      </c>
      <c r="N54" t="s">
        <v>22</v>
      </c>
      <c r="O54" t="s">
        <v>26</v>
      </c>
      <c r="P54" t="s">
        <v>195</v>
      </c>
      <c r="Q54">
        <f>_xlfn.XLOOKUP(Table3[[#This Row],[Product Name]],Sales!A:A,Sales!B:B)</f>
        <v>89.99</v>
      </c>
      <c r="R54">
        <f>_xlfn.XLOOKUP(Table3[[#This Row],[Product Name]],Sales!A:A,Sales!C:C)</f>
        <v>1</v>
      </c>
      <c r="S54">
        <f>_xlfn.XLOOKUP(Table3[[#This Row],[Product Name]],Sales!A:A,Sales!D:D)</f>
        <v>0</v>
      </c>
      <c r="T54">
        <f>_xlfn.XLOOKUP(Table3[[#This Row],[Product Name]],Sales!A:A,Sales!E:E)</f>
        <v>17.098099999999999</v>
      </c>
    </row>
    <row r="55" spans="1:20" x14ac:dyDescent="0.3">
      <c r="A55">
        <v>54</v>
      </c>
      <c r="B55" t="s">
        <v>196</v>
      </c>
      <c r="C55">
        <v>11</v>
      </c>
      <c r="D55">
        <v>12</v>
      </c>
      <c r="E55">
        <v>2020</v>
      </c>
      <c r="F55" t="s">
        <v>37</v>
      </c>
      <c r="G55" t="s">
        <v>197</v>
      </c>
      <c r="H55" t="s">
        <v>2634</v>
      </c>
      <c r="I55" t="s">
        <v>30</v>
      </c>
      <c r="J55" t="s">
        <v>2434</v>
      </c>
      <c r="K55" t="s">
        <v>108</v>
      </c>
      <c r="L55">
        <v>10024</v>
      </c>
      <c r="M55" t="s">
        <v>198</v>
      </c>
      <c r="N55" t="s">
        <v>33</v>
      </c>
      <c r="O55" t="s">
        <v>199</v>
      </c>
      <c r="P55" t="s">
        <v>200</v>
      </c>
      <c r="Q55">
        <f>_xlfn.XLOOKUP(Table3[[#This Row],[Product Name]],Sales!A:A,Sales!B:B)</f>
        <v>15.26</v>
      </c>
      <c r="R55">
        <f>_xlfn.XLOOKUP(Table3[[#This Row],[Product Name]],Sales!A:A,Sales!C:C)</f>
        <v>7</v>
      </c>
      <c r="S55">
        <f>_xlfn.XLOOKUP(Table3[[#This Row],[Product Name]],Sales!A:A,Sales!D:D)</f>
        <v>0</v>
      </c>
      <c r="T55">
        <f>_xlfn.XLOOKUP(Table3[[#This Row],[Product Name]],Sales!A:A,Sales!E:E)</f>
        <v>6.2565999999999997</v>
      </c>
    </row>
    <row r="56" spans="1:20" x14ac:dyDescent="0.3">
      <c r="A56">
        <v>55</v>
      </c>
      <c r="B56" t="s">
        <v>196</v>
      </c>
      <c r="C56">
        <v>11</v>
      </c>
      <c r="D56">
        <v>12</v>
      </c>
      <c r="E56">
        <v>2020</v>
      </c>
      <c r="F56" t="s">
        <v>37</v>
      </c>
      <c r="G56" t="s">
        <v>197</v>
      </c>
      <c r="H56" t="s">
        <v>2634</v>
      </c>
      <c r="I56" t="s">
        <v>30</v>
      </c>
      <c r="J56" t="s">
        <v>2434</v>
      </c>
      <c r="K56" t="s">
        <v>108</v>
      </c>
      <c r="L56">
        <v>10024</v>
      </c>
      <c r="M56" t="s">
        <v>201</v>
      </c>
      <c r="N56" t="s">
        <v>54</v>
      </c>
      <c r="O56" t="s">
        <v>55</v>
      </c>
      <c r="P56" t="s">
        <v>202</v>
      </c>
      <c r="Q56">
        <f>_xlfn.XLOOKUP(Table3[[#This Row],[Product Name]],Sales!A:A,Sales!B:B)</f>
        <v>1029.95</v>
      </c>
      <c r="R56">
        <f>_xlfn.XLOOKUP(Table3[[#This Row],[Product Name]],Sales!A:A,Sales!C:C)</f>
        <v>5</v>
      </c>
      <c r="S56">
        <f>_xlfn.XLOOKUP(Table3[[#This Row],[Product Name]],Sales!A:A,Sales!D:D)</f>
        <v>0</v>
      </c>
      <c r="T56">
        <f>_xlfn.XLOOKUP(Table3[[#This Row],[Product Name]],Sales!A:A,Sales!E:E)</f>
        <v>298.68549999999999</v>
      </c>
    </row>
    <row r="57" spans="1:20" x14ac:dyDescent="0.3">
      <c r="A57">
        <v>56</v>
      </c>
      <c r="B57" t="s">
        <v>203</v>
      </c>
      <c r="C57">
        <v>17</v>
      </c>
      <c r="D57">
        <v>6</v>
      </c>
      <c r="E57">
        <v>2020</v>
      </c>
      <c r="F57" t="s">
        <v>142</v>
      </c>
      <c r="G57" t="s">
        <v>204</v>
      </c>
      <c r="H57" t="s">
        <v>2635</v>
      </c>
      <c r="I57" t="s">
        <v>19</v>
      </c>
      <c r="J57" t="s">
        <v>2435</v>
      </c>
      <c r="K57" t="s">
        <v>108</v>
      </c>
      <c r="L57">
        <v>12180</v>
      </c>
      <c r="M57" t="s">
        <v>205</v>
      </c>
      <c r="N57" t="s">
        <v>33</v>
      </c>
      <c r="O57" t="s">
        <v>43</v>
      </c>
      <c r="P57" t="s">
        <v>206</v>
      </c>
      <c r="Q57">
        <f>_xlfn.XLOOKUP(Table3[[#This Row],[Product Name]],Sales!A:A,Sales!B:B)</f>
        <v>208.56</v>
      </c>
      <c r="R57">
        <f>_xlfn.XLOOKUP(Table3[[#This Row],[Product Name]],Sales!A:A,Sales!C:C)</f>
        <v>6</v>
      </c>
      <c r="S57">
        <f>_xlfn.XLOOKUP(Table3[[#This Row],[Product Name]],Sales!A:A,Sales!D:D)</f>
        <v>0</v>
      </c>
      <c r="T57">
        <f>_xlfn.XLOOKUP(Table3[[#This Row],[Product Name]],Sales!A:A,Sales!E:E)</f>
        <v>52.14</v>
      </c>
    </row>
    <row r="58" spans="1:20" x14ac:dyDescent="0.3">
      <c r="A58">
        <v>57</v>
      </c>
      <c r="B58" t="s">
        <v>203</v>
      </c>
      <c r="C58">
        <v>17</v>
      </c>
      <c r="D58">
        <v>6</v>
      </c>
      <c r="E58">
        <v>2020</v>
      </c>
      <c r="F58" t="s">
        <v>142</v>
      </c>
      <c r="G58" t="s">
        <v>204</v>
      </c>
      <c r="H58" t="s">
        <v>2635</v>
      </c>
      <c r="I58" t="s">
        <v>19</v>
      </c>
      <c r="J58" t="s">
        <v>2435</v>
      </c>
      <c r="K58" t="s">
        <v>108</v>
      </c>
      <c r="L58">
        <v>12180</v>
      </c>
      <c r="M58" t="s">
        <v>207</v>
      </c>
      <c r="N58" t="s">
        <v>33</v>
      </c>
      <c r="O58" t="s">
        <v>70</v>
      </c>
      <c r="P58" t="s">
        <v>208</v>
      </c>
      <c r="Q58">
        <f>_xlfn.XLOOKUP(Table3[[#This Row],[Product Name]],Sales!A:A,Sales!B:B)</f>
        <v>32.4</v>
      </c>
      <c r="R58">
        <f>_xlfn.XLOOKUP(Table3[[#This Row],[Product Name]],Sales!A:A,Sales!C:C)</f>
        <v>5</v>
      </c>
      <c r="S58">
        <f>_xlfn.XLOOKUP(Table3[[#This Row],[Product Name]],Sales!A:A,Sales!D:D)</f>
        <v>0</v>
      </c>
      <c r="T58">
        <f>_xlfn.XLOOKUP(Table3[[#This Row],[Product Name]],Sales!A:A,Sales!E:E)</f>
        <v>15.552</v>
      </c>
    </row>
    <row r="59" spans="1:20" x14ac:dyDescent="0.3">
      <c r="A59">
        <v>58</v>
      </c>
      <c r="B59" t="s">
        <v>203</v>
      </c>
      <c r="C59">
        <v>17</v>
      </c>
      <c r="D59">
        <v>6</v>
      </c>
      <c r="E59">
        <v>2020</v>
      </c>
      <c r="F59" t="s">
        <v>142</v>
      </c>
      <c r="G59" t="s">
        <v>204</v>
      </c>
      <c r="H59" t="s">
        <v>2635</v>
      </c>
      <c r="I59" t="s">
        <v>19</v>
      </c>
      <c r="J59" t="s">
        <v>2435</v>
      </c>
      <c r="K59" t="s">
        <v>108</v>
      </c>
      <c r="L59">
        <v>12180</v>
      </c>
      <c r="M59" t="s">
        <v>209</v>
      </c>
      <c r="N59" t="s">
        <v>22</v>
      </c>
      <c r="O59" t="s">
        <v>26</v>
      </c>
      <c r="P59" t="s">
        <v>210</v>
      </c>
      <c r="Q59">
        <f>_xlfn.XLOOKUP(Table3[[#This Row],[Product Name]],Sales!A:A,Sales!B:B)</f>
        <v>319.41000000000003</v>
      </c>
      <c r="R59">
        <f>_xlfn.XLOOKUP(Table3[[#This Row],[Product Name]],Sales!A:A,Sales!C:C)</f>
        <v>5</v>
      </c>
      <c r="S59">
        <f>_xlfn.XLOOKUP(Table3[[#This Row],[Product Name]],Sales!A:A,Sales!D:D)</f>
        <v>0.1</v>
      </c>
      <c r="T59">
        <f>_xlfn.XLOOKUP(Table3[[#This Row],[Product Name]],Sales!A:A,Sales!E:E)</f>
        <v>7.0979999999999999</v>
      </c>
    </row>
    <row r="60" spans="1:20" x14ac:dyDescent="0.3">
      <c r="A60">
        <v>59</v>
      </c>
      <c r="B60" t="s">
        <v>203</v>
      </c>
      <c r="C60">
        <v>17</v>
      </c>
      <c r="D60">
        <v>6</v>
      </c>
      <c r="E60">
        <v>2020</v>
      </c>
      <c r="F60" t="s">
        <v>142</v>
      </c>
      <c r="G60" t="s">
        <v>204</v>
      </c>
      <c r="H60" t="s">
        <v>2635</v>
      </c>
      <c r="I60" t="s">
        <v>19</v>
      </c>
      <c r="J60" t="s">
        <v>2435</v>
      </c>
      <c r="K60" t="s">
        <v>108</v>
      </c>
      <c r="L60">
        <v>12180</v>
      </c>
      <c r="M60" t="s">
        <v>211</v>
      </c>
      <c r="N60" t="s">
        <v>33</v>
      </c>
      <c r="O60" t="s">
        <v>70</v>
      </c>
      <c r="P60" t="s">
        <v>212</v>
      </c>
      <c r="Q60">
        <f>_xlfn.XLOOKUP(Table3[[#This Row],[Product Name]],Sales!A:A,Sales!B:B)</f>
        <v>14.56</v>
      </c>
      <c r="R60">
        <f>_xlfn.XLOOKUP(Table3[[#This Row],[Product Name]],Sales!A:A,Sales!C:C)</f>
        <v>2</v>
      </c>
      <c r="S60">
        <f>_xlfn.XLOOKUP(Table3[[#This Row],[Product Name]],Sales!A:A,Sales!D:D)</f>
        <v>0</v>
      </c>
      <c r="T60">
        <f>_xlfn.XLOOKUP(Table3[[#This Row],[Product Name]],Sales!A:A,Sales!E:E)</f>
        <v>6.9888000000000003</v>
      </c>
    </row>
    <row r="61" spans="1:20" x14ac:dyDescent="0.3">
      <c r="A61">
        <v>60</v>
      </c>
      <c r="B61" t="s">
        <v>203</v>
      </c>
      <c r="C61">
        <v>17</v>
      </c>
      <c r="D61">
        <v>6</v>
      </c>
      <c r="E61">
        <v>2020</v>
      </c>
      <c r="F61" t="s">
        <v>142</v>
      </c>
      <c r="G61" t="s">
        <v>204</v>
      </c>
      <c r="H61" t="s">
        <v>2635</v>
      </c>
      <c r="I61" t="s">
        <v>19</v>
      </c>
      <c r="J61" t="s">
        <v>2435</v>
      </c>
      <c r="K61" t="s">
        <v>108</v>
      </c>
      <c r="L61">
        <v>12180</v>
      </c>
      <c r="M61" t="s">
        <v>182</v>
      </c>
      <c r="N61" t="s">
        <v>54</v>
      </c>
      <c r="O61" t="s">
        <v>118</v>
      </c>
      <c r="P61" t="s">
        <v>183</v>
      </c>
      <c r="Q61">
        <f>_xlfn.XLOOKUP(Table3[[#This Row],[Product Name]],Sales!A:A,Sales!B:B)</f>
        <v>45</v>
      </c>
      <c r="R61">
        <f>_xlfn.XLOOKUP(Table3[[#This Row],[Product Name]],Sales!A:A,Sales!C:C)</f>
        <v>3</v>
      </c>
      <c r="S61">
        <f>_xlfn.XLOOKUP(Table3[[#This Row],[Product Name]],Sales!A:A,Sales!D:D)</f>
        <v>0</v>
      </c>
      <c r="T61">
        <f>_xlfn.XLOOKUP(Table3[[#This Row],[Product Name]],Sales!A:A,Sales!E:E)</f>
        <v>4.95</v>
      </c>
    </row>
    <row r="62" spans="1:20" x14ac:dyDescent="0.3">
      <c r="A62">
        <v>61</v>
      </c>
      <c r="B62" t="s">
        <v>203</v>
      </c>
      <c r="C62">
        <v>17</v>
      </c>
      <c r="D62">
        <v>6</v>
      </c>
      <c r="E62">
        <v>2020</v>
      </c>
      <c r="F62" t="s">
        <v>142</v>
      </c>
      <c r="G62" t="s">
        <v>204</v>
      </c>
      <c r="H62" t="s">
        <v>2635</v>
      </c>
      <c r="I62" t="s">
        <v>19</v>
      </c>
      <c r="J62" t="s">
        <v>2435</v>
      </c>
      <c r="K62" t="s">
        <v>108</v>
      </c>
      <c r="L62">
        <v>12180</v>
      </c>
      <c r="M62" t="s">
        <v>213</v>
      </c>
      <c r="N62" t="s">
        <v>33</v>
      </c>
      <c r="O62" t="s">
        <v>58</v>
      </c>
      <c r="P62" t="s">
        <v>214</v>
      </c>
      <c r="Q62">
        <f>_xlfn.XLOOKUP(Table3[[#This Row],[Product Name]],Sales!A:A,Sales!B:B)</f>
        <v>48.48</v>
      </c>
      <c r="R62">
        <f>_xlfn.XLOOKUP(Table3[[#This Row],[Product Name]],Sales!A:A,Sales!C:C)</f>
        <v>4</v>
      </c>
      <c r="S62">
        <f>_xlfn.XLOOKUP(Table3[[#This Row],[Product Name]],Sales!A:A,Sales!D:D)</f>
        <v>0.2</v>
      </c>
      <c r="T62">
        <f>_xlfn.XLOOKUP(Table3[[#This Row],[Product Name]],Sales!A:A,Sales!E:E)</f>
        <v>16.361999999999998</v>
      </c>
    </row>
    <row r="63" spans="1:20" x14ac:dyDescent="0.3">
      <c r="A63">
        <v>62</v>
      </c>
      <c r="B63" t="s">
        <v>203</v>
      </c>
      <c r="C63">
        <v>17</v>
      </c>
      <c r="D63">
        <v>6</v>
      </c>
      <c r="E63">
        <v>2020</v>
      </c>
      <c r="F63" t="s">
        <v>142</v>
      </c>
      <c r="G63" t="s">
        <v>204</v>
      </c>
      <c r="H63" t="s">
        <v>2635</v>
      </c>
      <c r="I63" t="s">
        <v>19</v>
      </c>
      <c r="J63" t="s">
        <v>2435</v>
      </c>
      <c r="K63" t="s">
        <v>108</v>
      </c>
      <c r="L63">
        <v>12180</v>
      </c>
      <c r="M63" t="s">
        <v>215</v>
      </c>
      <c r="N63" t="s">
        <v>33</v>
      </c>
      <c r="O63" t="s">
        <v>51</v>
      </c>
      <c r="P63" t="s">
        <v>216</v>
      </c>
      <c r="Q63">
        <f>_xlfn.XLOOKUP(Table3[[#This Row],[Product Name]],Sales!A:A,Sales!B:B)</f>
        <v>1.68</v>
      </c>
      <c r="R63">
        <f>_xlfn.XLOOKUP(Table3[[#This Row],[Product Name]],Sales!A:A,Sales!C:C)</f>
        <v>1</v>
      </c>
      <c r="S63">
        <f>_xlfn.XLOOKUP(Table3[[#This Row],[Product Name]],Sales!A:A,Sales!D:D)</f>
        <v>0</v>
      </c>
      <c r="T63">
        <f>_xlfn.XLOOKUP(Table3[[#This Row],[Product Name]],Sales!A:A,Sales!E:E)</f>
        <v>0.84</v>
      </c>
    </row>
    <row r="64" spans="1:20" x14ac:dyDescent="0.3">
      <c r="A64">
        <v>63</v>
      </c>
      <c r="B64" t="s">
        <v>217</v>
      </c>
      <c r="C64">
        <v>24</v>
      </c>
      <c r="D64">
        <v>11</v>
      </c>
      <c r="E64">
        <v>2019</v>
      </c>
      <c r="F64" t="s">
        <v>37</v>
      </c>
      <c r="G64" t="s">
        <v>218</v>
      </c>
      <c r="H64" t="s">
        <v>2636</v>
      </c>
      <c r="I64" t="s">
        <v>19</v>
      </c>
      <c r="J64" t="s">
        <v>2415</v>
      </c>
      <c r="K64" t="s">
        <v>31</v>
      </c>
      <c r="L64">
        <v>90004</v>
      </c>
      <c r="M64" t="s">
        <v>219</v>
      </c>
      <c r="N64" t="s">
        <v>54</v>
      </c>
      <c r="O64" t="s">
        <v>118</v>
      </c>
      <c r="P64" t="s">
        <v>220</v>
      </c>
      <c r="Q64">
        <f>_xlfn.XLOOKUP(Table3[[#This Row],[Product Name]],Sales!A:A,Sales!B:B)</f>
        <v>13.98</v>
      </c>
      <c r="R64">
        <f>_xlfn.XLOOKUP(Table3[[#This Row],[Product Name]],Sales!A:A,Sales!C:C)</f>
        <v>2</v>
      </c>
      <c r="S64">
        <f>_xlfn.XLOOKUP(Table3[[#This Row],[Product Name]],Sales!A:A,Sales!D:D)</f>
        <v>0</v>
      </c>
      <c r="T64">
        <f>_xlfn.XLOOKUP(Table3[[#This Row],[Product Name]],Sales!A:A,Sales!E:E)</f>
        <v>6.1512000000000002</v>
      </c>
    </row>
    <row r="65" spans="1:20" x14ac:dyDescent="0.3">
      <c r="A65">
        <v>64</v>
      </c>
      <c r="B65" t="s">
        <v>217</v>
      </c>
      <c r="C65">
        <v>24</v>
      </c>
      <c r="D65">
        <v>11</v>
      </c>
      <c r="E65">
        <v>2019</v>
      </c>
      <c r="F65" t="s">
        <v>37</v>
      </c>
      <c r="G65" t="s">
        <v>218</v>
      </c>
      <c r="H65" t="s">
        <v>2636</v>
      </c>
      <c r="I65" t="s">
        <v>19</v>
      </c>
      <c r="J65" t="s">
        <v>2415</v>
      </c>
      <c r="K65" t="s">
        <v>31</v>
      </c>
      <c r="L65">
        <v>90004</v>
      </c>
      <c r="M65" t="s">
        <v>221</v>
      </c>
      <c r="N65" t="s">
        <v>33</v>
      </c>
      <c r="O65" t="s">
        <v>58</v>
      </c>
      <c r="P65" t="s">
        <v>222</v>
      </c>
      <c r="Q65">
        <f>_xlfn.XLOOKUP(Table3[[#This Row],[Product Name]],Sales!A:A,Sales!B:B)</f>
        <v>25.824000000000002</v>
      </c>
      <c r="R65">
        <f>_xlfn.XLOOKUP(Table3[[#This Row],[Product Name]],Sales!A:A,Sales!C:C)</f>
        <v>6</v>
      </c>
      <c r="S65">
        <f>_xlfn.XLOOKUP(Table3[[#This Row],[Product Name]],Sales!A:A,Sales!D:D)</f>
        <v>0.2</v>
      </c>
      <c r="T65">
        <f>_xlfn.XLOOKUP(Table3[[#This Row],[Product Name]],Sales!A:A,Sales!E:E)</f>
        <v>9.3612000000000002</v>
      </c>
    </row>
    <row r="66" spans="1:20" x14ac:dyDescent="0.3">
      <c r="A66">
        <v>65</v>
      </c>
      <c r="B66" t="s">
        <v>217</v>
      </c>
      <c r="C66">
        <v>24</v>
      </c>
      <c r="D66">
        <v>11</v>
      </c>
      <c r="E66">
        <v>2019</v>
      </c>
      <c r="F66" t="s">
        <v>37</v>
      </c>
      <c r="G66" t="s">
        <v>218</v>
      </c>
      <c r="H66" t="s">
        <v>2636</v>
      </c>
      <c r="I66" t="s">
        <v>19</v>
      </c>
      <c r="J66" t="s">
        <v>2415</v>
      </c>
      <c r="K66" t="s">
        <v>31</v>
      </c>
      <c r="L66">
        <v>90004</v>
      </c>
      <c r="M66" t="s">
        <v>223</v>
      </c>
      <c r="N66" t="s">
        <v>33</v>
      </c>
      <c r="O66" t="s">
        <v>70</v>
      </c>
      <c r="P66" t="s">
        <v>224</v>
      </c>
      <c r="Q66">
        <f>_xlfn.XLOOKUP(Table3[[#This Row],[Product Name]],Sales!A:A,Sales!B:B)</f>
        <v>146.72999999999999</v>
      </c>
      <c r="R66">
        <f>_xlfn.XLOOKUP(Table3[[#This Row],[Product Name]],Sales!A:A,Sales!C:C)</f>
        <v>3</v>
      </c>
      <c r="S66">
        <f>_xlfn.XLOOKUP(Table3[[#This Row],[Product Name]],Sales!A:A,Sales!D:D)</f>
        <v>0</v>
      </c>
      <c r="T66">
        <f>_xlfn.XLOOKUP(Table3[[#This Row],[Product Name]],Sales!A:A,Sales!E:E)</f>
        <v>68.963099999999997</v>
      </c>
    </row>
    <row r="67" spans="1:20" x14ac:dyDescent="0.3">
      <c r="A67">
        <v>66</v>
      </c>
      <c r="B67" t="s">
        <v>217</v>
      </c>
      <c r="C67">
        <v>24</v>
      </c>
      <c r="D67">
        <v>11</v>
      </c>
      <c r="E67">
        <v>2019</v>
      </c>
      <c r="F67" t="s">
        <v>37</v>
      </c>
      <c r="G67" t="s">
        <v>218</v>
      </c>
      <c r="H67" t="s">
        <v>2636</v>
      </c>
      <c r="I67" t="s">
        <v>19</v>
      </c>
      <c r="J67" t="s">
        <v>2415</v>
      </c>
      <c r="K67" t="s">
        <v>31</v>
      </c>
      <c r="L67">
        <v>90004</v>
      </c>
      <c r="M67" t="s">
        <v>225</v>
      </c>
      <c r="N67" t="s">
        <v>22</v>
      </c>
      <c r="O67" t="s">
        <v>48</v>
      </c>
      <c r="P67" t="s">
        <v>226</v>
      </c>
      <c r="Q67">
        <f>_xlfn.XLOOKUP(Table3[[#This Row],[Product Name]],Sales!A:A,Sales!B:B)</f>
        <v>79.760000000000005</v>
      </c>
      <c r="R67">
        <f>_xlfn.XLOOKUP(Table3[[#This Row],[Product Name]],Sales!A:A,Sales!C:C)</f>
        <v>4</v>
      </c>
      <c r="S67">
        <f>_xlfn.XLOOKUP(Table3[[#This Row],[Product Name]],Sales!A:A,Sales!D:D)</f>
        <v>0</v>
      </c>
      <c r="T67">
        <f>_xlfn.XLOOKUP(Table3[[#This Row],[Product Name]],Sales!A:A,Sales!E:E)</f>
        <v>22.332799999999999</v>
      </c>
    </row>
    <row r="68" spans="1:20" x14ac:dyDescent="0.3">
      <c r="A68">
        <v>67</v>
      </c>
      <c r="B68" t="s">
        <v>227</v>
      </c>
      <c r="C68">
        <v>30</v>
      </c>
      <c r="D68">
        <v>4</v>
      </c>
      <c r="E68">
        <v>2019</v>
      </c>
      <c r="F68" t="s">
        <v>37</v>
      </c>
      <c r="G68" t="s">
        <v>228</v>
      </c>
      <c r="H68" t="s">
        <v>2637</v>
      </c>
      <c r="I68" t="s">
        <v>78</v>
      </c>
      <c r="J68" t="s">
        <v>2436</v>
      </c>
      <c r="K68" t="s">
        <v>79</v>
      </c>
      <c r="L68">
        <v>60610</v>
      </c>
      <c r="M68" t="s">
        <v>229</v>
      </c>
      <c r="N68" t="s">
        <v>22</v>
      </c>
      <c r="O68" t="s">
        <v>26</v>
      </c>
      <c r="P68" t="s">
        <v>230</v>
      </c>
      <c r="Q68">
        <f>_xlfn.XLOOKUP(Table3[[#This Row],[Product Name]],Sales!A:A,Sales!B:B)</f>
        <v>213.11500000000001</v>
      </c>
      <c r="R68">
        <f>_xlfn.XLOOKUP(Table3[[#This Row],[Product Name]],Sales!A:A,Sales!C:C)</f>
        <v>5</v>
      </c>
      <c r="S68">
        <f>_xlfn.XLOOKUP(Table3[[#This Row],[Product Name]],Sales!A:A,Sales!D:D)</f>
        <v>0.3</v>
      </c>
      <c r="T68">
        <f>_xlfn.XLOOKUP(Table3[[#This Row],[Product Name]],Sales!A:A,Sales!E:E)</f>
        <v>-15.2225</v>
      </c>
    </row>
    <row r="69" spans="1:20" x14ac:dyDescent="0.3">
      <c r="A69">
        <v>68</v>
      </c>
      <c r="B69" t="s">
        <v>231</v>
      </c>
      <c r="C69">
        <v>5</v>
      </c>
      <c r="D69">
        <v>12</v>
      </c>
      <c r="E69">
        <v>2018</v>
      </c>
      <c r="F69" t="s">
        <v>37</v>
      </c>
      <c r="G69" t="s">
        <v>232</v>
      </c>
      <c r="H69" t="s">
        <v>2638</v>
      </c>
      <c r="I69" t="s">
        <v>30</v>
      </c>
      <c r="J69" t="s">
        <v>2437</v>
      </c>
      <c r="K69" t="s">
        <v>31</v>
      </c>
      <c r="L69">
        <v>85234</v>
      </c>
      <c r="M69" t="s">
        <v>233</v>
      </c>
      <c r="N69" t="s">
        <v>33</v>
      </c>
      <c r="O69" t="s">
        <v>51</v>
      </c>
      <c r="P69" t="s">
        <v>234</v>
      </c>
      <c r="Q69">
        <f>_xlfn.XLOOKUP(Table3[[#This Row],[Product Name]],Sales!A:A,Sales!B:B)</f>
        <v>1113.0239999999999</v>
      </c>
      <c r="R69">
        <f>_xlfn.XLOOKUP(Table3[[#This Row],[Product Name]],Sales!A:A,Sales!C:C)</f>
        <v>8</v>
      </c>
      <c r="S69">
        <f>_xlfn.XLOOKUP(Table3[[#This Row],[Product Name]],Sales!A:A,Sales!D:D)</f>
        <v>0.2</v>
      </c>
      <c r="T69">
        <f>_xlfn.XLOOKUP(Table3[[#This Row],[Product Name]],Sales!A:A,Sales!E:E)</f>
        <v>111.30240000000001</v>
      </c>
    </row>
    <row r="70" spans="1:20" x14ac:dyDescent="0.3">
      <c r="A70">
        <v>69</v>
      </c>
      <c r="B70" t="s">
        <v>231</v>
      </c>
      <c r="C70">
        <v>5</v>
      </c>
      <c r="D70">
        <v>12</v>
      </c>
      <c r="E70">
        <v>2018</v>
      </c>
      <c r="F70" t="s">
        <v>37</v>
      </c>
      <c r="G70" t="s">
        <v>232</v>
      </c>
      <c r="H70" t="s">
        <v>2638</v>
      </c>
      <c r="I70" t="s">
        <v>30</v>
      </c>
      <c r="J70" t="s">
        <v>2437</v>
      </c>
      <c r="K70" t="s">
        <v>31</v>
      </c>
      <c r="L70">
        <v>85234</v>
      </c>
      <c r="M70" t="s">
        <v>235</v>
      </c>
      <c r="N70" t="s">
        <v>54</v>
      </c>
      <c r="O70" t="s">
        <v>55</v>
      </c>
      <c r="P70" t="s">
        <v>236</v>
      </c>
      <c r="Q70">
        <f>_xlfn.XLOOKUP(Table3[[#This Row],[Product Name]],Sales!A:A,Sales!B:B)</f>
        <v>167.96799999999999</v>
      </c>
      <c r="R70">
        <f>_xlfn.XLOOKUP(Table3[[#This Row],[Product Name]],Sales!A:A,Sales!C:C)</f>
        <v>4</v>
      </c>
      <c r="S70">
        <f>_xlfn.XLOOKUP(Table3[[#This Row],[Product Name]],Sales!A:A,Sales!D:D)</f>
        <v>0.2</v>
      </c>
      <c r="T70">
        <f>_xlfn.XLOOKUP(Table3[[#This Row],[Product Name]],Sales!A:A,Sales!E:E)</f>
        <v>62.988</v>
      </c>
    </row>
    <row r="71" spans="1:20" x14ac:dyDescent="0.3">
      <c r="A71">
        <v>70</v>
      </c>
      <c r="B71" t="s">
        <v>237</v>
      </c>
      <c r="C71">
        <v>4</v>
      </c>
      <c r="D71">
        <v>6</v>
      </c>
      <c r="E71">
        <v>2020</v>
      </c>
      <c r="F71" t="s">
        <v>142</v>
      </c>
      <c r="G71" t="s">
        <v>238</v>
      </c>
      <c r="H71" t="s">
        <v>2639</v>
      </c>
      <c r="I71" t="s">
        <v>19</v>
      </c>
      <c r="J71" t="s">
        <v>2438</v>
      </c>
      <c r="K71" t="s">
        <v>20</v>
      </c>
      <c r="L71">
        <v>22153</v>
      </c>
      <c r="M71" t="s">
        <v>239</v>
      </c>
      <c r="N71" t="s">
        <v>33</v>
      </c>
      <c r="O71" t="s">
        <v>70</v>
      </c>
      <c r="P71" t="s">
        <v>240</v>
      </c>
      <c r="Q71">
        <f>_xlfn.XLOOKUP(Table3[[#This Row],[Product Name]],Sales!A:A,Sales!B:B)</f>
        <v>75.88</v>
      </c>
      <c r="R71">
        <f>_xlfn.XLOOKUP(Table3[[#This Row],[Product Name]],Sales!A:A,Sales!C:C)</f>
        <v>2</v>
      </c>
      <c r="S71">
        <f>_xlfn.XLOOKUP(Table3[[#This Row],[Product Name]],Sales!A:A,Sales!D:D)</f>
        <v>0</v>
      </c>
      <c r="T71">
        <f>_xlfn.XLOOKUP(Table3[[#This Row],[Product Name]],Sales!A:A,Sales!E:E)</f>
        <v>35.663600000000002</v>
      </c>
    </row>
    <row r="72" spans="1:20" x14ac:dyDescent="0.3">
      <c r="A72">
        <v>71</v>
      </c>
      <c r="B72" t="s">
        <v>241</v>
      </c>
      <c r="C72">
        <v>18</v>
      </c>
      <c r="D72">
        <v>9</v>
      </c>
      <c r="E72">
        <v>2020</v>
      </c>
      <c r="F72" t="s">
        <v>37</v>
      </c>
      <c r="G72" t="s">
        <v>242</v>
      </c>
      <c r="H72" t="s">
        <v>2640</v>
      </c>
      <c r="I72" t="s">
        <v>19</v>
      </c>
      <c r="J72" t="s">
        <v>2434</v>
      </c>
      <c r="K72" t="s">
        <v>108</v>
      </c>
      <c r="L72">
        <v>10009</v>
      </c>
      <c r="M72" t="s">
        <v>243</v>
      </c>
      <c r="N72" t="s">
        <v>33</v>
      </c>
      <c r="O72" t="s">
        <v>58</v>
      </c>
      <c r="P72" t="s">
        <v>244</v>
      </c>
      <c r="Q72">
        <f>_xlfn.XLOOKUP(Table3[[#This Row],[Product Name]],Sales!A:A,Sales!B:B)</f>
        <v>4.6159999999999997</v>
      </c>
      <c r="R72">
        <f>_xlfn.XLOOKUP(Table3[[#This Row],[Product Name]],Sales!A:A,Sales!C:C)</f>
        <v>1</v>
      </c>
      <c r="S72">
        <f>_xlfn.XLOOKUP(Table3[[#This Row],[Product Name]],Sales!A:A,Sales!D:D)</f>
        <v>0.2</v>
      </c>
      <c r="T72">
        <f>_xlfn.XLOOKUP(Table3[[#This Row],[Product Name]],Sales!A:A,Sales!E:E)</f>
        <v>1.7310000000000001</v>
      </c>
    </row>
    <row r="73" spans="1:20" x14ac:dyDescent="0.3">
      <c r="A73">
        <v>72</v>
      </c>
      <c r="B73" t="s">
        <v>245</v>
      </c>
      <c r="C73">
        <v>14</v>
      </c>
      <c r="D73">
        <v>9</v>
      </c>
      <c r="E73">
        <v>2021</v>
      </c>
      <c r="F73" t="s">
        <v>17</v>
      </c>
      <c r="G73" t="s">
        <v>121</v>
      </c>
      <c r="H73" t="s">
        <v>2623</v>
      </c>
      <c r="I73" t="s">
        <v>19</v>
      </c>
      <c r="J73" t="s">
        <v>2439</v>
      </c>
      <c r="K73" t="s">
        <v>79</v>
      </c>
      <c r="L73">
        <v>49201</v>
      </c>
      <c r="M73" t="s">
        <v>246</v>
      </c>
      <c r="N73" t="s">
        <v>33</v>
      </c>
      <c r="O73" t="s">
        <v>70</v>
      </c>
      <c r="P73" t="s">
        <v>247</v>
      </c>
      <c r="Q73">
        <f>_xlfn.XLOOKUP(Table3[[#This Row],[Product Name]],Sales!A:A,Sales!B:B)</f>
        <v>19.05</v>
      </c>
      <c r="R73">
        <f>_xlfn.XLOOKUP(Table3[[#This Row],[Product Name]],Sales!A:A,Sales!C:C)</f>
        <v>3</v>
      </c>
      <c r="S73">
        <f>_xlfn.XLOOKUP(Table3[[#This Row],[Product Name]],Sales!A:A,Sales!D:D)</f>
        <v>0</v>
      </c>
      <c r="T73">
        <f>_xlfn.XLOOKUP(Table3[[#This Row],[Product Name]],Sales!A:A,Sales!E:E)</f>
        <v>8.7629999999999999</v>
      </c>
    </row>
    <row r="74" spans="1:20" x14ac:dyDescent="0.3">
      <c r="A74">
        <v>73</v>
      </c>
      <c r="B74" t="s">
        <v>248</v>
      </c>
      <c r="C74">
        <v>26</v>
      </c>
      <c r="D74">
        <v>4</v>
      </c>
      <c r="E74">
        <v>2019</v>
      </c>
      <c r="F74" t="s">
        <v>37</v>
      </c>
      <c r="G74" t="s">
        <v>249</v>
      </c>
      <c r="H74" t="s">
        <v>2641</v>
      </c>
      <c r="I74" t="s">
        <v>19</v>
      </c>
      <c r="J74" t="s">
        <v>2440</v>
      </c>
      <c r="K74" t="s">
        <v>20</v>
      </c>
      <c r="L74">
        <v>38109</v>
      </c>
      <c r="M74" t="s">
        <v>250</v>
      </c>
      <c r="N74" t="s">
        <v>22</v>
      </c>
      <c r="O74" t="s">
        <v>26</v>
      </c>
      <c r="P74" t="s">
        <v>251</v>
      </c>
      <c r="Q74">
        <f>_xlfn.XLOOKUP(Table3[[#This Row],[Product Name]],Sales!A:A,Sales!B:B)</f>
        <v>831.93600000000004</v>
      </c>
      <c r="R74">
        <f>_xlfn.XLOOKUP(Table3[[#This Row],[Product Name]],Sales!A:A,Sales!C:C)</f>
        <v>8</v>
      </c>
      <c r="S74">
        <f>_xlfn.XLOOKUP(Table3[[#This Row],[Product Name]],Sales!A:A,Sales!D:D)</f>
        <v>0.2</v>
      </c>
      <c r="T74">
        <f>_xlfn.XLOOKUP(Table3[[#This Row],[Product Name]],Sales!A:A,Sales!E:E)</f>
        <v>-114.3912</v>
      </c>
    </row>
    <row r="75" spans="1:20" x14ac:dyDescent="0.3">
      <c r="A75">
        <v>74</v>
      </c>
      <c r="B75" t="s">
        <v>248</v>
      </c>
      <c r="C75">
        <v>26</v>
      </c>
      <c r="D75">
        <v>4</v>
      </c>
      <c r="E75">
        <v>2019</v>
      </c>
      <c r="F75" t="s">
        <v>37</v>
      </c>
      <c r="G75" t="s">
        <v>249</v>
      </c>
      <c r="H75" t="s">
        <v>2641</v>
      </c>
      <c r="I75" t="s">
        <v>19</v>
      </c>
      <c r="J75" t="s">
        <v>2440</v>
      </c>
      <c r="K75" t="s">
        <v>20</v>
      </c>
      <c r="L75">
        <v>38109</v>
      </c>
      <c r="M75" t="s">
        <v>252</v>
      </c>
      <c r="N75" t="s">
        <v>22</v>
      </c>
      <c r="O75" t="s">
        <v>48</v>
      </c>
      <c r="P75" t="s">
        <v>253</v>
      </c>
      <c r="Q75">
        <f>_xlfn.XLOOKUP(Table3[[#This Row],[Product Name]],Sales!A:A,Sales!B:B)</f>
        <v>97.04</v>
      </c>
      <c r="R75">
        <f>_xlfn.XLOOKUP(Table3[[#This Row],[Product Name]],Sales!A:A,Sales!C:C)</f>
        <v>2</v>
      </c>
      <c r="S75">
        <f>_xlfn.XLOOKUP(Table3[[#This Row],[Product Name]],Sales!A:A,Sales!D:D)</f>
        <v>0.2</v>
      </c>
      <c r="T75">
        <f>_xlfn.XLOOKUP(Table3[[#This Row],[Product Name]],Sales!A:A,Sales!E:E)</f>
        <v>1.2130000000000001</v>
      </c>
    </row>
    <row r="76" spans="1:20" x14ac:dyDescent="0.3">
      <c r="A76">
        <v>75</v>
      </c>
      <c r="B76" t="s">
        <v>248</v>
      </c>
      <c r="C76">
        <v>26</v>
      </c>
      <c r="D76">
        <v>4</v>
      </c>
      <c r="E76">
        <v>2019</v>
      </c>
      <c r="F76" t="s">
        <v>37</v>
      </c>
      <c r="G76" t="s">
        <v>249</v>
      </c>
      <c r="H76" t="s">
        <v>2641</v>
      </c>
      <c r="I76" t="s">
        <v>19</v>
      </c>
      <c r="J76" t="s">
        <v>2440</v>
      </c>
      <c r="K76" t="s">
        <v>20</v>
      </c>
      <c r="L76">
        <v>38109</v>
      </c>
      <c r="M76" t="s">
        <v>254</v>
      </c>
      <c r="N76" t="s">
        <v>33</v>
      </c>
      <c r="O76" t="s">
        <v>43</v>
      </c>
      <c r="P76" t="s">
        <v>255</v>
      </c>
      <c r="Q76">
        <f>_xlfn.XLOOKUP(Table3[[#This Row],[Product Name]],Sales!A:A,Sales!B:B)</f>
        <v>72.784000000000006</v>
      </c>
      <c r="R76">
        <f>_xlfn.XLOOKUP(Table3[[#This Row],[Product Name]],Sales!A:A,Sales!C:C)</f>
        <v>1</v>
      </c>
      <c r="S76">
        <f>_xlfn.XLOOKUP(Table3[[#This Row],[Product Name]],Sales!A:A,Sales!D:D)</f>
        <v>0.2</v>
      </c>
      <c r="T76">
        <f>_xlfn.XLOOKUP(Table3[[#This Row],[Product Name]],Sales!A:A,Sales!E:E)</f>
        <v>-18.196000000000002</v>
      </c>
    </row>
    <row r="77" spans="1:20" x14ac:dyDescent="0.3">
      <c r="A77">
        <v>76</v>
      </c>
      <c r="B77" t="s">
        <v>256</v>
      </c>
      <c r="C77">
        <v>9</v>
      </c>
      <c r="D77">
        <v>12</v>
      </c>
      <c r="E77">
        <v>2021</v>
      </c>
      <c r="F77" t="s">
        <v>142</v>
      </c>
      <c r="G77" t="s">
        <v>257</v>
      </c>
      <c r="H77" t="s">
        <v>2642</v>
      </c>
      <c r="I77" t="s">
        <v>30</v>
      </c>
      <c r="J77" t="s">
        <v>2426</v>
      </c>
      <c r="K77" t="s">
        <v>79</v>
      </c>
      <c r="L77">
        <v>77041</v>
      </c>
      <c r="M77" t="s">
        <v>258</v>
      </c>
      <c r="N77" t="s">
        <v>33</v>
      </c>
      <c r="O77" t="s">
        <v>58</v>
      </c>
      <c r="P77" t="s">
        <v>259</v>
      </c>
      <c r="Q77">
        <f>_xlfn.XLOOKUP(Table3[[#This Row],[Product Name]],Sales!A:A,Sales!B:B)</f>
        <v>1.248</v>
      </c>
      <c r="R77">
        <f>_xlfn.XLOOKUP(Table3[[#This Row],[Product Name]],Sales!A:A,Sales!C:C)</f>
        <v>3</v>
      </c>
      <c r="S77">
        <f>_xlfn.XLOOKUP(Table3[[#This Row],[Product Name]],Sales!A:A,Sales!D:D)</f>
        <v>0.8</v>
      </c>
      <c r="T77">
        <f>_xlfn.XLOOKUP(Table3[[#This Row],[Product Name]],Sales!A:A,Sales!E:E)</f>
        <v>-1.9343999999999999</v>
      </c>
    </row>
    <row r="78" spans="1:20" x14ac:dyDescent="0.3">
      <c r="A78">
        <v>77</v>
      </c>
      <c r="B78" t="s">
        <v>256</v>
      </c>
      <c r="C78">
        <v>9</v>
      </c>
      <c r="D78">
        <v>12</v>
      </c>
      <c r="E78">
        <v>2021</v>
      </c>
      <c r="F78" t="s">
        <v>142</v>
      </c>
      <c r="G78" t="s">
        <v>257</v>
      </c>
      <c r="H78" t="s">
        <v>2642</v>
      </c>
      <c r="I78" t="s">
        <v>30</v>
      </c>
      <c r="J78" t="s">
        <v>2426</v>
      </c>
      <c r="K78" t="s">
        <v>79</v>
      </c>
      <c r="L78">
        <v>77041</v>
      </c>
      <c r="M78" t="s">
        <v>260</v>
      </c>
      <c r="N78" t="s">
        <v>22</v>
      </c>
      <c r="O78" t="s">
        <v>48</v>
      </c>
      <c r="P78" t="s">
        <v>261</v>
      </c>
      <c r="Q78">
        <f>_xlfn.XLOOKUP(Table3[[#This Row],[Product Name]],Sales!A:A,Sales!B:B)</f>
        <v>9.7080000000000002</v>
      </c>
      <c r="R78">
        <f>_xlfn.XLOOKUP(Table3[[#This Row],[Product Name]],Sales!A:A,Sales!C:C)</f>
        <v>3</v>
      </c>
      <c r="S78">
        <f>_xlfn.XLOOKUP(Table3[[#This Row],[Product Name]],Sales!A:A,Sales!D:D)</f>
        <v>0.6</v>
      </c>
      <c r="T78">
        <f>_xlfn.XLOOKUP(Table3[[#This Row],[Product Name]],Sales!A:A,Sales!E:E)</f>
        <v>-5.8247999999999998</v>
      </c>
    </row>
    <row r="79" spans="1:20" x14ac:dyDescent="0.3">
      <c r="A79">
        <v>78</v>
      </c>
      <c r="B79" t="s">
        <v>256</v>
      </c>
      <c r="C79">
        <v>9</v>
      </c>
      <c r="D79">
        <v>12</v>
      </c>
      <c r="E79">
        <v>2021</v>
      </c>
      <c r="F79" t="s">
        <v>142</v>
      </c>
      <c r="G79" t="s">
        <v>257</v>
      </c>
      <c r="H79" t="s">
        <v>2642</v>
      </c>
      <c r="I79" t="s">
        <v>30</v>
      </c>
      <c r="J79" t="s">
        <v>2426</v>
      </c>
      <c r="K79" t="s">
        <v>79</v>
      </c>
      <c r="L79">
        <v>77041</v>
      </c>
      <c r="M79" t="s">
        <v>262</v>
      </c>
      <c r="N79" t="s">
        <v>33</v>
      </c>
      <c r="O79" t="s">
        <v>43</v>
      </c>
      <c r="P79" t="s">
        <v>263</v>
      </c>
      <c r="Q79">
        <f>_xlfn.XLOOKUP(Table3[[#This Row],[Product Name]],Sales!A:A,Sales!B:B)</f>
        <v>27.24</v>
      </c>
      <c r="R79">
        <f>_xlfn.XLOOKUP(Table3[[#This Row],[Product Name]],Sales!A:A,Sales!C:C)</f>
        <v>3</v>
      </c>
      <c r="S79">
        <f>_xlfn.XLOOKUP(Table3[[#This Row],[Product Name]],Sales!A:A,Sales!D:D)</f>
        <v>0.2</v>
      </c>
      <c r="T79">
        <f>_xlfn.XLOOKUP(Table3[[#This Row],[Product Name]],Sales!A:A,Sales!E:E)</f>
        <v>2.7240000000000002</v>
      </c>
    </row>
    <row r="80" spans="1:20" x14ac:dyDescent="0.3">
      <c r="A80">
        <v>79</v>
      </c>
      <c r="B80" t="s">
        <v>264</v>
      </c>
      <c r="C80">
        <v>26</v>
      </c>
      <c r="D80">
        <v>11</v>
      </c>
      <c r="E80">
        <v>2018</v>
      </c>
      <c r="F80" t="s">
        <v>17</v>
      </c>
      <c r="G80" t="s">
        <v>249</v>
      </c>
      <c r="H80" t="s">
        <v>2641</v>
      </c>
      <c r="I80" t="s">
        <v>19</v>
      </c>
      <c r="J80" t="s">
        <v>2426</v>
      </c>
      <c r="K80" t="s">
        <v>79</v>
      </c>
      <c r="L80">
        <v>77070</v>
      </c>
      <c r="M80" t="s">
        <v>265</v>
      </c>
      <c r="N80" t="s">
        <v>22</v>
      </c>
      <c r="O80" t="s">
        <v>48</v>
      </c>
      <c r="P80" t="s">
        <v>266</v>
      </c>
      <c r="Q80">
        <f>_xlfn.XLOOKUP(Table3[[#This Row],[Product Name]],Sales!A:A,Sales!B:B)</f>
        <v>19.3</v>
      </c>
      <c r="R80">
        <f>_xlfn.XLOOKUP(Table3[[#This Row],[Product Name]],Sales!A:A,Sales!C:C)</f>
        <v>5</v>
      </c>
      <c r="S80">
        <f>_xlfn.XLOOKUP(Table3[[#This Row],[Product Name]],Sales!A:A,Sales!D:D)</f>
        <v>0.6</v>
      </c>
      <c r="T80">
        <f>_xlfn.XLOOKUP(Table3[[#This Row],[Product Name]],Sales!A:A,Sales!E:E)</f>
        <v>-14.475</v>
      </c>
    </row>
    <row r="81" spans="1:20" x14ac:dyDescent="0.3">
      <c r="A81">
        <v>80</v>
      </c>
      <c r="B81" t="s">
        <v>267</v>
      </c>
      <c r="C81">
        <v>12</v>
      </c>
      <c r="D81">
        <v>6</v>
      </c>
      <c r="E81">
        <v>2020</v>
      </c>
      <c r="F81" t="s">
        <v>142</v>
      </c>
      <c r="G81" t="s">
        <v>268</v>
      </c>
      <c r="H81" t="s">
        <v>2643</v>
      </c>
      <c r="I81" t="s">
        <v>30</v>
      </c>
      <c r="J81" t="s">
        <v>2441</v>
      </c>
      <c r="K81" t="s">
        <v>20</v>
      </c>
      <c r="L81">
        <v>35601</v>
      </c>
      <c r="M81" t="s">
        <v>269</v>
      </c>
      <c r="N81" t="s">
        <v>33</v>
      </c>
      <c r="O81" t="s">
        <v>61</v>
      </c>
      <c r="P81" t="s">
        <v>270</v>
      </c>
      <c r="Q81">
        <f>_xlfn.XLOOKUP(Table3[[#This Row],[Product Name]],Sales!A:A,Sales!B:B)</f>
        <v>208.16</v>
      </c>
      <c r="R81">
        <f>_xlfn.XLOOKUP(Table3[[#This Row],[Product Name]],Sales!A:A,Sales!C:C)</f>
        <v>1</v>
      </c>
      <c r="S81">
        <f>_xlfn.XLOOKUP(Table3[[#This Row],[Product Name]],Sales!A:A,Sales!D:D)</f>
        <v>0</v>
      </c>
      <c r="T81">
        <f>_xlfn.XLOOKUP(Table3[[#This Row],[Product Name]],Sales!A:A,Sales!E:E)</f>
        <v>56.203200000000002</v>
      </c>
    </row>
    <row r="82" spans="1:20" x14ac:dyDescent="0.3">
      <c r="A82">
        <v>81</v>
      </c>
      <c r="B82" t="s">
        <v>267</v>
      </c>
      <c r="C82">
        <v>12</v>
      </c>
      <c r="D82">
        <v>6</v>
      </c>
      <c r="E82">
        <v>2020</v>
      </c>
      <c r="F82" t="s">
        <v>142</v>
      </c>
      <c r="G82" t="s">
        <v>268</v>
      </c>
      <c r="H82" t="s">
        <v>2643</v>
      </c>
      <c r="I82" t="s">
        <v>30</v>
      </c>
      <c r="J82" t="s">
        <v>2441</v>
      </c>
      <c r="K82" t="s">
        <v>20</v>
      </c>
      <c r="L82">
        <v>35601</v>
      </c>
      <c r="M82" t="s">
        <v>271</v>
      </c>
      <c r="N82" t="s">
        <v>33</v>
      </c>
      <c r="O82" t="s">
        <v>58</v>
      </c>
      <c r="P82" t="s">
        <v>2972</v>
      </c>
      <c r="Q82">
        <f>_xlfn.XLOOKUP(Table3[[#This Row],[Product Name]],Sales!A:A,Sales!B:B)</f>
        <v>16.739999999999998</v>
      </c>
      <c r="R82">
        <f>_xlfn.XLOOKUP(Table3[[#This Row],[Product Name]],Sales!A:A,Sales!C:C)</f>
        <v>3</v>
      </c>
      <c r="S82">
        <f>_xlfn.XLOOKUP(Table3[[#This Row],[Product Name]],Sales!A:A,Sales!D:D)</f>
        <v>0</v>
      </c>
      <c r="T82">
        <f>_xlfn.XLOOKUP(Table3[[#This Row],[Product Name]],Sales!A:A,Sales!E:E)</f>
        <v>8.0351999999999997</v>
      </c>
    </row>
    <row r="83" spans="1:20" x14ac:dyDescent="0.3">
      <c r="A83">
        <v>82</v>
      </c>
      <c r="B83" t="s">
        <v>272</v>
      </c>
      <c r="C83">
        <v>12</v>
      </c>
      <c r="D83">
        <v>10</v>
      </c>
      <c r="E83">
        <v>2018</v>
      </c>
      <c r="F83" t="s">
        <v>37</v>
      </c>
      <c r="G83" t="s">
        <v>273</v>
      </c>
      <c r="H83" t="s">
        <v>2644</v>
      </c>
      <c r="I83" t="s">
        <v>19</v>
      </c>
      <c r="J83" t="s">
        <v>2422</v>
      </c>
      <c r="K83" t="s">
        <v>31</v>
      </c>
      <c r="L83">
        <v>94122</v>
      </c>
      <c r="M83" t="s">
        <v>274</v>
      </c>
      <c r="N83" t="s">
        <v>33</v>
      </c>
      <c r="O83" t="s">
        <v>51</v>
      </c>
      <c r="P83" t="s">
        <v>275</v>
      </c>
      <c r="Q83">
        <f>_xlfn.XLOOKUP(Table3[[#This Row],[Product Name]],Sales!A:A,Sales!B:B)</f>
        <v>14.9</v>
      </c>
      <c r="R83">
        <f>_xlfn.XLOOKUP(Table3[[#This Row],[Product Name]],Sales!A:A,Sales!C:C)</f>
        <v>5</v>
      </c>
      <c r="S83">
        <f>_xlfn.XLOOKUP(Table3[[#This Row],[Product Name]],Sales!A:A,Sales!D:D)</f>
        <v>0</v>
      </c>
      <c r="T83">
        <f>_xlfn.XLOOKUP(Table3[[#This Row],[Product Name]],Sales!A:A,Sales!E:E)</f>
        <v>4.1719999999999997</v>
      </c>
    </row>
    <row r="84" spans="1:20" x14ac:dyDescent="0.3">
      <c r="A84">
        <v>83</v>
      </c>
      <c r="B84" t="s">
        <v>272</v>
      </c>
      <c r="C84">
        <v>12</v>
      </c>
      <c r="D84">
        <v>10</v>
      </c>
      <c r="E84">
        <v>2018</v>
      </c>
      <c r="F84" t="s">
        <v>37</v>
      </c>
      <c r="G84" t="s">
        <v>273</v>
      </c>
      <c r="H84" t="s">
        <v>2644</v>
      </c>
      <c r="I84" t="s">
        <v>19</v>
      </c>
      <c r="J84" t="s">
        <v>2422</v>
      </c>
      <c r="K84" t="s">
        <v>31</v>
      </c>
      <c r="L84">
        <v>94122</v>
      </c>
      <c r="M84" t="s">
        <v>276</v>
      </c>
      <c r="N84" t="s">
        <v>33</v>
      </c>
      <c r="O84" t="s">
        <v>43</v>
      </c>
      <c r="P84" t="s">
        <v>277</v>
      </c>
      <c r="Q84">
        <f>_xlfn.XLOOKUP(Table3[[#This Row],[Product Name]],Sales!A:A,Sales!B:B)</f>
        <v>21.39</v>
      </c>
      <c r="R84">
        <f>_xlfn.XLOOKUP(Table3[[#This Row],[Product Name]],Sales!A:A,Sales!C:C)</f>
        <v>1</v>
      </c>
      <c r="S84">
        <f>_xlfn.XLOOKUP(Table3[[#This Row],[Product Name]],Sales!A:A,Sales!D:D)</f>
        <v>0</v>
      </c>
      <c r="T84">
        <f>_xlfn.XLOOKUP(Table3[[#This Row],[Product Name]],Sales!A:A,Sales!E:E)</f>
        <v>6.2031000000000001</v>
      </c>
    </row>
    <row r="85" spans="1:20" x14ac:dyDescent="0.3">
      <c r="A85">
        <v>84</v>
      </c>
      <c r="B85" t="s">
        <v>278</v>
      </c>
      <c r="C85">
        <v>3</v>
      </c>
      <c r="D85">
        <v>9</v>
      </c>
      <c r="E85">
        <v>2019</v>
      </c>
      <c r="F85" t="s">
        <v>37</v>
      </c>
      <c r="G85" t="s">
        <v>279</v>
      </c>
      <c r="H85" t="s">
        <v>2645</v>
      </c>
      <c r="I85" t="s">
        <v>30</v>
      </c>
      <c r="J85" t="s">
        <v>2442</v>
      </c>
      <c r="K85" t="s">
        <v>20</v>
      </c>
      <c r="L85">
        <v>27707</v>
      </c>
      <c r="M85" t="s">
        <v>280</v>
      </c>
      <c r="N85" t="s">
        <v>33</v>
      </c>
      <c r="O85" t="s">
        <v>129</v>
      </c>
      <c r="P85" t="s">
        <v>281</v>
      </c>
      <c r="Q85">
        <f>_xlfn.XLOOKUP(Table3[[#This Row],[Product Name]],Sales!A:A,Sales!B:B)</f>
        <v>200.98400000000001</v>
      </c>
      <c r="R85">
        <f>_xlfn.XLOOKUP(Table3[[#This Row],[Product Name]],Sales!A:A,Sales!C:C)</f>
        <v>7</v>
      </c>
      <c r="S85">
        <f>_xlfn.XLOOKUP(Table3[[#This Row],[Product Name]],Sales!A:A,Sales!D:D)</f>
        <v>0.2</v>
      </c>
      <c r="T85">
        <f>_xlfn.XLOOKUP(Table3[[#This Row],[Product Name]],Sales!A:A,Sales!E:E)</f>
        <v>62.807499999999997</v>
      </c>
    </row>
    <row r="86" spans="1:20" x14ac:dyDescent="0.3">
      <c r="A86">
        <v>85</v>
      </c>
      <c r="B86" t="s">
        <v>282</v>
      </c>
      <c r="C86">
        <v>13</v>
      </c>
      <c r="D86">
        <v>11</v>
      </c>
      <c r="E86">
        <v>2021</v>
      </c>
      <c r="F86" t="s">
        <v>142</v>
      </c>
      <c r="G86" t="s">
        <v>283</v>
      </c>
      <c r="H86" t="s">
        <v>2646</v>
      </c>
      <c r="I86" t="s">
        <v>78</v>
      </c>
      <c r="J86" t="s">
        <v>2436</v>
      </c>
      <c r="K86" t="s">
        <v>79</v>
      </c>
      <c r="L86">
        <v>60623</v>
      </c>
      <c r="M86" t="s">
        <v>284</v>
      </c>
      <c r="N86" t="s">
        <v>33</v>
      </c>
      <c r="O86" t="s">
        <v>43</v>
      </c>
      <c r="P86" t="s">
        <v>285</v>
      </c>
      <c r="Q86">
        <f>_xlfn.XLOOKUP(Table3[[#This Row],[Product Name]],Sales!A:A,Sales!B:B)</f>
        <v>230.376</v>
      </c>
      <c r="R86">
        <f>_xlfn.XLOOKUP(Table3[[#This Row],[Product Name]],Sales!A:A,Sales!C:C)</f>
        <v>3</v>
      </c>
      <c r="S86">
        <f>_xlfn.XLOOKUP(Table3[[#This Row],[Product Name]],Sales!A:A,Sales!D:D)</f>
        <v>0.2</v>
      </c>
      <c r="T86">
        <f>_xlfn.XLOOKUP(Table3[[#This Row],[Product Name]],Sales!A:A,Sales!E:E)</f>
        <v>-48.954900000000002</v>
      </c>
    </row>
    <row r="87" spans="1:20" x14ac:dyDescent="0.3">
      <c r="A87">
        <v>86</v>
      </c>
      <c r="B87" t="s">
        <v>286</v>
      </c>
      <c r="C87">
        <v>28</v>
      </c>
      <c r="D87">
        <v>5</v>
      </c>
      <c r="E87">
        <v>2021</v>
      </c>
      <c r="F87" t="s">
        <v>17</v>
      </c>
      <c r="G87" t="s">
        <v>177</v>
      </c>
      <c r="H87" t="s">
        <v>2631</v>
      </c>
      <c r="I87" t="s">
        <v>19</v>
      </c>
      <c r="J87" t="s">
        <v>2443</v>
      </c>
      <c r="K87" t="s">
        <v>20</v>
      </c>
      <c r="L87">
        <v>29203</v>
      </c>
      <c r="M87" t="s">
        <v>287</v>
      </c>
      <c r="N87" t="s">
        <v>22</v>
      </c>
      <c r="O87" t="s">
        <v>26</v>
      </c>
      <c r="P87" t="s">
        <v>288</v>
      </c>
      <c r="Q87">
        <f>_xlfn.XLOOKUP(Table3[[#This Row],[Product Name]],Sales!A:A,Sales!B:B)</f>
        <v>301.95999999999998</v>
      </c>
      <c r="R87">
        <f>_xlfn.XLOOKUP(Table3[[#This Row],[Product Name]],Sales!A:A,Sales!C:C)</f>
        <v>2</v>
      </c>
      <c r="S87">
        <f>_xlfn.XLOOKUP(Table3[[#This Row],[Product Name]],Sales!A:A,Sales!D:D)</f>
        <v>0</v>
      </c>
      <c r="T87">
        <f>_xlfn.XLOOKUP(Table3[[#This Row],[Product Name]],Sales!A:A,Sales!E:E)</f>
        <v>33.215600000000002</v>
      </c>
    </row>
    <row r="88" spans="1:20" x14ac:dyDescent="0.3">
      <c r="A88">
        <v>87</v>
      </c>
      <c r="B88" t="s">
        <v>289</v>
      </c>
      <c r="C88">
        <v>26</v>
      </c>
      <c r="D88">
        <v>10</v>
      </c>
      <c r="E88">
        <v>2021</v>
      </c>
      <c r="F88" t="s">
        <v>37</v>
      </c>
      <c r="G88" t="s">
        <v>290</v>
      </c>
      <c r="H88" t="s">
        <v>2647</v>
      </c>
      <c r="I88" t="s">
        <v>19</v>
      </c>
      <c r="J88" t="s">
        <v>2444</v>
      </c>
      <c r="K88" t="s">
        <v>79</v>
      </c>
      <c r="L88">
        <v>55901</v>
      </c>
      <c r="M88" t="s">
        <v>291</v>
      </c>
      <c r="N88" t="s">
        <v>54</v>
      </c>
      <c r="O88" t="s">
        <v>118</v>
      </c>
      <c r="P88" t="s">
        <v>292</v>
      </c>
      <c r="Q88">
        <f>_xlfn.XLOOKUP(Table3[[#This Row],[Product Name]],Sales!A:A,Sales!B:B)</f>
        <v>19.989999999999998</v>
      </c>
      <c r="R88">
        <f>_xlfn.XLOOKUP(Table3[[#This Row],[Product Name]],Sales!A:A,Sales!C:C)</f>
        <v>1</v>
      </c>
      <c r="S88">
        <f>_xlfn.XLOOKUP(Table3[[#This Row],[Product Name]],Sales!A:A,Sales!D:D)</f>
        <v>0</v>
      </c>
      <c r="T88">
        <f>_xlfn.XLOOKUP(Table3[[#This Row],[Product Name]],Sales!A:A,Sales!E:E)</f>
        <v>6.7965999999999998</v>
      </c>
    </row>
    <row r="89" spans="1:20" x14ac:dyDescent="0.3">
      <c r="A89">
        <v>88</v>
      </c>
      <c r="B89" t="s">
        <v>289</v>
      </c>
      <c r="C89">
        <v>26</v>
      </c>
      <c r="D89">
        <v>10</v>
      </c>
      <c r="E89">
        <v>2021</v>
      </c>
      <c r="F89" t="s">
        <v>37</v>
      </c>
      <c r="G89" t="s">
        <v>290</v>
      </c>
      <c r="H89" t="s">
        <v>2647</v>
      </c>
      <c r="I89" t="s">
        <v>19</v>
      </c>
      <c r="J89" t="s">
        <v>2444</v>
      </c>
      <c r="K89" t="s">
        <v>79</v>
      </c>
      <c r="L89">
        <v>55901</v>
      </c>
      <c r="M89" t="s">
        <v>293</v>
      </c>
      <c r="N89" t="s">
        <v>33</v>
      </c>
      <c r="O89" t="s">
        <v>34</v>
      </c>
      <c r="P89" t="s">
        <v>294</v>
      </c>
      <c r="Q89">
        <f>_xlfn.XLOOKUP(Table3[[#This Row],[Product Name]],Sales!A:A,Sales!B:B)</f>
        <v>6.16</v>
      </c>
      <c r="R89">
        <f>_xlfn.XLOOKUP(Table3[[#This Row],[Product Name]],Sales!A:A,Sales!C:C)</f>
        <v>2</v>
      </c>
      <c r="S89">
        <f>_xlfn.XLOOKUP(Table3[[#This Row],[Product Name]],Sales!A:A,Sales!D:D)</f>
        <v>0</v>
      </c>
      <c r="T89">
        <f>_xlfn.XLOOKUP(Table3[[#This Row],[Product Name]],Sales!A:A,Sales!E:E)</f>
        <v>2.9567999999999999</v>
      </c>
    </row>
    <row r="90" spans="1:20" x14ac:dyDescent="0.3">
      <c r="A90">
        <v>89</v>
      </c>
      <c r="B90" t="s">
        <v>295</v>
      </c>
      <c r="C90">
        <v>5</v>
      </c>
      <c r="D90">
        <v>4</v>
      </c>
      <c r="E90">
        <v>2020</v>
      </c>
      <c r="F90" t="s">
        <v>17</v>
      </c>
      <c r="G90" t="s">
        <v>296</v>
      </c>
      <c r="H90" t="s">
        <v>2648</v>
      </c>
      <c r="I90" t="s">
        <v>78</v>
      </c>
      <c r="J90" t="s">
        <v>2426</v>
      </c>
      <c r="K90" t="s">
        <v>79</v>
      </c>
      <c r="L90">
        <v>77095</v>
      </c>
      <c r="M90" t="s">
        <v>297</v>
      </c>
      <c r="N90" t="s">
        <v>33</v>
      </c>
      <c r="O90" t="s">
        <v>43</v>
      </c>
      <c r="P90" t="s">
        <v>298</v>
      </c>
      <c r="Q90">
        <f>_xlfn.XLOOKUP(Table3[[#This Row],[Product Name]],Sales!A:A,Sales!B:B)</f>
        <v>158.36799999999999</v>
      </c>
      <c r="R90">
        <f>_xlfn.XLOOKUP(Table3[[#This Row],[Product Name]],Sales!A:A,Sales!C:C)</f>
        <v>7</v>
      </c>
      <c r="S90">
        <f>_xlfn.XLOOKUP(Table3[[#This Row],[Product Name]],Sales!A:A,Sales!D:D)</f>
        <v>0.2</v>
      </c>
      <c r="T90">
        <f>_xlfn.XLOOKUP(Table3[[#This Row],[Product Name]],Sales!A:A,Sales!E:E)</f>
        <v>13.857200000000001</v>
      </c>
    </row>
    <row r="91" spans="1:20" x14ac:dyDescent="0.3">
      <c r="A91">
        <v>90</v>
      </c>
      <c r="B91" t="s">
        <v>299</v>
      </c>
      <c r="C91">
        <v>17</v>
      </c>
      <c r="D91">
        <v>9</v>
      </c>
      <c r="E91">
        <v>2020</v>
      </c>
      <c r="F91" t="s">
        <v>37</v>
      </c>
      <c r="G91" t="s">
        <v>300</v>
      </c>
      <c r="H91" t="s">
        <v>2649</v>
      </c>
      <c r="I91" t="s">
        <v>30</v>
      </c>
      <c r="J91" t="s">
        <v>2415</v>
      </c>
      <c r="K91" t="s">
        <v>31</v>
      </c>
      <c r="L91">
        <v>90036</v>
      </c>
      <c r="M91" t="s">
        <v>301</v>
      </c>
      <c r="N91" t="s">
        <v>33</v>
      </c>
      <c r="O91" t="s">
        <v>51</v>
      </c>
      <c r="P91" t="s">
        <v>302</v>
      </c>
      <c r="Q91">
        <f>_xlfn.XLOOKUP(Table3[[#This Row],[Product Name]],Sales!A:A,Sales!B:B)</f>
        <v>20.100000000000001</v>
      </c>
      <c r="R91">
        <f>_xlfn.XLOOKUP(Table3[[#This Row],[Product Name]],Sales!A:A,Sales!C:C)</f>
        <v>3</v>
      </c>
      <c r="S91">
        <f>_xlfn.XLOOKUP(Table3[[#This Row],[Product Name]],Sales!A:A,Sales!D:D)</f>
        <v>0</v>
      </c>
      <c r="T91">
        <f>_xlfn.XLOOKUP(Table3[[#This Row],[Product Name]],Sales!A:A,Sales!E:E)</f>
        <v>6.633</v>
      </c>
    </row>
    <row r="92" spans="1:20" x14ac:dyDescent="0.3">
      <c r="A92">
        <v>91</v>
      </c>
      <c r="B92" t="s">
        <v>299</v>
      </c>
      <c r="C92">
        <v>17</v>
      </c>
      <c r="D92">
        <v>9</v>
      </c>
      <c r="E92">
        <v>2020</v>
      </c>
      <c r="F92" t="s">
        <v>37</v>
      </c>
      <c r="G92" t="s">
        <v>300</v>
      </c>
      <c r="H92" t="s">
        <v>2649</v>
      </c>
      <c r="I92" t="s">
        <v>30</v>
      </c>
      <c r="J92" t="s">
        <v>2415</v>
      </c>
      <c r="K92" t="s">
        <v>31</v>
      </c>
      <c r="L92">
        <v>90036</v>
      </c>
      <c r="M92" t="s">
        <v>160</v>
      </c>
      <c r="N92" t="s">
        <v>54</v>
      </c>
      <c r="O92" t="s">
        <v>55</v>
      </c>
      <c r="P92" t="s">
        <v>161</v>
      </c>
      <c r="Q92">
        <f>_xlfn.XLOOKUP(Table3[[#This Row],[Product Name]],Sales!A:A,Sales!B:B)</f>
        <v>147.16800000000001</v>
      </c>
      <c r="R92">
        <f>_xlfn.XLOOKUP(Table3[[#This Row],[Product Name]],Sales!A:A,Sales!C:C)</f>
        <v>4</v>
      </c>
      <c r="S92">
        <f>_xlfn.XLOOKUP(Table3[[#This Row],[Product Name]],Sales!A:A,Sales!D:D)</f>
        <v>0.2</v>
      </c>
      <c r="T92">
        <f>_xlfn.XLOOKUP(Table3[[#This Row],[Product Name]],Sales!A:A,Sales!E:E)</f>
        <v>16.5564</v>
      </c>
    </row>
    <row r="93" spans="1:20" x14ac:dyDescent="0.3">
      <c r="A93">
        <v>92</v>
      </c>
      <c r="B93" t="s">
        <v>299</v>
      </c>
      <c r="C93">
        <v>17</v>
      </c>
      <c r="D93">
        <v>9</v>
      </c>
      <c r="E93">
        <v>2020</v>
      </c>
      <c r="F93" t="s">
        <v>37</v>
      </c>
      <c r="G93" t="s">
        <v>300</v>
      </c>
      <c r="H93" t="s">
        <v>2649</v>
      </c>
      <c r="I93" t="s">
        <v>30</v>
      </c>
      <c r="J93" t="s">
        <v>2415</v>
      </c>
      <c r="K93" t="s">
        <v>31</v>
      </c>
      <c r="L93">
        <v>90036</v>
      </c>
      <c r="M93" t="s">
        <v>303</v>
      </c>
      <c r="N93" t="s">
        <v>33</v>
      </c>
      <c r="O93" t="s">
        <v>70</v>
      </c>
      <c r="P93" t="s">
        <v>304</v>
      </c>
      <c r="Q93">
        <f>_xlfn.XLOOKUP(Table3[[#This Row],[Product Name]],Sales!A:A,Sales!B:B)</f>
        <v>6.48</v>
      </c>
      <c r="R93">
        <f>_xlfn.XLOOKUP(Table3[[#This Row],[Product Name]],Sales!A:A,Sales!C:C)</f>
        <v>1</v>
      </c>
      <c r="S93">
        <f>_xlfn.XLOOKUP(Table3[[#This Row],[Product Name]],Sales!A:A,Sales!D:D)</f>
        <v>0</v>
      </c>
      <c r="T93">
        <f>_xlfn.XLOOKUP(Table3[[#This Row],[Product Name]],Sales!A:A,Sales!E:E)</f>
        <v>3.1103999999999998</v>
      </c>
    </row>
    <row r="94" spans="1:20" x14ac:dyDescent="0.3">
      <c r="A94">
        <v>93</v>
      </c>
      <c r="B94" t="s">
        <v>305</v>
      </c>
      <c r="C94">
        <v>31</v>
      </c>
      <c r="D94">
        <v>1</v>
      </c>
      <c r="E94">
        <v>2019</v>
      </c>
      <c r="F94" t="s">
        <v>17</v>
      </c>
      <c r="G94" t="s">
        <v>306</v>
      </c>
      <c r="H94" t="s">
        <v>2650</v>
      </c>
      <c r="I94" t="s">
        <v>19</v>
      </c>
      <c r="J94" t="s">
        <v>2445</v>
      </c>
      <c r="K94" t="s">
        <v>79</v>
      </c>
      <c r="L94">
        <v>55407</v>
      </c>
      <c r="M94" t="s">
        <v>307</v>
      </c>
      <c r="N94" t="s">
        <v>33</v>
      </c>
      <c r="O94" t="s">
        <v>70</v>
      </c>
      <c r="P94" t="s">
        <v>308</v>
      </c>
      <c r="Q94">
        <f>_xlfn.XLOOKUP(Table3[[#This Row],[Product Name]],Sales!A:A,Sales!B:B)</f>
        <v>12.96</v>
      </c>
      <c r="R94">
        <f>_xlfn.XLOOKUP(Table3[[#This Row],[Product Name]],Sales!A:A,Sales!C:C)</f>
        <v>2</v>
      </c>
      <c r="S94">
        <f>_xlfn.XLOOKUP(Table3[[#This Row],[Product Name]],Sales!A:A,Sales!D:D)</f>
        <v>0</v>
      </c>
      <c r="T94">
        <f>_xlfn.XLOOKUP(Table3[[#This Row],[Product Name]],Sales!A:A,Sales!E:E)</f>
        <v>6.2207999999999997</v>
      </c>
    </row>
    <row r="95" spans="1:20" x14ac:dyDescent="0.3">
      <c r="A95">
        <v>94</v>
      </c>
      <c r="B95" t="s">
        <v>305</v>
      </c>
      <c r="C95">
        <v>31</v>
      </c>
      <c r="D95">
        <v>1</v>
      </c>
      <c r="E95">
        <v>2019</v>
      </c>
      <c r="F95" t="s">
        <v>17</v>
      </c>
      <c r="G95" t="s">
        <v>306</v>
      </c>
      <c r="H95" t="s">
        <v>2650</v>
      </c>
      <c r="I95" t="s">
        <v>19</v>
      </c>
      <c r="J95" t="s">
        <v>2445</v>
      </c>
      <c r="K95" t="s">
        <v>79</v>
      </c>
      <c r="L95">
        <v>55407</v>
      </c>
      <c r="M95" t="s">
        <v>309</v>
      </c>
      <c r="N95" t="s">
        <v>22</v>
      </c>
      <c r="O95" t="s">
        <v>48</v>
      </c>
      <c r="P95" t="s">
        <v>310</v>
      </c>
      <c r="Q95">
        <f>_xlfn.XLOOKUP(Table3[[#This Row],[Product Name]],Sales!A:A,Sales!B:B)</f>
        <v>53.34</v>
      </c>
      <c r="R95">
        <f>_xlfn.XLOOKUP(Table3[[#This Row],[Product Name]],Sales!A:A,Sales!C:C)</f>
        <v>3</v>
      </c>
      <c r="S95">
        <f>_xlfn.XLOOKUP(Table3[[#This Row],[Product Name]],Sales!A:A,Sales!D:D)</f>
        <v>0</v>
      </c>
      <c r="T95">
        <f>_xlfn.XLOOKUP(Table3[[#This Row],[Product Name]],Sales!A:A,Sales!E:E)</f>
        <v>16.535399999999999</v>
      </c>
    </row>
    <row r="96" spans="1:20" x14ac:dyDescent="0.3">
      <c r="A96">
        <v>95</v>
      </c>
      <c r="B96" t="s">
        <v>305</v>
      </c>
      <c r="C96">
        <v>31</v>
      </c>
      <c r="D96">
        <v>1</v>
      </c>
      <c r="E96">
        <v>2019</v>
      </c>
      <c r="F96" t="s">
        <v>17</v>
      </c>
      <c r="G96" t="s">
        <v>306</v>
      </c>
      <c r="H96" t="s">
        <v>2650</v>
      </c>
      <c r="I96" t="s">
        <v>19</v>
      </c>
      <c r="J96" t="s">
        <v>2445</v>
      </c>
      <c r="K96" t="s">
        <v>79</v>
      </c>
      <c r="L96">
        <v>55407</v>
      </c>
      <c r="M96" t="s">
        <v>311</v>
      </c>
      <c r="N96" t="s">
        <v>33</v>
      </c>
      <c r="O96" t="s">
        <v>58</v>
      </c>
      <c r="P96" t="s">
        <v>312</v>
      </c>
      <c r="Q96">
        <f>_xlfn.XLOOKUP(Table3[[#This Row],[Product Name]],Sales!A:A,Sales!B:B)</f>
        <v>32.96</v>
      </c>
      <c r="R96">
        <f>_xlfn.XLOOKUP(Table3[[#This Row],[Product Name]],Sales!A:A,Sales!C:C)</f>
        <v>2</v>
      </c>
      <c r="S96">
        <f>_xlfn.XLOOKUP(Table3[[#This Row],[Product Name]],Sales!A:A,Sales!D:D)</f>
        <v>0</v>
      </c>
      <c r="T96">
        <f>_xlfn.XLOOKUP(Table3[[#This Row],[Product Name]],Sales!A:A,Sales!E:E)</f>
        <v>16.150400000000001</v>
      </c>
    </row>
    <row r="97" spans="1:20" x14ac:dyDescent="0.3">
      <c r="A97">
        <v>96</v>
      </c>
      <c r="B97" t="s">
        <v>313</v>
      </c>
      <c r="C97">
        <v>6</v>
      </c>
      <c r="D97">
        <v>11</v>
      </c>
      <c r="E97">
        <v>2021</v>
      </c>
      <c r="F97" t="s">
        <v>37</v>
      </c>
      <c r="G97" t="s">
        <v>314</v>
      </c>
      <c r="H97" t="s">
        <v>2651</v>
      </c>
      <c r="I97" t="s">
        <v>78</v>
      </c>
      <c r="J97" t="s">
        <v>2446</v>
      </c>
      <c r="K97" t="s">
        <v>31</v>
      </c>
      <c r="L97">
        <v>97206</v>
      </c>
      <c r="M97" t="s">
        <v>315</v>
      </c>
      <c r="N97" t="s">
        <v>33</v>
      </c>
      <c r="O97" t="s">
        <v>58</v>
      </c>
      <c r="P97" t="s">
        <v>316</v>
      </c>
      <c r="Q97">
        <f>_xlfn.XLOOKUP(Table3[[#This Row],[Product Name]],Sales!A:A,Sales!B:B)</f>
        <v>5.6820000000000004</v>
      </c>
      <c r="R97">
        <f>_xlfn.XLOOKUP(Table3[[#This Row],[Product Name]],Sales!A:A,Sales!C:C)</f>
        <v>1</v>
      </c>
      <c r="S97">
        <f>_xlfn.XLOOKUP(Table3[[#This Row],[Product Name]],Sales!A:A,Sales!D:D)</f>
        <v>0.7</v>
      </c>
      <c r="T97">
        <f>_xlfn.XLOOKUP(Table3[[#This Row],[Product Name]],Sales!A:A,Sales!E:E)</f>
        <v>-3.7879999999999998</v>
      </c>
    </row>
    <row r="98" spans="1:20" x14ac:dyDescent="0.3">
      <c r="A98">
        <v>97</v>
      </c>
      <c r="B98" t="s">
        <v>317</v>
      </c>
      <c r="C98">
        <v>9</v>
      </c>
      <c r="D98">
        <v>11</v>
      </c>
      <c r="E98">
        <v>2021</v>
      </c>
      <c r="F98" t="s">
        <v>17</v>
      </c>
      <c r="G98" t="s">
        <v>318</v>
      </c>
      <c r="H98" t="s">
        <v>2652</v>
      </c>
      <c r="I98" t="s">
        <v>78</v>
      </c>
      <c r="J98" t="s">
        <v>2434</v>
      </c>
      <c r="K98" t="s">
        <v>108</v>
      </c>
      <c r="L98">
        <v>10009</v>
      </c>
      <c r="M98" t="s">
        <v>319</v>
      </c>
      <c r="N98" t="s">
        <v>22</v>
      </c>
      <c r="O98" t="s">
        <v>48</v>
      </c>
      <c r="P98" t="s">
        <v>320</v>
      </c>
      <c r="Q98">
        <f>_xlfn.XLOOKUP(Table3[[#This Row],[Product Name]],Sales!A:A,Sales!B:B)</f>
        <v>96.53</v>
      </c>
      <c r="R98">
        <f>_xlfn.XLOOKUP(Table3[[#This Row],[Product Name]],Sales!A:A,Sales!C:C)</f>
        <v>7</v>
      </c>
      <c r="S98">
        <f>_xlfn.XLOOKUP(Table3[[#This Row],[Product Name]],Sales!A:A,Sales!D:D)</f>
        <v>0</v>
      </c>
      <c r="T98">
        <f>_xlfn.XLOOKUP(Table3[[#This Row],[Product Name]],Sales!A:A,Sales!E:E)</f>
        <v>40.5426</v>
      </c>
    </row>
    <row r="99" spans="1:20" x14ac:dyDescent="0.3">
      <c r="A99">
        <v>98</v>
      </c>
      <c r="B99" t="s">
        <v>321</v>
      </c>
      <c r="C99">
        <v>17</v>
      </c>
      <c r="D99">
        <v>6</v>
      </c>
      <c r="E99">
        <v>2021</v>
      </c>
      <c r="F99" t="s">
        <v>142</v>
      </c>
      <c r="G99" t="s">
        <v>322</v>
      </c>
      <c r="H99" t="s">
        <v>2653</v>
      </c>
      <c r="I99" t="s">
        <v>19</v>
      </c>
      <c r="J99" t="s">
        <v>2422</v>
      </c>
      <c r="K99" t="s">
        <v>31</v>
      </c>
      <c r="L99">
        <v>94122</v>
      </c>
      <c r="M99" t="s">
        <v>323</v>
      </c>
      <c r="N99" t="s">
        <v>33</v>
      </c>
      <c r="O99" t="s">
        <v>58</v>
      </c>
      <c r="P99" t="s">
        <v>324</v>
      </c>
      <c r="Q99">
        <f>_xlfn.XLOOKUP(Table3[[#This Row],[Product Name]],Sales!A:A,Sales!B:B)</f>
        <v>51.311999999999998</v>
      </c>
      <c r="R99">
        <f>_xlfn.XLOOKUP(Table3[[#This Row],[Product Name]],Sales!A:A,Sales!C:C)</f>
        <v>3</v>
      </c>
      <c r="S99">
        <f>_xlfn.XLOOKUP(Table3[[#This Row],[Product Name]],Sales!A:A,Sales!D:D)</f>
        <v>0.2</v>
      </c>
      <c r="T99">
        <f>_xlfn.XLOOKUP(Table3[[#This Row],[Product Name]],Sales!A:A,Sales!E:E)</f>
        <v>17.959199999999999</v>
      </c>
    </row>
    <row r="100" spans="1:20" x14ac:dyDescent="0.3">
      <c r="A100">
        <v>99</v>
      </c>
      <c r="B100" t="s">
        <v>325</v>
      </c>
      <c r="C100">
        <v>6</v>
      </c>
      <c r="D100">
        <v>9</v>
      </c>
      <c r="E100">
        <v>2020</v>
      </c>
      <c r="F100" t="s">
        <v>37</v>
      </c>
      <c r="G100" t="s">
        <v>326</v>
      </c>
      <c r="H100" t="s">
        <v>2654</v>
      </c>
      <c r="I100" t="s">
        <v>30</v>
      </c>
      <c r="J100" t="s">
        <v>2447</v>
      </c>
      <c r="K100" t="s">
        <v>79</v>
      </c>
      <c r="L100">
        <v>55106</v>
      </c>
      <c r="M100" t="s">
        <v>327</v>
      </c>
      <c r="N100" t="s">
        <v>33</v>
      </c>
      <c r="O100" t="s">
        <v>61</v>
      </c>
      <c r="P100" t="s">
        <v>328</v>
      </c>
      <c r="Q100">
        <f>_xlfn.XLOOKUP(Table3[[#This Row],[Product Name]],Sales!A:A,Sales!B:B)</f>
        <v>77.88</v>
      </c>
      <c r="R100">
        <f>_xlfn.XLOOKUP(Table3[[#This Row],[Product Name]],Sales!A:A,Sales!C:C)</f>
        <v>6</v>
      </c>
      <c r="S100">
        <f>_xlfn.XLOOKUP(Table3[[#This Row],[Product Name]],Sales!A:A,Sales!D:D)</f>
        <v>0</v>
      </c>
      <c r="T100">
        <f>_xlfn.XLOOKUP(Table3[[#This Row],[Product Name]],Sales!A:A,Sales!E:E)</f>
        <v>22.5852</v>
      </c>
    </row>
    <row r="101" spans="1:20" x14ac:dyDescent="0.3">
      <c r="A101">
        <v>100</v>
      </c>
      <c r="B101" t="s">
        <v>329</v>
      </c>
      <c r="C101">
        <v>29</v>
      </c>
      <c r="D101">
        <v>8</v>
      </c>
      <c r="E101">
        <v>2020</v>
      </c>
      <c r="F101" t="s">
        <v>37</v>
      </c>
      <c r="G101" t="s">
        <v>330</v>
      </c>
      <c r="H101" t="s">
        <v>2655</v>
      </c>
      <c r="I101" t="s">
        <v>78</v>
      </c>
      <c r="J101" t="s">
        <v>2436</v>
      </c>
      <c r="K101" t="s">
        <v>79</v>
      </c>
      <c r="L101">
        <v>60610</v>
      </c>
      <c r="M101" t="s">
        <v>331</v>
      </c>
      <c r="N101" t="s">
        <v>33</v>
      </c>
      <c r="O101" t="s">
        <v>70</v>
      </c>
      <c r="P101" t="s">
        <v>332</v>
      </c>
      <c r="Q101">
        <f>_xlfn.XLOOKUP(Table3[[#This Row],[Product Name]],Sales!A:A,Sales!B:B)</f>
        <v>64.623999999999995</v>
      </c>
      <c r="R101">
        <f>_xlfn.XLOOKUP(Table3[[#This Row],[Product Name]],Sales!A:A,Sales!C:C)</f>
        <v>7</v>
      </c>
      <c r="S101">
        <f>_xlfn.XLOOKUP(Table3[[#This Row],[Product Name]],Sales!A:A,Sales!D:D)</f>
        <v>0.2</v>
      </c>
      <c r="T101">
        <f>_xlfn.XLOOKUP(Table3[[#This Row],[Product Name]],Sales!A:A,Sales!E:E)</f>
        <v>22.618400000000001</v>
      </c>
    </row>
    <row r="102" spans="1:20" x14ac:dyDescent="0.3">
      <c r="A102">
        <v>101</v>
      </c>
      <c r="B102" t="s">
        <v>329</v>
      </c>
      <c r="C102">
        <v>29</v>
      </c>
      <c r="D102">
        <v>8</v>
      </c>
      <c r="E102">
        <v>2020</v>
      </c>
      <c r="F102" t="s">
        <v>37</v>
      </c>
      <c r="G102" t="s">
        <v>330</v>
      </c>
      <c r="H102" t="s">
        <v>2655</v>
      </c>
      <c r="I102" t="s">
        <v>78</v>
      </c>
      <c r="J102" t="s">
        <v>2436</v>
      </c>
      <c r="K102" t="s">
        <v>79</v>
      </c>
      <c r="L102">
        <v>60610</v>
      </c>
      <c r="M102" t="s">
        <v>333</v>
      </c>
      <c r="N102" t="s">
        <v>54</v>
      </c>
      <c r="O102" t="s">
        <v>118</v>
      </c>
      <c r="P102" t="s">
        <v>334</v>
      </c>
      <c r="Q102">
        <f>_xlfn.XLOOKUP(Table3[[#This Row],[Product Name]],Sales!A:A,Sales!B:B)</f>
        <v>95.975999999999999</v>
      </c>
      <c r="R102">
        <f>_xlfn.XLOOKUP(Table3[[#This Row],[Product Name]],Sales!A:A,Sales!C:C)</f>
        <v>3</v>
      </c>
      <c r="S102">
        <f>_xlfn.XLOOKUP(Table3[[#This Row],[Product Name]],Sales!A:A,Sales!D:D)</f>
        <v>0.2</v>
      </c>
      <c r="T102">
        <f>_xlfn.XLOOKUP(Table3[[#This Row],[Product Name]],Sales!A:A,Sales!E:E)</f>
        <v>-10.7973</v>
      </c>
    </row>
    <row r="103" spans="1:20" x14ac:dyDescent="0.3">
      <c r="A103" t="s">
        <v>2656</v>
      </c>
      <c r="B103" t="s">
        <v>2656</v>
      </c>
      <c r="C103" t="s">
        <v>2656</v>
      </c>
      <c r="D103" t="s">
        <v>2656</v>
      </c>
      <c r="E103" t="s">
        <v>2656</v>
      </c>
      <c r="F103" t="s">
        <v>2656</v>
      </c>
      <c r="G103" t="s">
        <v>2656</v>
      </c>
      <c r="H103" t="s">
        <v>2656</v>
      </c>
      <c r="I103" t="s">
        <v>2656</v>
      </c>
      <c r="J103" t="s">
        <v>2656</v>
      </c>
      <c r="K103" t="s">
        <v>2656</v>
      </c>
      <c r="L103" t="s">
        <v>2656</v>
      </c>
      <c r="M103" t="s">
        <v>2656</v>
      </c>
      <c r="N103" t="s">
        <v>2656</v>
      </c>
      <c r="O103" t="s">
        <v>2656</v>
      </c>
      <c r="P103" t="s">
        <v>2656</v>
      </c>
      <c r="Q103" t="str">
        <f>_xlfn.XLOOKUP(Table3[[#This Row],[Product Name]],Sales!A:A,Sales!B:B)</f>
        <v>null</v>
      </c>
      <c r="R103" t="str">
        <f>_xlfn.XLOOKUP(Table3[[#This Row],[Product Name]],Sales!A:A,Sales!C:C)</f>
        <v>null</v>
      </c>
      <c r="S103" t="str">
        <f>_xlfn.XLOOKUP(Table3[[#This Row],[Product Name]],Sales!A:A,Sales!D:D)</f>
        <v>null</v>
      </c>
      <c r="T103" t="str">
        <f>_xlfn.XLOOKUP(Table3[[#This Row],[Product Name]],Sales!A:A,Sales!E:E)</f>
        <v>null</v>
      </c>
    </row>
    <row r="104" spans="1:20" x14ac:dyDescent="0.3">
      <c r="A104">
        <v>102</v>
      </c>
      <c r="B104" t="s">
        <v>329</v>
      </c>
      <c r="C104">
        <v>29</v>
      </c>
      <c r="D104">
        <v>8</v>
      </c>
      <c r="E104">
        <v>2020</v>
      </c>
      <c r="F104" t="s">
        <v>37</v>
      </c>
      <c r="G104" t="s">
        <v>330</v>
      </c>
      <c r="H104" t="s">
        <v>2655</v>
      </c>
      <c r="I104" t="s">
        <v>78</v>
      </c>
      <c r="J104" t="s">
        <v>2436</v>
      </c>
      <c r="K104" t="s">
        <v>79</v>
      </c>
      <c r="L104">
        <v>60610</v>
      </c>
      <c r="M104" t="s">
        <v>335</v>
      </c>
      <c r="N104" t="s">
        <v>33</v>
      </c>
      <c r="O104" t="s">
        <v>58</v>
      </c>
      <c r="P104" t="s">
        <v>336</v>
      </c>
      <c r="Q104">
        <f>_xlfn.XLOOKUP(Table3[[#This Row],[Product Name]],Sales!A:A,Sales!B:B)</f>
        <v>1.788</v>
      </c>
      <c r="R104">
        <f>_xlfn.XLOOKUP(Table3[[#This Row],[Product Name]],Sales!A:A,Sales!C:C)</f>
        <v>3</v>
      </c>
      <c r="S104">
        <f>_xlfn.XLOOKUP(Table3[[#This Row],[Product Name]],Sales!A:A,Sales!D:D)</f>
        <v>0.8</v>
      </c>
      <c r="T104">
        <f>_xlfn.XLOOKUP(Table3[[#This Row],[Product Name]],Sales!A:A,Sales!E:E)</f>
        <v>-3.0396000000000001</v>
      </c>
    </row>
    <row r="105" spans="1:20" x14ac:dyDescent="0.3">
      <c r="A105">
        <v>103</v>
      </c>
      <c r="B105" t="s">
        <v>337</v>
      </c>
      <c r="C105">
        <v>1</v>
      </c>
      <c r="D105">
        <v>12</v>
      </c>
      <c r="E105">
        <v>2020</v>
      </c>
      <c r="F105" t="s">
        <v>17</v>
      </c>
      <c r="G105" t="s">
        <v>338</v>
      </c>
      <c r="H105" t="s">
        <v>2657</v>
      </c>
      <c r="I105" t="s">
        <v>19</v>
      </c>
      <c r="J105" t="s">
        <v>2444</v>
      </c>
      <c r="K105" t="s">
        <v>79</v>
      </c>
      <c r="L105">
        <v>55901</v>
      </c>
      <c r="M105" t="s">
        <v>339</v>
      </c>
      <c r="N105" t="s">
        <v>33</v>
      </c>
      <c r="O105" t="s">
        <v>70</v>
      </c>
      <c r="P105" t="s">
        <v>340</v>
      </c>
      <c r="Q105">
        <f>_xlfn.XLOOKUP(Table3[[#This Row],[Product Name]],Sales!A:A,Sales!B:B)</f>
        <v>23.92</v>
      </c>
      <c r="R105">
        <f>_xlfn.XLOOKUP(Table3[[#This Row],[Product Name]],Sales!A:A,Sales!C:C)</f>
        <v>4</v>
      </c>
      <c r="S105">
        <f>_xlfn.XLOOKUP(Table3[[#This Row],[Product Name]],Sales!A:A,Sales!D:D)</f>
        <v>0</v>
      </c>
      <c r="T105">
        <f>_xlfn.XLOOKUP(Table3[[#This Row],[Product Name]],Sales!A:A,Sales!E:E)</f>
        <v>11.720800000000001</v>
      </c>
    </row>
    <row r="106" spans="1:20" x14ac:dyDescent="0.3">
      <c r="A106">
        <v>104</v>
      </c>
      <c r="B106" t="s">
        <v>341</v>
      </c>
      <c r="C106">
        <v>13</v>
      </c>
      <c r="D106">
        <v>11</v>
      </c>
      <c r="E106">
        <v>2019</v>
      </c>
      <c r="F106" t="s">
        <v>37</v>
      </c>
      <c r="G106" t="s">
        <v>342</v>
      </c>
      <c r="H106" t="s">
        <v>2658</v>
      </c>
      <c r="I106" t="s">
        <v>19</v>
      </c>
      <c r="J106" t="s">
        <v>2448</v>
      </c>
      <c r="K106" t="s">
        <v>31</v>
      </c>
      <c r="L106">
        <v>80013</v>
      </c>
      <c r="M106" t="s">
        <v>343</v>
      </c>
      <c r="N106" t="s">
        <v>54</v>
      </c>
      <c r="O106" t="s">
        <v>118</v>
      </c>
      <c r="P106" t="s">
        <v>344</v>
      </c>
      <c r="Q106">
        <f>_xlfn.XLOOKUP(Table3[[#This Row],[Product Name]],Sales!A:A,Sales!B:B)</f>
        <v>238.89599999999999</v>
      </c>
      <c r="R106">
        <f>_xlfn.XLOOKUP(Table3[[#This Row],[Product Name]],Sales!A:A,Sales!C:C)</f>
        <v>6</v>
      </c>
      <c r="S106">
        <f>_xlfn.XLOOKUP(Table3[[#This Row],[Product Name]],Sales!A:A,Sales!D:D)</f>
        <v>0.2</v>
      </c>
      <c r="T106">
        <f>_xlfn.XLOOKUP(Table3[[#This Row],[Product Name]],Sales!A:A,Sales!E:E)</f>
        <v>-26.875800000000002</v>
      </c>
    </row>
    <row r="107" spans="1:20" x14ac:dyDescent="0.3">
      <c r="A107">
        <v>105</v>
      </c>
      <c r="B107" t="s">
        <v>341</v>
      </c>
      <c r="C107">
        <v>13</v>
      </c>
      <c r="D107">
        <v>11</v>
      </c>
      <c r="E107">
        <v>2019</v>
      </c>
      <c r="F107" t="s">
        <v>37</v>
      </c>
      <c r="G107" t="s">
        <v>342</v>
      </c>
      <c r="H107" t="s">
        <v>2658</v>
      </c>
      <c r="I107" t="s">
        <v>19</v>
      </c>
      <c r="J107" t="s">
        <v>2448</v>
      </c>
      <c r="K107" t="s">
        <v>31</v>
      </c>
      <c r="L107">
        <v>80013</v>
      </c>
      <c r="M107" t="s">
        <v>345</v>
      </c>
      <c r="N107" t="s">
        <v>22</v>
      </c>
      <c r="O107" t="s">
        <v>48</v>
      </c>
      <c r="P107" t="s">
        <v>346</v>
      </c>
      <c r="Q107">
        <f>_xlfn.XLOOKUP(Table3[[#This Row],[Product Name]],Sales!A:A,Sales!B:B)</f>
        <v>102.36</v>
      </c>
      <c r="R107">
        <f>_xlfn.XLOOKUP(Table3[[#This Row],[Product Name]],Sales!A:A,Sales!C:C)</f>
        <v>3</v>
      </c>
      <c r="S107">
        <f>_xlfn.XLOOKUP(Table3[[#This Row],[Product Name]],Sales!A:A,Sales!D:D)</f>
        <v>0.2</v>
      </c>
      <c r="T107">
        <f>_xlfn.XLOOKUP(Table3[[#This Row],[Product Name]],Sales!A:A,Sales!E:E)</f>
        <v>-3.8384999999999998</v>
      </c>
    </row>
    <row r="108" spans="1:20" x14ac:dyDescent="0.3">
      <c r="A108">
        <v>106</v>
      </c>
      <c r="B108" t="s">
        <v>341</v>
      </c>
      <c r="C108">
        <v>13</v>
      </c>
      <c r="D108">
        <v>11</v>
      </c>
      <c r="E108">
        <v>2019</v>
      </c>
      <c r="F108" t="s">
        <v>37</v>
      </c>
      <c r="G108" t="s">
        <v>342</v>
      </c>
      <c r="H108" t="s">
        <v>2658</v>
      </c>
      <c r="I108" t="s">
        <v>19</v>
      </c>
      <c r="J108" t="s">
        <v>2448</v>
      </c>
      <c r="K108" t="s">
        <v>31</v>
      </c>
      <c r="L108">
        <v>80013</v>
      </c>
      <c r="M108" t="s">
        <v>347</v>
      </c>
      <c r="N108" t="s">
        <v>33</v>
      </c>
      <c r="O108" t="s">
        <v>58</v>
      </c>
      <c r="P108" t="s">
        <v>348</v>
      </c>
      <c r="Q108">
        <f>_xlfn.XLOOKUP(Table3[[#This Row],[Product Name]],Sales!A:A,Sales!B:B)</f>
        <v>36.881999999999998</v>
      </c>
      <c r="R108">
        <f>_xlfn.XLOOKUP(Table3[[#This Row],[Product Name]],Sales!A:A,Sales!C:C)</f>
        <v>3</v>
      </c>
      <c r="S108">
        <f>_xlfn.XLOOKUP(Table3[[#This Row],[Product Name]],Sales!A:A,Sales!D:D)</f>
        <v>0.7</v>
      </c>
      <c r="T108">
        <f>_xlfn.XLOOKUP(Table3[[#This Row],[Product Name]],Sales!A:A,Sales!E:E)</f>
        <v>-25.817399999999999</v>
      </c>
    </row>
    <row r="109" spans="1:20" x14ac:dyDescent="0.3">
      <c r="A109">
        <v>107</v>
      </c>
      <c r="B109" t="s">
        <v>349</v>
      </c>
      <c r="C109">
        <v>23</v>
      </c>
      <c r="D109">
        <v>11</v>
      </c>
      <c r="E109">
        <v>2021</v>
      </c>
      <c r="F109" t="s">
        <v>37</v>
      </c>
      <c r="G109" t="s">
        <v>350</v>
      </c>
      <c r="H109" t="s">
        <v>2659</v>
      </c>
      <c r="I109" t="s">
        <v>19</v>
      </c>
      <c r="J109" t="s">
        <v>2449</v>
      </c>
      <c r="K109" t="s">
        <v>20</v>
      </c>
      <c r="L109">
        <v>28205</v>
      </c>
      <c r="M109" t="s">
        <v>351</v>
      </c>
      <c r="N109" t="s">
        <v>54</v>
      </c>
      <c r="O109" t="s">
        <v>118</v>
      </c>
      <c r="P109" t="s">
        <v>352</v>
      </c>
      <c r="Q109">
        <f>_xlfn.XLOOKUP(Table3[[#This Row],[Product Name]],Sales!A:A,Sales!B:B)</f>
        <v>74.111999999999995</v>
      </c>
      <c r="R109">
        <f>_xlfn.XLOOKUP(Table3[[#This Row],[Product Name]],Sales!A:A,Sales!C:C)</f>
        <v>8</v>
      </c>
      <c r="S109">
        <f>_xlfn.XLOOKUP(Table3[[#This Row],[Product Name]],Sales!A:A,Sales!D:D)</f>
        <v>0.2</v>
      </c>
      <c r="T109">
        <f>_xlfn.XLOOKUP(Table3[[#This Row],[Product Name]],Sales!A:A,Sales!E:E)</f>
        <v>17.601600000000001</v>
      </c>
    </row>
    <row r="110" spans="1:20" x14ac:dyDescent="0.3">
      <c r="A110">
        <v>108</v>
      </c>
      <c r="B110" t="s">
        <v>349</v>
      </c>
      <c r="C110">
        <v>23</v>
      </c>
      <c r="D110">
        <v>11</v>
      </c>
      <c r="E110">
        <v>2021</v>
      </c>
      <c r="F110" t="s">
        <v>37</v>
      </c>
      <c r="G110" t="s">
        <v>350</v>
      </c>
      <c r="H110" t="s">
        <v>2659</v>
      </c>
      <c r="I110" t="s">
        <v>19</v>
      </c>
      <c r="J110" t="s">
        <v>2449</v>
      </c>
      <c r="K110" t="s">
        <v>20</v>
      </c>
      <c r="L110">
        <v>28205</v>
      </c>
      <c r="M110" t="s">
        <v>353</v>
      </c>
      <c r="N110" t="s">
        <v>54</v>
      </c>
      <c r="O110" t="s">
        <v>55</v>
      </c>
      <c r="P110" t="s">
        <v>354</v>
      </c>
      <c r="Q110">
        <f>_xlfn.XLOOKUP(Table3[[#This Row],[Product Name]],Sales!A:A,Sales!B:B)</f>
        <v>27.992000000000001</v>
      </c>
      <c r="R110">
        <f>_xlfn.XLOOKUP(Table3[[#This Row],[Product Name]],Sales!A:A,Sales!C:C)</f>
        <v>1</v>
      </c>
      <c r="S110">
        <f>_xlfn.XLOOKUP(Table3[[#This Row],[Product Name]],Sales!A:A,Sales!D:D)</f>
        <v>0.2</v>
      </c>
      <c r="T110">
        <f>_xlfn.XLOOKUP(Table3[[#This Row],[Product Name]],Sales!A:A,Sales!E:E)</f>
        <v>2.0994000000000002</v>
      </c>
    </row>
    <row r="111" spans="1:20" x14ac:dyDescent="0.3">
      <c r="A111">
        <v>109</v>
      </c>
      <c r="B111" t="s">
        <v>349</v>
      </c>
      <c r="C111">
        <v>23</v>
      </c>
      <c r="D111">
        <v>11</v>
      </c>
      <c r="E111">
        <v>2021</v>
      </c>
      <c r="F111" t="s">
        <v>37</v>
      </c>
      <c r="G111" t="s">
        <v>350</v>
      </c>
      <c r="H111" t="s">
        <v>2659</v>
      </c>
      <c r="I111" t="s">
        <v>19</v>
      </c>
      <c r="J111" t="s">
        <v>2449</v>
      </c>
      <c r="K111" t="s">
        <v>20</v>
      </c>
      <c r="L111">
        <v>28205</v>
      </c>
      <c r="M111" t="s">
        <v>355</v>
      </c>
      <c r="N111" t="s">
        <v>33</v>
      </c>
      <c r="O111" t="s">
        <v>51</v>
      </c>
      <c r="P111" t="s">
        <v>356</v>
      </c>
      <c r="Q111">
        <f>_xlfn.XLOOKUP(Table3[[#This Row],[Product Name]],Sales!A:A,Sales!B:B)</f>
        <v>3.3039999999999998</v>
      </c>
      <c r="R111">
        <f>_xlfn.XLOOKUP(Table3[[#This Row],[Product Name]],Sales!A:A,Sales!C:C)</f>
        <v>1</v>
      </c>
      <c r="S111">
        <f>_xlfn.XLOOKUP(Table3[[#This Row],[Product Name]],Sales!A:A,Sales!D:D)</f>
        <v>0.2</v>
      </c>
      <c r="T111">
        <f>_xlfn.XLOOKUP(Table3[[#This Row],[Product Name]],Sales!A:A,Sales!E:E)</f>
        <v>1.0738000000000001</v>
      </c>
    </row>
    <row r="112" spans="1:20" x14ac:dyDescent="0.3">
      <c r="A112">
        <v>110</v>
      </c>
      <c r="B112" t="s">
        <v>357</v>
      </c>
      <c r="C112">
        <v>15</v>
      </c>
      <c r="D112">
        <v>10</v>
      </c>
      <c r="E112">
        <v>2019</v>
      </c>
      <c r="F112" t="s">
        <v>37</v>
      </c>
      <c r="G112" t="s">
        <v>358</v>
      </c>
      <c r="H112" t="s">
        <v>2660</v>
      </c>
      <c r="I112" t="s">
        <v>78</v>
      </c>
      <c r="J112" t="s">
        <v>2450</v>
      </c>
      <c r="K112" t="s">
        <v>79</v>
      </c>
      <c r="L112">
        <v>60462</v>
      </c>
      <c r="M112" t="s">
        <v>359</v>
      </c>
      <c r="N112" t="s">
        <v>54</v>
      </c>
      <c r="O112" t="s">
        <v>118</v>
      </c>
      <c r="P112" t="s">
        <v>360</v>
      </c>
      <c r="Q112">
        <f>_xlfn.XLOOKUP(Table3[[#This Row],[Product Name]],Sales!A:A,Sales!B:B)</f>
        <v>339.96</v>
      </c>
      <c r="R112">
        <f>_xlfn.XLOOKUP(Table3[[#This Row],[Product Name]],Sales!A:A,Sales!C:C)</f>
        <v>5</v>
      </c>
      <c r="S112">
        <f>_xlfn.XLOOKUP(Table3[[#This Row],[Product Name]],Sales!A:A,Sales!D:D)</f>
        <v>0.2</v>
      </c>
      <c r="T112">
        <f>_xlfn.XLOOKUP(Table3[[#This Row],[Product Name]],Sales!A:A,Sales!E:E)</f>
        <v>67.992000000000004</v>
      </c>
    </row>
    <row r="113" spans="1:20" x14ac:dyDescent="0.3">
      <c r="A113">
        <v>111</v>
      </c>
      <c r="B113" t="s">
        <v>361</v>
      </c>
      <c r="C113">
        <v>25</v>
      </c>
      <c r="D113">
        <v>12</v>
      </c>
      <c r="E113">
        <v>2021</v>
      </c>
      <c r="F113" t="s">
        <v>37</v>
      </c>
      <c r="G113" t="s">
        <v>362</v>
      </c>
      <c r="H113" t="s">
        <v>2661</v>
      </c>
      <c r="I113" t="s">
        <v>30</v>
      </c>
      <c r="J113" t="s">
        <v>2434</v>
      </c>
      <c r="K113" t="s">
        <v>108</v>
      </c>
      <c r="L113">
        <v>10035</v>
      </c>
      <c r="M113" t="s">
        <v>363</v>
      </c>
      <c r="N113" t="s">
        <v>22</v>
      </c>
      <c r="O113" t="s">
        <v>48</v>
      </c>
      <c r="P113" t="s">
        <v>364</v>
      </c>
      <c r="Q113">
        <f>_xlfn.XLOOKUP(Table3[[#This Row],[Product Name]],Sales!A:A,Sales!B:B)</f>
        <v>41.96</v>
      </c>
      <c r="R113">
        <f>_xlfn.XLOOKUP(Table3[[#This Row],[Product Name]],Sales!A:A,Sales!C:C)</f>
        <v>2</v>
      </c>
      <c r="S113">
        <f>_xlfn.XLOOKUP(Table3[[#This Row],[Product Name]],Sales!A:A,Sales!D:D)</f>
        <v>0</v>
      </c>
      <c r="T113">
        <f>_xlfn.XLOOKUP(Table3[[#This Row],[Product Name]],Sales!A:A,Sales!E:E)</f>
        <v>10.909599999999999</v>
      </c>
    </row>
    <row r="114" spans="1:20" x14ac:dyDescent="0.3">
      <c r="A114">
        <v>112</v>
      </c>
      <c r="B114" t="s">
        <v>365</v>
      </c>
      <c r="C114">
        <v>3</v>
      </c>
      <c r="D114">
        <v>11</v>
      </c>
      <c r="E114">
        <v>2020</v>
      </c>
      <c r="F114" t="s">
        <v>37</v>
      </c>
      <c r="G114" t="s">
        <v>366</v>
      </c>
      <c r="H114" t="s">
        <v>2662</v>
      </c>
      <c r="I114" t="s">
        <v>19</v>
      </c>
      <c r="J114" t="s">
        <v>2451</v>
      </c>
      <c r="K114" t="s">
        <v>79</v>
      </c>
      <c r="L114">
        <v>50322</v>
      </c>
      <c r="M114" t="s">
        <v>367</v>
      </c>
      <c r="N114" t="s">
        <v>33</v>
      </c>
      <c r="O114" t="s">
        <v>51</v>
      </c>
      <c r="P114" t="s">
        <v>368</v>
      </c>
      <c r="Q114">
        <f>_xlfn.XLOOKUP(Table3[[#This Row],[Product Name]],Sales!A:A,Sales!B:B)</f>
        <v>75.959999999999994</v>
      </c>
      <c r="R114">
        <f>_xlfn.XLOOKUP(Table3[[#This Row],[Product Name]],Sales!A:A,Sales!C:C)</f>
        <v>2</v>
      </c>
      <c r="S114">
        <f>_xlfn.XLOOKUP(Table3[[#This Row],[Product Name]],Sales!A:A,Sales!D:D)</f>
        <v>0</v>
      </c>
      <c r="T114">
        <f>_xlfn.XLOOKUP(Table3[[#This Row],[Product Name]],Sales!A:A,Sales!E:E)</f>
        <v>22.788</v>
      </c>
    </row>
    <row r="115" spans="1:20" x14ac:dyDescent="0.3">
      <c r="A115">
        <v>113</v>
      </c>
      <c r="B115" t="s">
        <v>365</v>
      </c>
      <c r="C115">
        <v>3</v>
      </c>
      <c r="D115">
        <v>11</v>
      </c>
      <c r="E115">
        <v>2020</v>
      </c>
      <c r="F115" t="s">
        <v>37</v>
      </c>
      <c r="G115" t="s">
        <v>366</v>
      </c>
      <c r="H115" t="s">
        <v>2662</v>
      </c>
      <c r="I115" t="s">
        <v>19</v>
      </c>
      <c r="J115" t="s">
        <v>2451</v>
      </c>
      <c r="K115" t="s">
        <v>79</v>
      </c>
      <c r="L115">
        <v>50322</v>
      </c>
      <c r="M115" t="s">
        <v>369</v>
      </c>
      <c r="N115" t="s">
        <v>33</v>
      </c>
      <c r="O115" t="s">
        <v>58</v>
      </c>
      <c r="P115" t="s">
        <v>370</v>
      </c>
      <c r="Q115">
        <f>_xlfn.XLOOKUP(Table3[[#This Row],[Product Name]],Sales!A:A,Sales!B:B)</f>
        <v>27.24</v>
      </c>
      <c r="R115">
        <f>_xlfn.XLOOKUP(Table3[[#This Row],[Product Name]],Sales!A:A,Sales!C:C)</f>
        <v>6</v>
      </c>
      <c r="S115">
        <f>_xlfn.XLOOKUP(Table3[[#This Row],[Product Name]],Sales!A:A,Sales!D:D)</f>
        <v>0</v>
      </c>
      <c r="T115">
        <f>_xlfn.XLOOKUP(Table3[[#This Row],[Product Name]],Sales!A:A,Sales!E:E)</f>
        <v>13.3476</v>
      </c>
    </row>
    <row r="116" spans="1:20" x14ac:dyDescent="0.3">
      <c r="A116">
        <v>114</v>
      </c>
      <c r="B116" t="s">
        <v>371</v>
      </c>
      <c r="C116">
        <v>25</v>
      </c>
      <c r="D116">
        <v>8</v>
      </c>
      <c r="E116">
        <v>2018</v>
      </c>
      <c r="F116" t="s">
        <v>17</v>
      </c>
      <c r="G116" t="s">
        <v>372</v>
      </c>
      <c r="H116" t="s">
        <v>2663</v>
      </c>
      <c r="I116" t="s">
        <v>19</v>
      </c>
      <c r="J116" t="s">
        <v>2452</v>
      </c>
      <c r="K116" t="s">
        <v>108</v>
      </c>
      <c r="L116">
        <v>43229</v>
      </c>
      <c r="M116" t="s">
        <v>373</v>
      </c>
      <c r="N116" t="s">
        <v>33</v>
      </c>
      <c r="O116" t="s">
        <v>199</v>
      </c>
      <c r="P116" t="s">
        <v>374</v>
      </c>
      <c r="Q116">
        <f>_xlfn.XLOOKUP(Table3[[#This Row],[Product Name]],Sales!A:A,Sales!B:B)</f>
        <v>40.095999999999997</v>
      </c>
      <c r="R116">
        <f>_xlfn.XLOOKUP(Table3[[#This Row],[Product Name]],Sales!A:A,Sales!C:C)</f>
        <v>14</v>
      </c>
      <c r="S116">
        <f>_xlfn.XLOOKUP(Table3[[#This Row],[Product Name]],Sales!A:A,Sales!D:D)</f>
        <v>0.2</v>
      </c>
      <c r="T116">
        <f>_xlfn.XLOOKUP(Table3[[#This Row],[Product Name]],Sales!A:A,Sales!E:E)</f>
        <v>14.534800000000001</v>
      </c>
    </row>
    <row r="117" spans="1:20" x14ac:dyDescent="0.3">
      <c r="A117">
        <v>115</v>
      </c>
      <c r="B117" t="s">
        <v>371</v>
      </c>
      <c r="C117">
        <v>25</v>
      </c>
      <c r="D117">
        <v>8</v>
      </c>
      <c r="E117">
        <v>2018</v>
      </c>
      <c r="F117" t="s">
        <v>17</v>
      </c>
      <c r="G117" t="s">
        <v>372</v>
      </c>
      <c r="H117" t="s">
        <v>2663</v>
      </c>
      <c r="I117" t="s">
        <v>19</v>
      </c>
      <c r="J117" t="s">
        <v>2452</v>
      </c>
      <c r="K117" t="s">
        <v>108</v>
      </c>
      <c r="L117">
        <v>43229</v>
      </c>
      <c r="M117" t="s">
        <v>375</v>
      </c>
      <c r="N117" t="s">
        <v>33</v>
      </c>
      <c r="O117" t="s">
        <v>129</v>
      </c>
      <c r="P117" t="s">
        <v>376</v>
      </c>
      <c r="Q117">
        <f>_xlfn.XLOOKUP(Table3[[#This Row],[Product Name]],Sales!A:A,Sales!B:B)</f>
        <v>4.72</v>
      </c>
      <c r="R117">
        <f>_xlfn.XLOOKUP(Table3[[#This Row],[Product Name]],Sales!A:A,Sales!C:C)</f>
        <v>2</v>
      </c>
      <c r="S117">
        <f>_xlfn.XLOOKUP(Table3[[#This Row],[Product Name]],Sales!A:A,Sales!D:D)</f>
        <v>0.2</v>
      </c>
      <c r="T117">
        <f>_xlfn.XLOOKUP(Table3[[#This Row],[Product Name]],Sales!A:A,Sales!E:E)</f>
        <v>1.6519999999999999</v>
      </c>
    </row>
    <row r="118" spans="1:20" x14ac:dyDescent="0.3">
      <c r="A118">
        <v>116</v>
      </c>
      <c r="B118" t="s">
        <v>371</v>
      </c>
      <c r="C118">
        <v>25</v>
      </c>
      <c r="D118">
        <v>8</v>
      </c>
      <c r="E118">
        <v>2018</v>
      </c>
      <c r="F118" t="s">
        <v>17</v>
      </c>
      <c r="G118" t="s">
        <v>372</v>
      </c>
      <c r="H118" t="s">
        <v>2663</v>
      </c>
      <c r="I118" t="s">
        <v>19</v>
      </c>
      <c r="J118" t="s">
        <v>2452</v>
      </c>
      <c r="K118" t="s">
        <v>108</v>
      </c>
      <c r="L118">
        <v>43229</v>
      </c>
      <c r="M118" t="s">
        <v>377</v>
      </c>
      <c r="N118" t="s">
        <v>33</v>
      </c>
      <c r="O118" t="s">
        <v>70</v>
      </c>
      <c r="P118" t="s">
        <v>378</v>
      </c>
      <c r="Q118">
        <f>_xlfn.XLOOKUP(Table3[[#This Row],[Product Name]],Sales!A:A,Sales!B:B)</f>
        <v>23.975999999999999</v>
      </c>
      <c r="R118">
        <f>_xlfn.XLOOKUP(Table3[[#This Row],[Product Name]],Sales!A:A,Sales!C:C)</f>
        <v>3</v>
      </c>
      <c r="S118">
        <f>_xlfn.XLOOKUP(Table3[[#This Row],[Product Name]],Sales!A:A,Sales!D:D)</f>
        <v>0.2</v>
      </c>
      <c r="T118">
        <f>_xlfn.XLOOKUP(Table3[[#This Row],[Product Name]],Sales!A:A,Sales!E:E)</f>
        <v>7.4924999999999997</v>
      </c>
    </row>
    <row r="119" spans="1:20" x14ac:dyDescent="0.3">
      <c r="A119">
        <v>117</v>
      </c>
      <c r="B119" t="s">
        <v>371</v>
      </c>
      <c r="C119">
        <v>25</v>
      </c>
      <c r="D119">
        <v>8</v>
      </c>
      <c r="E119">
        <v>2018</v>
      </c>
      <c r="F119" t="s">
        <v>17</v>
      </c>
      <c r="G119" t="s">
        <v>372</v>
      </c>
      <c r="H119" t="s">
        <v>2663</v>
      </c>
      <c r="I119" t="s">
        <v>19</v>
      </c>
      <c r="J119" t="s">
        <v>2452</v>
      </c>
      <c r="K119" t="s">
        <v>108</v>
      </c>
      <c r="L119">
        <v>43229</v>
      </c>
      <c r="M119" t="s">
        <v>379</v>
      </c>
      <c r="N119" t="s">
        <v>33</v>
      </c>
      <c r="O119" t="s">
        <v>129</v>
      </c>
      <c r="P119" t="s">
        <v>2973</v>
      </c>
      <c r="Q119">
        <f>_xlfn.XLOOKUP(Table3[[#This Row],[Product Name]],Sales!A:A,Sales!B:B)</f>
        <v>130.464</v>
      </c>
      <c r="R119">
        <f>_xlfn.XLOOKUP(Table3[[#This Row],[Product Name]],Sales!A:A,Sales!C:C)</f>
        <v>6</v>
      </c>
      <c r="S119">
        <f>_xlfn.XLOOKUP(Table3[[#This Row],[Product Name]],Sales!A:A,Sales!D:D)</f>
        <v>0.2</v>
      </c>
      <c r="T119">
        <f>_xlfn.XLOOKUP(Table3[[#This Row],[Product Name]],Sales!A:A,Sales!E:E)</f>
        <v>44.031599999999997</v>
      </c>
    </row>
    <row r="120" spans="1:20" x14ac:dyDescent="0.3">
      <c r="A120">
        <v>118</v>
      </c>
      <c r="B120" t="s">
        <v>380</v>
      </c>
      <c r="C120">
        <v>2</v>
      </c>
      <c r="D120">
        <v>3</v>
      </c>
      <c r="E120">
        <v>2019</v>
      </c>
      <c r="F120" t="s">
        <v>37</v>
      </c>
      <c r="G120" t="s">
        <v>381</v>
      </c>
      <c r="H120" t="s">
        <v>2664</v>
      </c>
      <c r="I120" t="s">
        <v>19</v>
      </c>
      <c r="J120" t="s">
        <v>2418</v>
      </c>
      <c r="K120" t="s">
        <v>31</v>
      </c>
      <c r="L120">
        <v>98103</v>
      </c>
      <c r="M120" t="s">
        <v>382</v>
      </c>
      <c r="N120" t="s">
        <v>22</v>
      </c>
      <c r="O120" t="s">
        <v>40</v>
      </c>
      <c r="P120" t="s">
        <v>383</v>
      </c>
      <c r="Q120">
        <f>_xlfn.XLOOKUP(Table3[[#This Row],[Product Name]],Sales!A:A,Sales!B:B)</f>
        <v>787.53</v>
      </c>
      <c r="R120">
        <f>_xlfn.XLOOKUP(Table3[[#This Row],[Product Name]],Sales!A:A,Sales!C:C)</f>
        <v>3</v>
      </c>
      <c r="S120">
        <f>_xlfn.XLOOKUP(Table3[[#This Row],[Product Name]],Sales!A:A,Sales!D:D)</f>
        <v>0</v>
      </c>
      <c r="T120">
        <f>_xlfn.XLOOKUP(Table3[[#This Row],[Product Name]],Sales!A:A,Sales!E:E)</f>
        <v>165.38130000000001</v>
      </c>
    </row>
    <row r="121" spans="1:20" x14ac:dyDescent="0.3">
      <c r="A121">
        <v>119</v>
      </c>
      <c r="B121" t="s">
        <v>384</v>
      </c>
      <c r="C121">
        <v>5</v>
      </c>
      <c r="D121">
        <v>4</v>
      </c>
      <c r="E121">
        <v>2019</v>
      </c>
      <c r="F121" t="s">
        <v>37</v>
      </c>
      <c r="G121" t="s">
        <v>385</v>
      </c>
      <c r="H121" t="s">
        <v>2665</v>
      </c>
      <c r="I121" t="s">
        <v>30</v>
      </c>
      <c r="J121" t="s">
        <v>2453</v>
      </c>
      <c r="K121" t="s">
        <v>20</v>
      </c>
      <c r="L121">
        <v>37620</v>
      </c>
      <c r="M121" t="s">
        <v>386</v>
      </c>
      <c r="N121" t="s">
        <v>33</v>
      </c>
      <c r="O121" t="s">
        <v>58</v>
      </c>
      <c r="P121" t="s">
        <v>387</v>
      </c>
      <c r="Q121">
        <f>_xlfn.XLOOKUP(Table3[[#This Row],[Product Name]],Sales!A:A,Sales!B:B)</f>
        <v>157.79400000000001</v>
      </c>
      <c r="R121">
        <f>_xlfn.XLOOKUP(Table3[[#This Row],[Product Name]],Sales!A:A,Sales!C:C)</f>
        <v>1</v>
      </c>
      <c r="S121">
        <f>_xlfn.XLOOKUP(Table3[[#This Row],[Product Name]],Sales!A:A,Sales!D:D)</f>
        <v>0.7</v>
      </c>
      <c r="T121">
        <f>_xlfn.XLOOKUP(Table3[[#This Row],[Product Name]],Sales!A:A,Sales!E:E)</f>
        <v>-115.71559999999999</v>
      </c>
    </row>
    <row r="122" spans="1:20" x14ac:dyDescent="0.3">
      <c r="A122">
        <v>120</v>
      </c>
      <c r="B122" t="s">
        <v>388</v>
      </c>
      <c r="C122">
        <v>12</v>
      </c>
      <c r="D122">
        <v>6</v>
      </c>
      <c r="E122">
        <v>2020</v>
      </c>
      <c r="F122" t="s">
        <v>142</v>
      </c>
      <c r="G122" t="s">
        <v>389</v>
      </c>
      <c r="H122" t="s">
        <v>2666</v>
      </c>
      <c r="I122" t="s">
        <v>19</v>
      </c>
      <c r="J122" t="s">
        <v>2454</v>
      </c>
      <c r="K122" t="s">
        <v>108</v>
      </c>
      <c r="L122">
        <v>19805</v>
      </c>
      <c r="M122" t="s">
        <v>390</v>
      </c>
      <c r="N122" t="s">
        <v>22</v>
      </c>
      <c r="O122" t="s">
        <v>48</v>
      </c>
      <c r="P122" t="s">
        <v>391</v>
      </c>
      <c r="Q122">
        <f>_xlfn.XLOOKUP(Table3[[#This Row],[Product Name]],Sales!A:A,Sales!B:B)</f>
        <v>47.04</v>
      </c>
      <c r="R122">
        <f>_xlfn.XLOOKUP(Table3[[#This Row],[Product Name]],Sales!A:A,Sales!C:C)</f>
        <v>3</v>
      </c>
      <c r="S122">
        <f>_xlfn.XLOOKUP(Table3[[#This Row],[Product Name]],Sales!A:A,Sales!D:D)</f>
        <v>0</v>
      </c>
      <c r="T122">
        <f>_xlfn.XLOOKUP(Table3[[#This Row],[Product Name]],Sales!A:A,Sales!E:E)</f>
        <v>18.345600000000001</v>
      </c>
    </row>
    <row r="123" spans="1:20" x14ac:dyDescent="0.3">
      <c r="A123">
        <v>121</v>
      </c>
      <c r="B123" t="s">
        <v>388</v>
      </c>
      <c r="C123">
        <v>12</v>
      </c>
      <c r="D123">
        <v>6</v>
      </c>
      <c r="E123">
        <v>2020</v>
      </c>
      <c r="F123" t="s">
        <v>142</v>
      </c>
      <c r="G123" t="s">
        <v>389</v>
      </c>
      <c r="H123" t="s">
        <v>2666</v>
      </c>
      <c r="I123" t="s">
        <v>19</v>
      </c>
      <c r="J123" t="s">
        <v>2454</v>
      </c>
      <c r="K123" t="s">
        <v>108</v>
      </c>
      <c r="L123">
        <v>19805</v>
      </c>
      <c r="M123" t="s">
        <v>57</v>
      </c>
      <c r="N123" t="s">
        <v>33</v>
      </c>
      <c r="O123" t="s">
        <v>58</v>
      </c>
      <c r="P123" t="s">
        <v>59</v>
      </c>
      <c r="Q123">
        <f>_xlfn.XLOOKUP(Table3[[#This Row],[Product Name]],Sales!A:A,Sales!B:B)</f>
        <v>18.504000000000001</v>
      </c>
      <c r="R123">
        <f>_xlfn.XLOOKUP(Table3[[#This Row],[Product Name]],Sales!A:A,Sales!C:C)</f>
        <v>3</v>
      </c>
      <c r="S123">
        <f>_xlfn.XLOOKUP(Table3[[#This Row],[Product Name]],Sales!A:A,Sales!D:D)</f>
        <v>0.2</v>
      </c>
      <c r="T123">
        <f>_xlfn.XLOOKUP(Table3[[#This Row],[Product Name]],Sales!A:A,Sales!E:E)</f>
        <v>5.7824999999999998</v>
      </c>
    </row>
    <row r="124" spans="1:20" x14ac:dyDescent="0.3">
      <c r="A124">
        <v>122</v>
      </c>
      <c r="B124" t="s">
        <v>388</v>
      </c>
      <c r="C124">
        <v>12</v>
      </c>
      <c r="D124">
        <v>6</v>
      </c>
      <c r="E124">
        <v>2020</v>
      </c>
      <c r="F124" t="s">
        <v>142</v>
      </c>
      <c r="G124" t="s">
        <v>389</v>
      </c>
      <c r="H124" t="s">
        <v>2666</v>
      </c>
      <c r="I124" t="s">
        <v>19</v>
      </c>
      <c r="J124" t="s">
        <v>2454</v>
      </c>
      <c r="K124" t="s">
        <v>108</v>
      </c>
      <c r="L124">
        <v>19805</v>
      </c>
      <c r="M124" t="s">
        <v>392</v>
      </c>
      <c r="N124" t="s">
        <v>33</v>
      </c>
      <c r="O124" t="s">
        <v>43</v>
      </c>
      <c r="P124" t="s">
        <v>393</v>
      </c>
      <c r="Q124">
        <f>_xlfn.XLOOKUP(Table3[[#This Row],[Product Name]],Sales!A:A,Sales!B:B)</f>
        <v>226.56</v>
      </c>
      <c r="R124">
        <f>_xlfn.XLOOKUP(Table3[[#This Row],[Product Name]],Sales!A:A,Sales!C:C)</f>
        <v>6</v>
      </c>
      <c r="S124">
        <f>_xlfn.XLOOKUP(Table3[[#This Row],[Product Name]],Sales!A:A,Sales!D:D)</f>
        <v>0</v>
      </c>
      <c r="T124">
        <f>_xlfn.XLOOKUP(Table3[[#This Row],[Product Name]],Sales!A:A,Sales!E:E)</f>
        <v>63.436799999999998</v>
      </c>
    </row>
    <row r="125" spans="1:20" x14ac:dyDescent="0.3">
      <c r="A125">
        <v>123</v>
      </c>
      <c r="B125" t="s">
        <v>388</v>
      </c>
      <c r="C125">
        <v>12</v>
      </c>
      <c r="D125">
        <v>6</v>
      </c>
      <c r="E125">
        <v>2020</v>
      </c>
      <c r="F125" t="s">
        <v>142</v>
      </c>
      <c r="G125" t="s">
        <v>389</v>
      </c>
      <c r="H125" t="s">
        <v>2666</v>
      </c>
      <c r="I125" t="s">
        <v>19</v>
      </c>
      <c r="J125" t="s">
        <v>2454</v>
      </c>
      <c r="K125" t="s">
        <v>108</v>
      </c>
      <c r="L125">
        <v>19805</v>
      </c>
      <c r="M125" t="s">
        <v>394</v>
      </c>
      <c r="N125" t="s">
        <v>33</v>
      </c>
      <c r="O125" t="s">
        <v>129</v>
      </c>
      <c r="P125" t="s">
        <v>395</v>
      </c>
      <c r="Q125">
        <f>_xlfn.XLOOKUP(Table3[[#This Row],[Product Name]],Sales!A:A,Sales!B:B)</f>
        <v>115.02</v>
      </c>
      <c r="R125">
        <f>_xlfn.XLOOKUP(Table3[[#This Row],[Product Name]],Sales!A:A,Sales!C:C)</f>
        <v>9</v>
      </c>
      <c r="S125">
        <f>_xlfn.XLOOKUP(Table3[[#This Row],[Product Name]],Sales!A:A,Sales!D:D)</f>
        <v>0</v>
      </c>
      <c r="T125">
        <f>_xlfn.XLOOKUP(Table3[[#This Row],[Product Name]],Sales!A:A,Sales!E:E)</f>
        <v>51.759</v>
      </c>
    </row>
    <row r="126" spans="1:20" x14ac:dyDescent="0.3">
      <c r="A126">
        <v>124</v>
      </c>
      <c r="B126" t="s">
        <v>388</v>
      </c>
      <c r="C126">
        <v>12</v>
      </c>
      <c r="D126">
        <v>6</v>
      </c>
      <c r="E126">
        <v>2020</v>
      </c>
      <c r="F126" t="s">
        <v>142</v>
      </c>
      <c r="G126" t="s">
        <v>389</v>
      </c>
      <c r="H126" t="s">
        <v>2666</v>
      </c>
      <c r="I126" t="s">
        <v>19</v>
      </c>
      <c r="J126" t="s">
        <v>2454</v>
      </c>
      <c r="K126" t="s">
        <v>108</v>
      </c>
      <c r="L126">
        <v>19805</v>
      </c>
      <c r="M126" t="s">
        <v>396</v>
      </c>
      <c r="N126" t="s">
        <v>54</v>
      </c>
      <c r="O126" t="s">
        <v>55</v>
      </c>
      <c r="P126" t="s">
        <v>397</v>
      </c>
      <c r="Q126">
        <f>_xlfn.XLOOKUP(Table3[[#This Row],[Product Name]],Sales!A:A,Sales!B:B)</f>
        <v>68.040000000000006</v>
      </c>
      <c r="R126">
        <f>_xlfn.XLOOKUP(Table3[[#This Row],[Product Name]],Sales!A:A,Sales!C:C)</f>
        <v>7</v>
      </c>
      <c r="S126">
        <f>_xlfn.XLOOKUP(Table3[[#This Row],[Product Name]],Sales!A:A,Sales!D:D)</f>
        <v>0</v>
      </c>
      <c r="T126">
        <f>_xlfn.XLOOKUP(Table3[[#This Row],[Product Name]],Sales!A:A,Sales!E:E)</f>
        <v>19.7316</v>
      </c>
    </row>
    <row r="127" spans="1:20" x14ac:dyDescent="0.3">
      <c r="A127">
        <v>125</v>
      </c>
      <c r="B127" t="s">
        <v>398</v>
      </c>
      <c r="C127">
        <v>26</v>
      </c>
      <c r="D127">
        <v>12</v>
      </c>
      <c r="E127">
        <v>2018</v>
      </c>
      <c r="F127" t="s">
        <v>17</v>
      </c>
      <c r="G127" t="s">
        <v>399</v>
      </c>
      <c r="H127" t="s">
        <v>2667</v>
      </c>
      <c r="I127" t="s">
        <v>78</v>
      </c>
      <c r="J127" t="s">
        <v>2426</v>
      </c>
      <c r="K127" t="s">
        <v>79</v>
      </c>
      <c r="L127">
        <v>77041</v>
      </c>
      <c r="M127" t="s">
        <v>400</v>
      </c>
      <c r="N127" t="s">
        <v>22</v>
      </c>
      <c r="O127" t="s">
        <v>26</v>
      </c>
      <c r="P127" t="s">
        <v>401</v>
      </c>
      <c r="Q127">
        <f>_xlfn.XLOOKUP(Table3[[#This Row],[Product Name]],Sales!A:A,Sales!B:B)</f>
        <v>600.55799999999999</v>
      </c>
      <c r="R127">
        <f>_xlfn.XLOOKUP(Table3[[#This Row],[Product Name]],Sales!A:A,Sales!C:C)</f>
        <v>3</v>
      </c>
      <c r="S127">
        <f>_xlfn.XLOOKUP(Table3[[#This Row],[Product Name]],Sales!A:A,Sales!D:D)</f>
        <v>0.3</v>
      </c>
      <c r="T127">
        <f>_xlfn.XLOOKUP(Table3[[#This Row],[Product Name]],Sales!A:A,Sales!E:E)</f>
        <v>-8.5793999999999997</v>
      </c>
    </row>
    <row r="128" spans="1:20" x14ac:dyDescent="0.3">
      <c r="A128">
        <v>126</v>
      </c>
      <c r="B128" t="s">
        <v>402</v>
      </c>
      <c r="C128">
        <v>20</v>
      </c>
      <c r="D128">
        <v>9</v>
      </c>
      <c r="E128">
        <v>2018</v>
      </c>
      <c r="F128" t="s">
        <v>37</v>
      </c>
      <c r="G128" t="s">
        <v>403</v>
      </c>
      <c r="H128" t="s">
        <v>2668</v>
      </c>
      <c r="I128" t="s">
        <v>19</v>
      </c>
      <c r="J128" t="s">
        <v>2455</v>
      </c>
      <c r="K128" t="s">
        <v>79</v>
      </c>
      <c r="L128">
        <v>61701</v>
      </c>
      <c r="M128" t="s">
        <v>404</v>
      </c>
      <c r="N128" t="s">
        <v>22</v>
      </c>
      <c r="O128" t="s">
        <v>40</v>
      </c>
      <c r="P128" t="s">
        <v>405</v>
      </c>
      <c r="Q128">
        <f>_xlfn.XLOOKUP(Table3[[#This Row],[Product Name]],Sales!A:A,Sales!B:B)</f>
        <v>617.70000000000005</v>
      </c>
      <c r="R128">
        <f>_xlfn.XLOOKUP(Table3[[#This Row],[Product Name]],Sales!A:A,Sales!C:C)</f>
        <v>6</v>
      </c>
      <c r="S128">
        <f>_xlfn.XLOOKUP(Table3[[#This Row],[Product Name]],Sales!A:A,Sales!D:D)</f>
        <v>0.5</v>
      </c>
      <c r="T128">
        <f>_xlfn.XLOOKUP(Table3[[#This Row],[Product Name]],Sales!A:A,Sales!E:E)</f>
        <v>-407.68200000000002</v>
      </c>
    </row>
    <row r="129" spans="1:20" x14ac:dyDescent="0.3">
      <c r="A129">
        <v>127</v>
      </c>
      <c r="B129" t="s">
        <v>406</v>
      </c>
      <c r="C129">
        <v>5</v>
      </c>
      <c r="D129">
        <v>11</v>
      </c>
      <c r="E129">
        <v>2021</v>
      </c>
      <c r="F129" t="s">
        <v>37</v>
      </c>
      <c r="G129" t="s">
        <v>407</v>
      </c>
      <c r="H129" t="s">
        <v>2669</v>
      </c>
      <c r="I129" t="s">
        <v>19</v>
      </c>
      <c r="J129" t="s">
        <v>2456</v>
      </c>
      <c r="K129" t="s">
        <v>31</v>
      </c>
      <c r="L129">
        <v>85023</v>
      </c>
      <c r="M129" t="s">
        <v>408</v>
      </c>
      <c r="N129" t="s">
        <v>33</v>
      </c>
      <c r="O129" t="s">
        <v>58</v>
      </c>
      <c r="P129" t="s">
        <v>409</v>
      </c>
      <c r="Q129">
        <f>_xlfn.XLOOKUP(Table3[[#This Row],[Product Name]],Sales!A:A,Sales!B:B)</f>
        <v>2.3879999999999999</v>
      </c>
      <c r="R129">
        <f>_xlfn.XLOOKUP(Table3[[#This Row],[Product Name]],Sales!A:A,Sales!C:C)</f>
        <v>2</v>
      </c>
      <c r="S129">
        <f>_xlfn.XLOOKUP(Table3[[#This Row],[Product Name]],Sales!A:A,Sales!D:D)</f>
        <v>0.7</v>
      </c>
      <c r="T129">
        <f>_xlfn.XLOOKUP(Table3[[#This Row],[Product Name]],Sales!A:A,Sales!E:E)</f>
        <v>-1.8308</v>
      </c>
    </row>
    <row r="130" spans="1:20" x14ac:dyDescent="0.3">
      <c r="A130">
        <v>128</v>
      </c>
      <c r="B130" t="s">
        <v>406</v>
      </c>
      <c r="C130">
        <v>5</v>
      </c>
      <c r="D130">
        <v>11</v>
      </c>
      <c r="E130">
        <v>2021</v>
      </c>
      <c r="F130" t="s">
        <v>37</v>
      </c>
      <c r="G130" t="s">
        <v>407</v>
      </c>
      <c r="H130" t="s">
        <v>2669</v>
      </c>
      <c r="I130" t="s">
        <v>19</v>
      </c>
      <c r="J130" t="s">
        <v>2456</v>
      </c>
      <c r="K130" t="s">
        <v>31</v>
      </c>
      <c r="L130">
        <v>85023</v>
      </c>
      <c r="M130" t="s">
        <v>410</v>
      </c>
      <c r="N130" t="s">
        <v>33</v>
      </c>
      <c r="O130" t="s">
        <v>43</v>
      </c>
      <c r="P130" t="s">
        <v>411</v>
      </c>
      <c r="Q130">
        <f>_xlfn.XLOOKUP(Table3[[#This Row],[Product Name]],Sales!A:A,Sales!B:B)</f>
        <v>243.99199999999999</v>
      </c>
      <c r="R130">
        <f>_xlfn.XLOOKUP(Table3[[#This Row],[Product Name]],Sales!A:A,Sales!C:C)</f>
        <v>7</v>
      </c>
      <c r="S130">
        <f>_xlfn.XLOOKUP(Table3[[#This Row],[Product Name]],Sales!A:A,Sales!D:D)</f>
        <v>0.2</v>
      </c>
      <c r="T130">
        <f>_xlfn.XLOOKUP(Table3[[#This Row],[Product Name]],Sales!A:A,Sales!E:E)</f>
        <v>30.498999999999999</v>
      </c>
    </row>
    <row r="131" spans="1:20" x14ac:dyDescent="0.3">
      <c r="A131">
        <v>129</v>
      </c>
      <c r="B131" t="s">
        <v>412</v>
      </c>
      <c r="C131">
        <v>6</v>
      </c>
      <c r="D131">
        <v>11</v>
      </c>
      <c r="E131">
        <v>2020</v>
      </c>
      <c r="F131" t="s">
        <v>17</v>
      </c>
      <c r="G131" t="s">
        <v>413</v>
      </c>
      <c r="H131" t="s">
        <v>2670</v>
      </c>
      <c r="I131" t="s">
        <v>78</v>
      </c>
      <c r="J131" t="s">
        <v>2415</v>
      </c>
      <c r="K131" t="s">
        <v>31</v>
      </c>
      <c r="L131">
        <v>90004</v>
      </c>
      <c r="M131" t="s">
        <v>229</v>
      </c>
      <c r="N131" t="s">
        <v>22</v>
      </c>
      <c r="O131" t="s">
        <v>26</v>
      </c>
      <c r="P131" t="s">
        <v>414</v>
      </c>
      <c r="Q131">
        <f>_xlfn.XLOOKUP(Table3[[#This Row],[Product Name]],Sales!A:A,Sales!B:B)</f>
        <v>81.424000000000007</v>
      </c>
      <c r="R131">
        <f>_xlfn.XLOOKUP(Table3[[#This Row],[Product Name]],Sales!A:A,Sales!C:C)</f>
        <v>2</v>
      </c>
      <c r="S131">
        <f>_xlfn.XLOOKUP(Table3[[#This Row],[Product Name]],Sales!A:A,Sales!D:D)</f>
        <v>0.2</v>
      </c>
      <c r="T131">
        <f>_xlfn.XLOOKUP(Table3[[#This Row],[Product Name]],Sales!A:A,Sales!E:E)</f>
        <v>-9.1601999999999997</v>
      </c>
    </row>
    <row r="132" spans="1:20" x14ac:dyDescent="0.3">
      <c r="A132">
        <v>130</v>
      </c>
      <c r="B132" t="s">
        <v>412</v>
      </c>
      <c r="C132">
        <v>6</v>
      </c>
      <c r="D132">
        <v>11</v>
      </c>
      <c r="E132">
        <v>2020</v>
      </c>
      <c r="F132" t="s">
        <v>17</v>
      </c>
      <c r="G132" t="s">
        <v>413</v>
      </c>
      <c r="H132" t="s">
        <v>2670</v>
      </c>
      <c r="I132" t="s">
        <v>78</v>
      </c>
      <c r="J132" t="s">
        <v>2415</v>
      </c>
      <c r="K132" t="s">
        <v>31</v>
      </c>
      <c r="L132">
        <v>90004</v>
      </c>
      <c r="M132" t="s">
        <v>415</v>
      </c>
      <c r="N132" t="s">
        <v>22</v>
      </c>
      <c r="O132" t="s">
        <v>48</v>
      </c>
      <c r="P132" t="s">
        <v>416</v>
      </c>
      <c r="Q132">
        <f>_xlfn.XLOOKUP(Table3[[#This Row],[Product Name]],Sales!A:A,Sales!B:B)</f>
        <v>238.56</v>
      </c>
      <c r="R132">
        <f>_xlfn.XLOOKUP(Table3[[#This Row],[Product Name]],Sales!A:A,Sales!C:C)</f>
        <v>3</v>
      </c>
      <c r="S132">
        <f>_xlfn.XLOOKUP(Table3[[#This Row],[Product Name]],Sales!A:A,Sales!D:D)</f>
        <v>0</v>
      </c>
      <c r="T132">
        <f>_xlfn.XLOOKUP(Table3[[#This Row],[Product Name]],Sales!A:A,Sales!E:E)</f>
        <v>26.241599999999998</v>
      </c>
    </row>
    <row r="133" spans="1:20" x14ac:dyDescent="0.3">
      <c r="A133">
        <v>131</v>
      </c>
      <c r="B133" t="s">
        <v>417</v>
      </c>
      <c r="C133">
        <v>2</v>
      </c>
      <c r="D133">
        <v>2</v>
      </c>
      <c r="E133">
        <v>2021</v>
      </c>
      <c r="F133" t="s">
        <v>142</v>
      </c>
      <c r="G133" t="s">
        <v>418</v>
      </c>
      <c r="H133" t="s">
        <v>2671</v>
      </c>
      <c r="I133" t="s">
        <v>30</v>
      </c>
      <c r="J133" t="s">
        <v>2452</v>
      </c>
      <c r="K133" t="s">
        <v>108</v>
      </c>
      <c r="L133">
        <v>43229</v>
      </c>
      <c r="M133" t="s">
        <v>419</v>
      </c>
      <c r="N133" t="s">
        <v>54</v>
      </c>
      <c r="O133" t="s">
        <v>55</v>
      </c>
      <c r="P133" t="s">
        <v>420</v>
      </c>
      <c r="Q133">
        <f>_xlfn.XLOOKUP(Table3[[#This Row],[Product Name]],Sales!A:A,Sales!B:B)</f>
        <v>59.97</v>
      </c>
      <c r="R133">
        <f>_xlfn.XLOOKUP(Table3[[#This Row],[Product Name]],Sales!A:A,Sales!C:C)</f>
        <v>5</v>
      </c>
      <c r="S133">
        <f>_xlfn.XLOOKUP(Table3[[#This Row],[Product Name]],Sales!A:A,Sales!D:D)</f>
        <v>0.4</v>
      </c>
      <c r="T133">
        <f>_xlfn.XLOOKUP(Table3[[#This Row],[Product Name]],Sales!A:A,Sales!E:E)</f>
        <v>-11.994</v>
      </c>
    </row>
    <row r="134" spans="1:20" x14ac:dyDescent="0.3">
      <c r="A134">
        <v>132</v>
      </c>
      <c r="B134" t="s">
        <v>417</v>
      </c>
      <c r="C134">
        <v>2</v>
      </c>
      <c r="D134">
        <v>2</v>
      </c>
      <c r="E134">
        <v>2021</v>
      </c>
      <c r="F134" t="s">
        <v>142</v>
      </c>
      <c r="G134" t="s">
        <v>418</v>
      </c>
      <c r="H134" t="s">
        <v>2671</v>
      </c>
      <c r="I134" t="s">
        <v>30</v>
      </c>
      <c r="J134" t="s">
        <v>2452</v>
      </c>
      <c r="K134" t="s">
        <v>108</v>
      </c>
      <c r="L134">
        <v>43229</v>
      </c>
      <c r="M134" t="s">
        <v>421</v>
      </c>
      <c r="N134" t="s">
        <v>33</v>
      </c>
      <c r="O134" t="s">
        <v>70</v>
      </c>
      <c r="P134" t="s">
        <v>422</v>
      </c>
      <c r="Q134">
        <f>_xlfn.XLOOKUP(Table3[[#This Row],[Product Name]],Sales!A:A,Sales!B:B)</f>
        <v>78.304000000000002</v>
      </c>
      <c r="R134">
        <f>_xlfn.XLOOKUP(Table3[[#This Row],[Product Name]],Sales!A:A,Sales!C:C)</f>
        <v>2</v>
      </c>
      <c r="S134">
        <f>_xlfn.XLOOKUP(Table3[[#This Row],[Product Name]],Sales!A:A,Sales!D:D)</f>
        <v>0.2</v>
      </c>
      <c r="T134">
        <f>_xlfn.XLOOKUP(Table3[[#This Row],[Product Name]],Sales!A:A,Sales!E:E)</f>
        <v>29.364000000000001</v>
      </c>
    </row>
    <row r="135" spans="1:20" x14ac:dyDescent="0.3">
      <c r="A135">
        <v>133</v>
      </c>
      <c r="B135" t="s">
        <v>417</v>
      </c>
      <c r="C135">
        <v>2</v>
      </c>
      <c r="D135">
        <v>2</v>
      </c>
      <c r="E135">
        <v>2021</v>
      </c>
      <c r="F135" t="s">
        <v>142</v>
      </c>
      <c r="G135" t="s">
        <v>418</v>
      </c>
      <c r="H135" t="s">
        <v>2671</v>
      </c>
      <c r="I135" t="s">
        <v>30</v>
      </c>
      <c r="J135" t="s">
        <v>2452</v>
      </c>
      <c r="K135" t="s">
        <v>108</v>
      </c>
      <c r="L135">
        <v>43229</v>
      </c>
      <c r="M135" t="s">
        <v>423</v>
      </c>
      <c r="N135" t="s">
        <v>33</v>
      </c>
      <c r="O135" t="s">
        <v>199</v>
      </c>
      <c r="P135" t="s">
        <v>424</v>
      </c>
      <c r="Q135">
        <f>_xlfn.XLOOKUP(Table3[[#This Row],[Product Name]],Sales!A:A,Sales!B:B)</f>
        <v>21.456</v>
      </c>
      <c r="R135">
        <f>_xlfn.XLOOKUP(Table3[[#This Row],[Product Name]],Sales!A:A,Sales!C:C)</f>
        <v>9</v>
      </c>
      <c r="S135">
        <f>_xlfn.XLOOKUP(Table3[[#This Row],[Product Name]],Sales!A:A,Sales!D:D)</f>
        <v>0.2</v>
      </c>
      <c r="T135">
        <f>_xlfn.XLOOKUP(Table3[[#This Row],[Product Name]],Sales!A:A,Sales!E:E)</f>
        <v>6.9732000000000003</v>
      </c>
    </row>
    <row r="136" spans="1:20" x14ac:dyDescent="0.3">
      <c r="A136">
        <v>134</v>
      </c>
      <c r="B136" t="s">
        <v>425</v>
      </c>
      <c r="C136">
        <v>13</v>
      </c>
      <c r="D136">
        <v>10</v>
      </c>
      <c r="E136">
        <v>2020</v>
      </c>
      <c r="F136" t="s">
        <v>37</v>
      </c>
      <c r="G136" t="s">
        <v>426</v>
      </c>
      <c r="H136" t="s">
        <v>2672</v>
      </c>
      <c r="I136" t="s">
        <v>19</v>
      </c>
      <c r="J136" t="s">
        <v>2457</v>
      </c>
      <c r="K136" t="s">
        <v>31</v>
      </c>
      <c r="L136">
        <v>95661</v>
      </c>
      <c r="M136" t="s">
        <v>427</v>
      </c>
      <c r="N136" t="s">
        <v>33</v>
      </c>
      <c r="O136" t="s">
        <v>70</v>
      </c>
      <c r="P136" t="s">
        <v>428</v>
      </c>
      <c r="Q136">
        <f>_xlfn.XLOOKUP(Table3[[#This Row],[Product Name]],Sales!A:A,Sales!B:B)</f>
        <v>20.04</v>
      </c>
      <c r="R136">
        <f>_xlfn.XLOOKUP(Table3[[#This Row],[Product Name]],Sales!A:A,Sales!C:C)</f>
        <v>3</v>
      </c>
      <c r="S136">
        <f>_xlfn.XLOOKUP(Table3[[#This Row],[Product Name]],Sales!A:A,Sales!D:D)</f>
        <v>0</v>
      </c>
      <c r="T136">
        <f>_xlfn.XLOOKUP(Table3[[#This Row],[Product Name]],Sales!A:A,Sales!E:E)</f>
        <v>9.6191999999999993</v>
      </c>
    </row>
    <row r="137" spans="1:20" x14ac:dyDescent="0.3">
      <c r="A137">
        <v>135</v>
      </c>
      <c r="B137" t="s">
        <v>425</v>
      </c>
      <c r="C137">
        <v>13</v>
      </c>
      <c r="D137">
        <v>10</v>
      </c>
      <c r="E137">
        <v>2020</v>
      </c>
      <c r="F137" t="s">
        <v>37</v>
      </c>
      <c r="G137" t="s">
        <v>426</v>
      </c>
      <c r="H137" t="s">
        <v>2672</v>
      </c>
      <c r="I137" t="s">
        <v>19</v>
      </c>
      <c r="J137" t="s">
        <v>2457</v>
      </c>
      <c r="K137" t="s">
        <v>31</v>
      </c>
      <c r="L137">
        <v>95661</v>
      </c>
      <c r="M137" t="s">
        <v>429</v>
      </c>
      <c r="N137" t="s">
        <v>33</v>
      </c>
      <c r="O137" t="s">
        <v>70</v>
      </c>
      <c r="P137" t="s">
        <v>430</v>
      </c>
      <c r="Q137">
        <f>_xlfn.XLOOKUP(Table3[[#This Row],[Product Name]],Sales!A:A,Sales!B:B)</f>
        <v>35.44</v>
      </c>
      <c r="R137">
        <f>_xlfn.XLOOKUP(Table3[[#This Row],[Product Name]],Sales!A:A,Sales!C:C)</f>
        <v>1</v>
      </c>
      <c r="S137">
        <f>_xlfn.XLOOKUP(Table3[[#This Row],[Product Name]],Sales!A:A,Sales!D:D)</f>
        <v>0</v>
      </c>
      <c r="T137">
        <f>_xlfn.XLOOKUP(Table3[[#This Row],[Product Name]],Sales!A:A,Sales!E:E)</f>
        <v>16.6568</v>
      </c>
    </row>
    <row r="138" spans="1:20" x14ac:dyDescent="0.3">
      <c r="A138">
        <v>136</v>
      </c>
      <c r="B138" t="s">
        <v>425</v>
      </c>
      <c r="C138">
        <v>13</v>
      </c>
      <c r="D138">
        <v>10</v>
      </c>
      <c r="E138">
        <v>2020</v>
      </c>
      <c r="F138" t="s">
        <v>37</v>
      </c>
      <c r="G138" t="s">
        <v>426</v>
      </c>
      <c r="H138" t="s">
        <v>2672</v>
      </c>
      <c r="I138" t="s">
        <v>19</v>
      </c>
      <c r="J138" t="s">
        <v>2457</v>
      </c>
      <c r="K138" t="s">
        <v>31</v>
      </c>
      <c r="L138">
        <v>95661</v>
      </c>
      <c r="M138" t="s">
        <v>431</v>
      </c>
      <c r="N138" t="s">
        <v>33</v>
      </c>
      <c r="O138" t="s">
        <v>51</v>
      </c>
      <c r="P138" t="s">
        <v>432</v>
      </c>
      <c r="Q138">
        <f>_xlfn.XLOOKUP(Table3[[#This Row],[Product Name]],Sales!A:A,Sales!B:B)</f>
        <v>11.52</v>
      </c>
      <c r="R138">
        <f>_xlfn.XLOOKUP(Table3[[#This Row],[Product Name]],Sales!A:A,Sales!C:C)</f>
        <v>4</v>
      </c>
      <c r="S138">
        <f>_xlfn.XLOOKUP(Table3[[#This Row],[Product Name]],Sales!A:A,Sales!D:D)</f>
        <v>0</v>
      </c>
      <c r="T138">
        <f>_xlfn.XLOOKUP(Table3[[#This Row],[Product Name]],Sales!A:A,Sales!E:E)</f>
        <v>3.456</v>
      </c>
    </row>
    <row r="139" spans="1:20" x14ac:dyDescent="0.3">
      <c r="A139">
        <v>137</v>
      </c>
      <c r="B139" t="s">
        <v>425</v>
      </c>
      <c r="C139">
        <v>13</v>
      </c>
      <c r="D139">
        <v>10</v>
      </c>
      <c r="E139">
        <v>2020</v>
      </c>
      <c r="F139" t="s">
        <v>37</v>
      </c>
      <c r="G139" t="s">
        <v>426</v>
      </c>
      <c r="H139" t="s">
        <v>2672</v>
      </c>
      <c r="I139" t="s">
        <v>19</v>
      </c>
      <c r="J139" t="s">
        <v>2457</v>
      </c>
      <c r="K139" t="s">
        <v>31</v>
      </c>
      <c r="L139">
        <v>95661</v>
      </c>
      <c r="M139" t="s">
        <v>433</v>
      </c>
      <c r="N139" t="s">
        <v>33</v>
      </c>
      <c r="O139" t="s">
        <v>199</v>
      </c>
      <c r="P139" t="s">
        <v>434</v>
      </c>
      <c r="Q139">
        <f>_xlfn.XLOOKUP(Table3[[#This Row],[Product Name]],Sales!A:A,Sales!B:B)</f>
        <v>4.0199999999999996</v>
      </c>
      <c r="R139">
        <f>_xlfn.XLOOKUP(Table3[[#This Row],[Product Name]],Sales!A:A,Sales!C:C)</f>
        <v>2</v>
      </c>
      <c r="S139">
        <f>_xlfn.XLOOKUP(Table3[[#This Row],[Product Name]],Sales!A:A,Sales!D:D)</f>
        <v>0</v>
      </c>
      <c r="T139">
        <f>_xlfn.XLOOKUP(Table3[[#This Row],[Product Name]],Sales!A:A,Sales!E:E)</f>
        <v>1.9698</v>
      </c>
    </row>
    <row r="140" spans="1:20" x14ac:dyDescent="0.3">
      <c r="A140">
        <v>138</v>
      </c>
      <c r="B140" t="s">
        <v>425</v>
      </c>
      <c r="C140">
        <v>13</v>
      </c>
      <c r="D140">
        <v>10</v>
      </c>
      <c r="E140">
        <v>2020</v>
      </c>
      <c r="F140" t="s">
        <v>37</v>
      </c>
      <c r="G140" t="s">
        <v>426</v>
      </c>
      <c r="H140" t="s">
        <v>2672</v>
      </c>
      <c r="I140" t="s">
        <v>19</v>
      </c>
      <c r="J140" t="s">
        <v>2457</v>
      </c>
      <c r="K140" t="s">
        <v>31</v>
      </c>
      <c r="L140">
        <v>95661</v>
      </c>
      <c r="M140" t="s">
        <v>435</v>
      </c>
      <c r="N140" t="s">
        <v>33</v>
      </c>
      <c r="O140" t="s">
        <v>58</v>
      </c>
      <c r="P140" t="s">
        <v>436</v>
      </c>
      <c r="Q140">
        <f>_xlfn.XLOOKUP(Table3[[#This Row],[Product Name]],Sales!A:A,Sales!B:B)</f>
        <v>76.176000000000002</v>
      </c>
      <c r="R140">
        <f>_xlfn.XLOOKUP(Table3[[#This Row],[Product Name]],Sales!A:A,Sales!C:C)</f>
        <v>3</v>
      </c>
      <c r="S140">
        <f>_xlfn.XLOOKUP(Table3[[#This Row],[Product Name]],Sales!A:A,Sales!D:D)</f>
        <v>0.2</v>
      </c>
      <c r="T140">
        <f>_xlfn.XLOOKUP(Table3[[#This Row],[Product Name]],Sales!A:A,Sales!E:E)</f>
        <v>26.6616</v>
      </c>
    </row>
    <row r="141" spans="1:20" x14ac:dyDescent="0.3">
      <c r="A141">
        <v>139</v>
      </c>
      <c r="B141" t="s">
        <v>425</v>
      </c>
      <c r="C141">
        <v>13</v>
      </c>
      <c r="D141">
        <v>10</v>
      </c>
      <c r="E141">
        <v>2020</v>
      </c>
      <c r="F141" t="s">
        <v>37</v>
      </c>
      <c r="G141" t="s">
        <v>426</v>
      </c>
      <c r="H141" t="s">
        <v>2672</v>
      </c>
      <c r="I141" t="s">
        <v>19</v>
      </c>
      <c r="J141" t="s">
        <v>2457</v>
      </c>
      <c r="K141" t="s">
        <v>31</v>
      </c>
      <c r="L141">
        <v>95661</v>
      </c>
      <c r="M141" t="s">
        <v>437</v>
      </c>
      <c r="N141" t="s">
        <v>33</v>
      </c>
      <c r="O141" t="s">
        <v>438</v>
      </c>
      <c r="P141" t="s">
        <v>439</v>
      </c>
      <c r="Q141">
        <f>_xlfn.XLOOKUP(Table3[[#This Row],[Product Name]],Sales!A:A,Sales!B:B)</f>
        <v>65.88</v>
      </c>
      <c r="R141">
        <f>_xlfn.XLOOKUP(Table3[[#This Row],[Product Name]],Sales!A:A,Sales!C:C)</f>
        <v>6</v>
      </c>
      <c r="S141">
        <f>_xlfn.XLOOKUP(Table3[[#This Row],[Product Name]],Sales!A:A,Sales!D:D)</f>
        <v>0</v>
      </c>
      <c r="T141">
        <f>_xlfn.XLOOKUP(Table3[[#This Row],[Product Name]],Sales!A:A,Sales!E:E)</f>
        <v>18.446400000000001</v>
      </c>
    </row>
    <row r="142" spans="1:20" x14ac:dyDescent="0.3">
      <c r="A142">
        <v>140</v>
      </c>
      <c r="B142" t="s">
        <v>425</v>
      </c>
      <c r="C142">
        <v>13</v>
      </c>
      <c r="D142">
        <v>10</v>
      </c>
      <c r="E142">
        <v>2020</v>
      </c>
      <c r="F142" t="s">
        <v>37</v>
      </c>
      <c r="G142" t="s">
        <v>426</v>
      </c>
      <c r="H142" t="s">
        <v>2672</v>
      </c>
      <c r="I142" t="s">
        <v>19</v>
      </c>
      <c r="J142" t="s">
        <v>2457</v>
      </c>
      <c r="K142" t="s">
        <v>31</v>
      </c>
      <c r="L142">
        <v>95661</v>
      </c>
      <c r="M142" t="s">
        <v>192</v>
      </c>
      <c r="N142" t="s">
        <v>22</v>
      </c>
      <c r="O142" t="s">
        <v>48</v>
      </c>
      <c r="P142" t="s">
        <v>193</v>
      </c>
      <c r="Q142">
        <f>_xlfn.XLOOKUP(Table3[[#This Row],[Product Name]],Sales!A:A,Sales!B:B)</f>
        <v>6.16</v>
      </c>
      <c r="R142">
        <f>_xlfn.XLOOKUP(Table3[[#This Row],[Product Name]],Sales!A:A,Sales!C:C)</f>
        <v>2</v>
      </c>
      <c r="S142">
        <f>_xlfn.XLOOKUP(Table3[[#This Row],[Product Name]],Sales!A:A,Sales!D:D)</f>
        <v>0</v>
      </c>
      <c r="T142">
        <f>_xlfn.XLOOKUP(Table3[[#This Row],[Product Name]],Sales!A:A,Sales!E:E)</f>
        <v>2.9567999999999999</v>
      </c>
    </row>
    <row r="143" spans="1:20" x14ac:dyDescent="0.3">
      <c r="A143">
        <v>141</v>
      </c>
      <c r="B143" t="s">
        <v>440</v>
      </c>
      <c r="C143">
        <v>5</v>
      </c>
      <c r="D143">
        <v>9</v>
      </c>
      <c r="E143">
        <v>2020</v>
      </c>
      <c r="F143" t="s">
        <v>17</v>
      </c>
      <c r="G143" t="s">
        <v>441</v>
      </c>
      <c r="H143" t="s">
        <v>2673</v>
      </c>
      <c r="I143" t="s">
        <v>30</v>
      </c>
      <c r="J143" t="s">
        <v>2424</v>
      </c>
      <c r="K143" t="s">
        <v>108</v>
      </c>
      <c r="L143">
        <v>19140</v>
      </c>
      <c r="M143" t="s">
        <v>126</v>
      </c>
      <c r="N143" t="s">
        <v>22</v>
      </c>
      <c r="O143" t="s">
        <v>48</v>
      </c>
      <c r="P143" t="s">
        <v>127</v>
      </c>
      <c r="Q143">
        <f>_xlfn.XLOOKUP(Table3[[#This Row],[Product Name]],Sales!A:A,Sales!B:B)</f>
        <v>124.2</v>
      </c>
      <c r="R143">
        <f>_xlfn.XLOOKUP(Table3[[#This Row],[Product Name]],Sales!A:A,Sales!C:C)</f>
        <v>3</v>
      </c>
      <c r="S143">
        <f>_xlfn.XLOOKUP(Table3[[#This Row],[Product Name]],Sales!A:A,Sales!D:D)</f>
        <v>0.2</v>
      </c>
      <c r="T143">
        <f>_xlfn.XLOOKUP(Table3[[#This Row],[Product Name]],Sales!A:A,Sales!E:E)</f>
        <v>15.525</v>
      </c>
    </row>
    <row r="144" spans="1:20" x14ac:dyDescent="0.3">
      <c r="A144">
        <v>142</v>
      </c>
      <c r="B144" t="s">
        <v>442</v>
      </c>
      <c r="C144">
        <v>18</v>
      </c>
      <c r="D144">
        <v>9</v>
      </c>
      <c r="E144">
        <v>2021</v>
      </c>
      <c r="F144" t="s">
        <v>37</v>
      </c>
      <c r="G144" t="s">
        <v>443</v>
      </c>
      <c r="H144" t="s">
        <v>2674</v>
      </c>
      <c r="I144" t="s">
        <v>30</v>
      </c>
      <c r="J144" t="s">
        <v>2422</v>
      </c>
      <c r="K144" t="s">
        <v>31</v>
      </c>
      <c r="L144">
        <v>94122</v>
      </c>
      <c r="M144" t="s">
        <v>444</v>
      </c>
      <c r="N144" t="s">
        <v>33</v>
      </c>
      <c r="O144" t="s">
        <v>51</v>
      </c>
      <c r="P144" t="s">
        <v>445</v>
      </c>
      <c r="Q144">
        <f>_xlfn.XLOOKUP(Table3[[#This Row],[Product Name]],Sales!A:A,Sales!B:B)</f>
        <v>8.82</v>
      </c>
      <c r="R144">
        <f>_xlfn.XLOOKUP(Table3[[#This Row],[Product Name]],Sales!A:A,Sales!C:C)</f>
        <v>3</v>
      </c>
      <c r="S144">
        <f>_xlfn.XLOOKUP(Table3[[#This Row],[Product Name]],Sales!A:A,Sales!D:D)</f>
        <v>0</v>
      </c>
      <c r="T144">
        <f>_xlfn.XLOOKUP(Table3[[#This Row],[Product Name]],Sales!A:A,Sales!E:E)</f>
        <v>2.3814000000000002</v>
      </c>
    </row>
    <row r="145" spans="1:20" x14ac:dyDescent="0.3">
      <c r="A145">
        <v>143</v>
      </c>
      <c r="B145" t="s">
        <v>442</v>
      </c>
      <c r="C145">
        <v>18</v>
      </c>
      <c r="D145">
        <v>9</v>
      </c>
      <c r="E145">
        <v>2021</v>
      </c>
      <c r="F145" t="s">
        <v>37</v>
      </c>
      <c r="G145" t="s">
        <v>443</v>
      </c>
      <c r="H145" t="s">
        <v>2674</v>
      </c>
      <c r="I145" t="s">
        <v>30</v>
      </c>
      <c r="J145" t="s">
        <v>2422</v>
      </c>
      <c r="K145" t="s">
        <v>31</v>
      </c>
      <c r="L145">
        <v>94122</v>
      </c>
      <c r="M145" t="s">
        <v>446</v>
      </c>
      <c r="N145" t="s">
        <v>33</v>
      </c>
      <c r="O145" t="s">
        <v>129</v>
      </c>
      <c r="P145" t="s">
        <v>447</v>
      </c>
      <c r="Q145">
        <f>_xlfn.XLOOKUP(Table3[[#This Row],[Product Name]],Sales!A:A,Sales!B:B)</f>
        <v>10.86</v>
      </c>
      <c r="R145">
        <f>_xlfn.XLOOKUP(Table3[[#This Row],[Product Name]],Sales!A:A,Sales!C:C)</f>
        <v>3</v>
      </c>
      <c r="S145">
        <f>_xlfn.XLOOKUP(Table3[[#This Row],[Product Name]],Sales!A:A,Sales!D:D)</f>
        <v>0</v>
      </c>
      <c r="T145">
        <f>_xlfn.XLOOKUP(Table3[[#This Row],[Product Name]],Sales!A:A,Sales!E:E)</f>
        <v>5.1041999999999996</v>
      </c>
    </row>
    <row r="146" spans="1:20" x14ac:dyDescent="0.3">
      <c r="A146">
        <v>144</v>
      </c>
      <c r="B146" t="s">
        <v>442</v>
      </c>
      <c r="C146">
        <v>18</v>
      </c>
      <c r="D146">
        <v>9</v>
      </c>
      <c r="E146">
        <v>2021</v>
      </c>
      <c r="F146" t="s">
        <v>37</v>
      </c>
      <c r="G146" t="s">
        <v>443</v>
      </c>
      <c r="H146" t="s">
        <v>2674</v>
      </c>
      <c r="I146" t="s">
        <v>30</v>
      </c>
      <c r="J146" t="s">
        <v>2422</v>
      </c>
      <c r="K146" t="s">
        <v>31</v>
      </c>
      <c r="L146">
        <v>94122</v>
      </c>
      <c r="M146" t="s">
        <v>448</v>
      </c>
      <c r="N146" t="s">
        <v>33</v>
      </c>
      <c r="O146" t="s">
        <v>70</v>
      </c>
      <c r="P146" t="s">
        <v>449</v>
      </c>
      <c r="Q146">
        <f>_xlfn.XLOOKUP(Table3[[#This Row],[Product Name]],Sales!A:A,Sales!B:B)</f>
        <v>143.69999999999999</v>
      </c>
      <c r="R146">
        <f>_xlfn.XLOOKUP(Table3[[#This Row],[Product Name]],Sales!A:A,Sales!C:C)</f>
        <v>3</v>
      </c>
      <c r="S146">
        <f>_xlfn.XLOOKUP(Table3[[#This Row],[Product Name]],Sales!A:A,Sales!D:D)</f>
        <v>0</v>
      </c>
      <c r="T146">
        <f>_xlfn.XLOOKUP(Table3[[#This Row],[Product Name]],Sales!A:A,Sales!E:E)</f>
        <v>68.975999999999999</v>
      </c>
    </row>
    <row r="147" spans="1:20" x14ac:dyDescent="0.3">
      <c r="A147">
        <v>145</v>
      </c>
      <c r="B147" t="s">
        <v>450</v>
      </c>
      <c r="C147">
        <v>22</v>
      </c>
      <c r="D147">
        <v>12</v>
      </c>
      <c r="E147">
        <v>2021</v>
      </c>
      <c r="F147" t="s">
        <v>37</v>
      </c>
      <c r="G147" t="s">
        <v>451</v>
      </c>
      <c r="H147" t="s">
        <v>2675</v>
      </c>
      <c r="I147" t="s">
        <v>19</v>
      </c>
      <c r="J147" t="s">
        <v>2458</v>
      </c>
      <c r="K147" t="s">
        <v>79</v>
      </c>
      <c r="L147">
        <v>64055</v>
      </c>
      <c r="M147" t="s">
        <v>452</v>
      </c>
      <c r="N147" t="s">
        <v>33</v>
      </c>
      <c r="O147" t="s">
        <v>61</v>
      </c>
      <c r="P147" t="s">
        <v>453</v>
      </c>
      <c r="Q147">
        <f>_xlfn.XLOOKUP(Table3[[#This Row],[Product Name]],Sales!A:A,Sales!B:B)</f>
        <v>839.43</v>
      </c>
      <c r="R147">
        <f>_xlfn.XLOOKUP(Table3[[#This Row],[Product Name]],Sales!A:A,Sales!C:C)</f>
        <v>3</v>
      </c>
      <c r="S147">
        <f>_xlfn.XLOOKUP(Table3[[#This Row],[Product Name]],Sales!A:A,Sales!D:D)</f>
        <v>0</v>
      </c>
      <c r="T147">
        <f>_xlfn.XLOOKUP(Table3[[#This Row],[Product Name]],Sales!A:A,Sales!E:E)</f>
        <v>218.2518</v>
      </c>
    </row>
    <row r="148" spans="1:20" x14ac:dyDescent="0.3">
      <c r="A148">
        <v>146</v>
      </c>
      <c r="B148" t="s">
        <v>454</v>
      </c>
      <c r="C148">
        <v>7</v>
      </c>
      <c r="D148">
        <v>9</v>
      </c>
      <c r="E148">
        <v>2019</v>
      </c>
      <c r="F148" t="s">
        <v>37</v>
      </c>
      <c r="G148" t="s">
        <v>455</v>
      </c>
      <c r="H148" t="s">
        <v>2676</v>
      </c>
      <c r="I148" t="s">
        <v>19</v>
      </c>
      <c r="J148" t="s">
        <v>2459</v>
      </c>
      <c r="K148" t="s">
        <v>31</v>
      </c>
      <c r="L148">
        <v>91104</v>
      </c>
      <c r="M148" t="s">
        <v>284</v>
      </c>
      <c r="N148" t="s">
        <v>33</v>
      </c>
      <c r="O148" t="s">
        <v>43</v>
      </c>
      <c r="P148" t="s">
        <v>285</v>
      </c>
      <c r="Q148">
        <f>_xlfn.XLOOKUP(Table3[[#This Row],[Product Name]],Sales!A:A,Sales!B:B)</f>
        <v>230.376</v>
      </c>
      <c r="R148">
        <f>_xlfn.XLOOKUP(Table3[[#This Row],[Product Name]],Sales!A:A,Sales!C:C)</f>
        <v>3</v>
      </c>
      <c r="S148">
        <f>_xlfn.XLOOKUP(Table3[[#This Row],[Product Name]],Sales!A:A,Sales!D:D)</f>
        <v>0.2</v>
      </c>
      <c r="T148">
        <f>_xlfn.XLOOKUP(Table3[[#This Row],[Product Name]],Sales!A:A,Sales!E:E)</f>
        <v>-48.954900000000002</v>
      </c>
    </row>
    <row r="149" spans="1:20" x14ac:dyDescent="0.3">
      <c r="A149">
        <v>147</v>
      </c>
      <c r="B149" t="s">
        <v>456</v>
      </c>
      <c r="C149">
        <v>22</v>
      </c>
      <c r="D149">
        <v>10</v>
      </c>
      <c r="E149">
        <v>2018</v>
      </c>
      <c r="F149" t="s">
        <v>37</v>
      </c>
      <c r="G149" t="s">
        <v>457</v>
      </c>
      <c r="H149" t="s">
        <v>2677</v>
      </c>
      <c r="I149" t="s">
        <v>78</v>
      </c>
      <c r="J149" t="s">
        <v>2460</v>
      </c>
      <c r="K149" t="s">
        <v>108</v>
      </c>
      <c r="L149">
        <v>43055</v>
      </c>
      <c r="M149" t="s">
        <v>458</v>
      </c>
      <c r="N149" t="s">
        <v>22</v>
      </c>
      <c r="O149" t="s">
        <v>48</v>
      </c>
      <c r="P149" t="s">
        <v>459</v>
      </c>
      <c r="Q149">
        <f>_xlfn.XLOOKUP(Table3[[#This Row],[Product Name]],Sales!A:A,Sales!B:B)</f>
        <v>93.888000000000005</v>
      </c>
      <c r="R149">
        <f>_xlfn.XLOOKUP(Table3[[#This Row],[Product Name]],Sales!A:A,Sales!C:C)</f>
        <v>4</v>
      </c>
      <c r="S149">
        <f>_xlfn.XLOOKUP(Table3[[#This Row],[Product Name]],Sales!A:A,Sales!D:D)</f>
        <v>0.2</v>
      </c>
      <c r="T149">
        <f>_xlfn.XLOOKUP(Table3[[#This Row],[Product Name]],Sales!A:A,Sales!E:E)</f>
        <v>12.909599999999999</v>
      </c>
    </row>
    <row r="150" spans="1:20" x14ac:dyDescent="0.3">
      <c r="A150">
        <v>148</v>
      </c>
      <c r="B150" t="s">
        <v>460</v>
      </c>
      <c r="C150">
        <v>5</v>
      </c>
      <c r="D150">
        <v>12</v>
      </c>
      <c r="E150">
        <v>2020</v>
      </c>
      <c r="F150" t="s">
        <v>37</v>
      </c>
      <c r="G150" t="s">
        <v>461</v>
      </c>
      <c r="H150" t="s">
        <v>2678</v>
      </c>
      <c r="I150" t="s">
        <v>30</v>
      </c>
      <c r="J150" t="s">
        <v>2461</v>
      </c>
      <c r="K150" t="s">
        <v>79</v>
      </c>
      <c r="L150">
        <v>53132</v>
      </c>
      <c r="M150" t="s">
        <v>462</v>
      </c>
      <c r="N150" t="s">
        <v>54</v>
      </c>
      <c r="O150" t="s">
        <v>55</v>
      </c>
      <c r="P150" t="s">
        <v>463</v>
      </c>
      <c r="Q150">
        <f>_xlfn.XLOOKUP(Table3[[#This Row],[Product Name]],Sales!A:A,Sales!B:B)</f>
        <v>384.45</v>
      </c>
      <c r="R150">
        <f>_xlfn.XLOOKUP(Table3[[#This Row],[Product Name]],Sales!A:A,Sales!C:C)</f>
        <v>11</v>
      </c>
      <c r="S150">
        <f>_xlfn.XLOOKUP(Table3[[#This Row],[Product Name]],Sales!A:A,Sales!D:D)</f>
        <v>0</v>
      </c>
      <c r="T150">
        <f>_xlfn.XLOOKUP(Table3[[#This Row],[Product Name]],Sales!A:A,Sales!E:E)</f>
        <v>103.8015</v>
      </c>
    </row>
    <row r="151" spans="1:20" x14ac:dyDescent="0.3">
      <c r="A151">
        <v>149</v>
      </c>
      <c r="B151" t="s">
        <v>460</v>
      </c>
      <c r="C151">
        <v>5</v>
      </c>
      <c r="D151">
        <v>12</v>
      </c>
      <c r="E151">
        <v>2020</v>
      </c>
      <c r="F151" t="s">
        <v>37</v>
      </c>
      <c r="G151" t="s">
        <v>461</v>
      </c>
      <c r="H151" t="s">
        <v>2678</v>
      </c>
      <c r="I151" t="s">
        <v>30</v>
      </c>
      <c r="J151" t="s">
        <v>2461</v>
      </c>
      <c r="K151" t="s">
        <v>79</v>
      </c>
      <c r="L151">
        <v>53132</v>
      </c>
      <c r="M151" t="s">
        <v>464</v>
      </c>
      <c r="N151" t="s">
        <v>54</v>
      </c>
      <c r="O151" t="s">
        <v>55</v>
      </c>
      <c r="P151" t="s">
        <v>465</v>
      </c>
      <c r="Q151">
        <f>_xlfn.XLOOKUP(Table3[[#This Row],[Product Name]],Sales!A:A,Sales!B:B)</f>
        <v>149.97</v>
      </c>
      <c r="R151">
        <f>_xlfn.XLOOKUP(Table3[[#This Row],[Product Name]],Sales!A:A,Sales!C:C)</f>
        <v>3</v>
      </c>
      <c r="S151">
        <f>_xlfn.XLOOKUP(Table3[[#This Row],[Product Name]],Sales!A:A,Sales!D:D)</f>
        <v>0</v>
      </c>
      <c r="T151">
        <f>_xlfn.XLOOKUP(Table3[[#This Row],[Product Name]],Sales!A:A,Sales!E:E)</f>
        <v>5.9988000000000001</v>
      </c>
    </row>
    <row r="152" spans="1:20" x14ac:dyDescent="0.3">
      <c r="A152">
        <v>150</v>
      </c>
      <c r="B152" t="s">
        <v>460</v>
      </c>
      <c r="C152">
        <v>5</v>
      </c>
      <c r="D152">
        <v>12</v>
      </c>
      <c r="E152">
        <v>2020</v>
      </c>
      <c r="F152" t="s">
        <v>37</v>
      </c>
      <c r="G152" t="s">
        <v>461</v>
      </c>
      <c r="H152" t="s">
        <v>2678</v>
      </c>
      <c r="I152" t="s">
        <v>30</v>
      </c>
      <c r="J152" t="s">
        <v>2461</v>
      </c>
      <c r="K152" t="s">
        <v>79</v>
      </c>
      <c r="L152">
        <v>53132</v>
      </c>
      <c r="M152" t="s">
        <v>25</v>
      </c>
      <c r="N152" t="s">
        <v>22</v>
      </c>
      <c r="O152" t="s">
        <v>26</v>
      </c>
      <c r="P152" t="s">
        <v>27</v>
      </c>
      <c r="Q152">
        <f>_xlfn.XLOOKUP(Table3[[#This Row],[Product Name]],Sales!A:A,Sales!B:B)</f>
        <v>731.94</v>
      </c>
      <c r="R152">
        <f>_xlfn.XLOOKUP(Table3[[#This Row],[Product Name]],Sales!A:A,Sales!C:C)</f>
        <v>3</v>
      </c>
      <c r="S152">
        <f>_xlfn.XLOOKUP(Table3[[#This Row],[Product Name]],Sales!A:A,Sales!D:D)</f>
        <v>0</v>
      </c>
      <c r="T152">
        <f>_xlfn.XLOOKUP(Table3[[#This Row],[Product Name]],Sales!A:A,Sales!E:E)</f>
        <v>219.58199999999999</v>
      </c>
    </row>
    <row r="153" spans="1:20" x14ac:dyDescent="0.3">
      <c r="A153">
        <v>151</v>
      </c>
      <c r="B153" t="s">
        <v>460</v>
      </c>
      <c r="C153">
        <v>5</v>
      </c>
      <c r="D153">
        <v>12</v>
      </c>
      <c r="E153">
        <v>2020</v>
      </c>
      <c r="F153" t="s">
        <v>37</v>
      </c>
      <c r="G153" t="s">
        <v>461</v>
      </c>
      <c r="H153" t="s">
        <v>2678</v>
      </c>
      <c r="I153" t="s">
        <v>30</v>
      </c>
      <c r="J153" t="s">
        <v>2461</v>
      </c>
      <c r="K153" t="s">
        <v>79</v>
      </c>
      <c r="L153">
        <v>53132</v>
      </c>
      <c r="M153" t="s">
        <v>466</v>
      </c>
      <c r="N153" t="s">
        <v>33</v>
      </c>
      <c r="O153" t="s">
        <v>58</v>
      </c>
      <c r="P153" t="s">
        <v>467</v>
      </c>
      <c r="Q153">
        <f>_xlfn.XLOOKUP(Table3[[#This Row],[Product Name]],Sales!A:A,Sales!B:B)</f>
        <v>171.55</v>
      </c>
      <c r="R153">
        <f>_xlfn.XLOOKUP(Table3[[#This Row],[Product Name]],Sales!A:A,Sales!C:C)</f>
        <v>5</v>
      </c>
      <c r="S153">
        <f>_xlfn.XLOOKUP(Table3[[#This Row],[Product Name]],Sales!A:A,Sales!D:D)</f>
        <v>0</v>
      </c>
      <c r="T153">
        <f>_xlfn.XLOOKUP(Table3[[#This Row],[Product Name]],Sales!A:A,Sales!E:E)</f>
        <v>80.628500000000003</v>
      </c>
    </row>
    <row r="154" spans="1:20" x14ac:dyDescent="0.3">
      <c r="A154">
        <v>152</v>
      </c>
      <c r="B154" t="s">
        <v>468</v>
      </c>
      <c r="C154">
        <v>13</v>
      </c>
      <c r="D154">
        <v>3</v>
      </c>
      <c r="E154">
        <v>2020</v>
      </c>
      <c r="F154" t="s">
        <v>142</v>
      </c>
      <c r="G154" t="s">
        <v>469</v>
      </c>
      <c r="H154" t="s">
        <v>2679</v>
      </c>
      <c r="I154" t="s">
        <v>78</v>
      </c>
      <c r="J154" t="s">
        <v>2462</v>
      </c>
      <c r="K154" t="s">
        <v>31</v>
      </c>
      <c r="L154">
        <v>85254</v>
      </c>
      <c r="M154" t="s">
        <v>470</v>
      </c>
      <c r="N154" t="s">
        <v>33</v>
      </c>
      <c r="O154" t="s">
        <v>61</v>
      </c>
      <c r="P154" t="s">
        <v>471</v>
      </c>
      <c r="Q154">
        <f>_xlfn.XLOOKUP(Table3[[#This Row],[Product Name]],Sales!A:A,Sales!B:B)</f>
        <v>157.91999999999999</v>
      </c>
      <c r="R154">
        <f>_xlfn.XLOOKUP(Table3[[#This Row],[Product Name]],Sales!A:A,Sales!C:C)</f>
        <v>5</v>
      </c>
      <c r="S154">
        <f>_xlfn.XLOOKUP(Table3[[#This Row],[Product Name]],Sales!A:A,Sales!D:D)</f>
        <v>0.2</v>
      </c>
      <c r="T154">
        <f>_xlfn.XLOOKUP(Table3[[#This Row],[Product Name]],Sales!A:A,Sales!E:E)</f>
        <v>17.765999999999998</v>
      </c>
    </row>
    <row r="155" spans="1:20" x14ac:dyDescent="0.3">
      <c r="A155">
        <v>153</v>
      </c>
      <c r="B155" t="s">
        <v>468</v>
      </c>
      <c r="C155">
        <v>13</v>
      </c>
      <c r="D155">
        <v>3</v>
      </c>
      <c r="E155">
        <v>2020</v>
      </c>
      <c r="F155" t="s">
        <v>142</v>
      </c>
      <c r="G155" t="s">
        <v>469</v>
      </c>
      <c r="H155" t="s">
        <v>2679</v>
      </c>
      <c r="I155" t="s">
        <v>78</v>
      </c>
      <c r="J155" t="s">
        <v>2462</v>
      </c>
      <c r="K155" t="s">
        <v>31</v>
      </c>
      <c r="L155">
        <v>85254</v>
      </c>
      <c r="M155" t="s">
        <v>472</v>
      </c>
      <c r="N155" t="s">
        <v>54</v>
      </c>
      <c r="O155" t="s">
        <v>55</v>
      </c>
      <c r="P155" t="s">
        <v>473</v>
      </c>
      <c r="Q155">
        <f>_xlfn.XLOOKUP(Table3[[#This Row],[Product Name]],Sales!A:A,Sales!B:B)</f>
        <v>203.184</v>
      </c>
      <c r="R155">
        <f>_xlfn.XLOOKUP(Table3[[#This Row],[Product Name]],Sales!A:A,Sales!C:C)</f>
        <v>2</v>
      </c>
      <c r="S155">
        <f>_xlfn.XLOOKUP(Table3[[#This Row],[Product Name]],Sales!A:A,Sales!D:D)</f>
        <v>0.2</v>
      </c>
      <c r="T155">
        <f>_xlfn.XLOOKUP(Table3[[#This Row],[Product Name]],Sales!A:A,Sales!E:E)</f>
        <v>15.238799999999999</v>
      </c>
    </row>
    <row r="156" spans="1:20" x14ac:dyDescent="0.3">
      <c r="A156">
        <v>154</v>
      </c>
      <c r="B156" t="s">
        <v>474</v>
      </c>
      <c r="C156">
        <v>31</v>
      </c>
      <c r="D156">
        <v>5</v>
      </c>
      <c r="E156">
        <v>2019</v>
      </c>
      <c r="F156" t="s">
        <v>142</v>
      </c>
      <c r="G156" t="s">
        <v>475</v>
      </c>
      <c r="H156" t="s">
        <v>2680</v>
      </c>
      <c r="I156" t="s">
        <v>30</v>
      </c>
      <c r="J156" t="s">
        <v>2463</v>
      </c>
      <c r="K156" t="s">
        <v>31</v>
      </c>
      <c r="L156">
        <v>95123</v>
      </c>
      <c r="M156" t="s">
        <v>476</v>
      </c>
      <c r="N156" t="s">
        <v>33</v>
      </c>
      <c r="O156" t="s">
        <v>70</v>
      </c>
      <c r="P156" t="s">
        <v>477</v>
      </c>
      <c r="Q156">
        <f>_xlfn.XLOOKUP(Table3[[#This Row],[Product Name]],Sales!A:A,Sales!B:B)</f>
        <v>58.38</v>
      </c>
      <c r="R156">
        <f>_xlfn.XLOOKUP(Table3[[#This Row],[Product Name]],Sales!A:A,Sales!C:C)</f>
        <v>7</v>
      </c>
      <c r="S156">
        <f>_xlfn.XLOOKUP(Table3[[#This Row],[Product Name]],Sales!A:A,Sales!D:D)</f>
        <v>0</v>
      </c>
      <c r="T156">
        <f>_xlfn.XLOOKUP(Table3[[#This Row],[Product Name]],Sales!A:A,Sales!E:E)</f>
        <v>26.271000000000001</v>
      </c>
    </row>
    <row r="157" spans="1:20" x14ac:dyDescent="0.3">
      <c r="A157">
        <v>155</v>
      </c>
      <c r="B157" t="s">
        <v>474</v>
      </c>
      <c r="C157">
        <v>31</v>
      </c>
      <c r="D157">
        <v>5</v>
      </c>
      <c r="E157">
        <v>2019</v>
      </c>
      <c r="F157" t="s">
        <v>142</v>
      </c>
      <c r="G157" t="s">
        <v>475</v>
      </c>
      <c r="H157" t="s">
        <v>2680</v>
      </c>
      <c r="I157" t="s">
        <v>30</v>
      </c>
      <c r="J157" t="s">
        <v>2463</v>
      </c>
      <c r="K157" t="s">
        <v>31</v>
      </c>
      <c r="L157">
        <v>95123</v>
      </c>
      <c r="M157" t="s">
        <v>478</v>
      </c>
      <c r="N157" t="s">
        <v>33</v>
      </c>
      <c r="O157" t="s">
        <v>70</v>
      </c>
      <c r="P157" t="s">
        <v>479</v>
      </c>
      <c r="Q157">
        <f>_xlfn.XLOOKUP(Table3[[#This Row],[Product Name]],Sales!A:A,Sales!B:B)</f>
        <v>105.52</v>
      </c>
      <c r="R157">
        <f>_xlfn.XLOOKUP(Table3[[#This Row],[Product Name]],Sales!A:A,Sales!C:C)</f>
        <v>4</v>
      </c>
      <c r="S157">
        <f>_xlfn.XLOOKUP(Table3[[#This Row],[Product Name]],Sales!A:A,Sales!D:D)</f>
        <v>0</v>
      </c>
      <c r="T157">
        <f>_xlfn.XLOOKUP(Table3[[#This Row],[Product Name]],Sales!A:A,Sales!E:E)</f>
        <v>48.539200000000001</v>
      </c>
    </row>
    <row r="158" spans="1:20" x14ac:dyDescent="0.3">
      <c r="A158">
        <v>156</v>
      </c>
      <c r="B158" t="s">
        <v>474</v>
      </c>
      <c r="C158">
        <v>31</v>
      </c>
      <c r="D158">
        <v>5</v>
      </c>
      <c r="E158">
        <v>2019</v>
      </c>
      <c r="F158" t="s">
        <v>142</v>
      </c>
      <c r="G158" t="s">
        <v>475</v>
      </c>
      <c r="H158" t="s">
        <v>2680</v>
      </c>
      <c r="I158" t="s">
        <v>30</v>
      </c>
      <c r="J158" t="s">
        <v>2463</v>
      </c>
      <c r="K158" t="s">
        <v>31</v>
      </c>
      <c r="L158">
        <v>95123</v>
      </c>
      <c r="M158" t="s">
        <v>480</v>
      </c>
      <c r="N158" t="s">
        <v>33</v>
      </c>
      <c r="O158" t="s">
        <v>43</v>
      </c>
      <c r="P158" t="s">
        <v>481</v>
      </c>
      <c r="Q158">
        <f>_xlfn.XLOOKUP(Table3[[#This Row],[Product Name]],Sales!A:A,Sales!B:B)</f>
        <v>80.88</v>
      </c>
      <c r="R158">
        <f>_xlfn.XLOOKUP(Table3[[#This Row],[Product Name]],Sales!A:A,Sales!C:C)</f>
        <v>6</v>
      </c>
      <c r="S158">
        <f>_xlfn.XLOOKUP(Table3[[#This Row],[Product Name]],Sales!A:A,Sales!D:D)</f>
        <v>0</v>
      </c>
      <c r="T158">
        <f>_xlfn.XLOOKUP(Table3[[#This Row],[Product Name]],Sales!A:A,Sales!E:E)</f>
        <v>21.0288</v>
      </c>
    </row>
    <row r="159" spans="1:20" x14ac:dyDescent="0.3">
      <c r="A159">
        <v>157</v>
      </c>
      <c r="B159" t="s">
        <v>482</v>
      </c>
      <c r="C159">
        <v>28</v>
      </c>
      <c r="D159">
        <v>5</v>
      </c>
      <c r="E159">
        <v>2019</v>
      </c>
      <c r="F159" t="s">
        <v>37</v>
      </c>
      <c r="G159" t="s">
        <v>483</v>
      </c>
      <c r="H159" t="s">
        <v>2681</v>
      </c>
      <c r="I159" t="s">
        <v>78</v>
      </c>
      <c r="J159" t="s">
        <v>2418</v>
      </c>
      <c r="K159" t="s">
        <v>31</v>
      </c>
      <c r="L159">
        <v>98105</v>
      </c>
      <c r="M159" t="s">
        <v>484</v>
      </c>
      <c r="N159" t="s">
        <v>33</v>
      </c>
      <c r="O159" t="s">
        <v>51</v>
      </c>
      <c r="P159" t="s">
        <v>485</v>
      </c>
      <c r="Q159">
        <f>_xlfn.XLOOKUP(Table3[[#This Row],[Product Name]],Sales!A:A,Sales!B:B)</f>
        <v>6.63</v>
      </c>
      <c r="R159">
        <f>_xlfn.XLOOKUP(Table3[[#This Row],[Product Name]],Sales!A:A,Sales!C:C)</f>
        <v>3</v>
      </c>
      <c r="S159">
        <f>_xlfn.XLOOKUP(Table3[[#This Row],[Product Name]],Sales!A:A,Sales!D:D)</f>
        <v>0</v>
      </c>
      <c r="T159">
        <f>_xlfn.XLOOKUP(Table3[[#This Row],[Product Name]],Sales!A:A,Sales!E:E)</f>
        <v>1.7901</v>
      </c>
    </row>
    <row r="160" spans="1:20" x14ac:dyDescent="0.3">
      <c r="A160">
        <v>158</v>
      </c>
      <c r="B160" t="s">
        <v>486</v>
      </c>
      <c r="C160">
        <v>1</v>
      </c>
      <c r="D160">
        <v>3</v>
      </c>
      <c r="E160">
        <v>2018</v>
      </c>
      <c r="F160" t="s">
        <v>17</v>
      </c>
      <c r="G160" t="s">
        <v>487</v>
      </c>
      <c r="H160" t="s">
        <v>2682</v>
      </c>
      <c r="I160" t="s">
        <v>19</v>
      </c>
      <c r="J160" t="s">
        <v>2418</v>
      </c>
      <c r="K160" t="s">
        <v>31</v>
      </c>
      <c r="L160">
        <v>98115</v>
      </c>
      <c r="M160" t="s">
        <v>400</v>
      </c>
      <c r="N160" t="s">
        <v>22</v>
      </c>
      <c r="O160" t="s">
        <v>26</v>
      </c>
      <c r="P160" t="s">
        <v>401</v>
      </c>
      <c r="Q160">
        <f>_xlfn.XLOOKUP(Table3[[#This Row],[Product Name]],Sales!A:A,Sales!B:B)</f>
        <v>600.55799999999999</v>
      </c>
      <c r="R160">
        <f>_xlfn.XLOOKUP(Table3[[#This Row],[Product Name]],Sales!A:A,Sales!C:C)</f>
        <v>3</v>
      </c>
      <c r="S160">
        <f>_xlfn.XLOOKUP(Table3[[#This Row],[Product Name]],Sales!A:A,Sales!D:D)</f>
        <v>0.3</v>
      </c>
      <c r="T160">
        <f>_xlfn.XLOOKUP(Table3[[#This Row],[Product Name]],Sales!A:A,Sales!E:E)</f>
        <v>-8.5793999999999997</v>
      </c>
    </row>
    <row r="161" spans="1:20" x14ac:dyDescent="0.3">
      <c r="A161">
        <v>159</v>
      </c>
      <c r="B161" t="s">
        <v>488</v>
      </c>
      <c r="C161">
        <v>20</v>
      </c>
      <c r="D161">
        <v>11</v>
      </c>
      <c r="E161">
        <v>2020</v>
      </c>
      <c r="F161" t="s">
        <v>37</v>
      </c>
      <c r="G161" t="s">
        <v>489</v>
      </c>
      <c r="H161" t="s">
        <v>2683</v>
      </c>
      <c r="I161" t="s">
        <v>19</v>
      </c>
      <c r="J161" t="s">
        <v>2464</v>
      </c>
      <c r="K161" t="s">
        <v>79</v>
      </c>
      <c r="L161">
        <v>73034</v>
      </c>
      <c r="M161" t="s">
        <v>490</v>
      </c>
      <c r="N161" t="s">
        <v>33</v>
      </c>
      <c r="O161" t="s">
        <v>34</v>
      </c>
      <c r="P161" t="s">
        <v>491</v>
      </c>
      <c r="Q161">
        <f>_xlfn.XLOOKUP(Table3[[#This Row],[Product Name]],Sales!A:A,Sales!B:B)</f>
        <v>14.62</v>
      </c>
      <c r="R161">
        <f>_xlfn.XLOOKUP(Table3[[#This Row],[Product Name]],Sales!A:A,Sales!C:C)</f>
        <v>2</v>
      </c>
      <c r="S161">
        <f>_xlfn.XLOOKUP(Table3[[#This Row],[Product Name]],Sales!A:A,Sales!D:D)</f>
        <v>0</v>
      </c>
      <c r="T161">
        <f>_xlfn.XLOOKUP(Table3[[#This Row],[Product Name]],Sales!A:A,Sales!E:E)</f>
        <v>6.8714000000000004</v>
      </c>
    </row>
    <row r="162" spans="1:20" x14ac:dyDescent="0.3">
      <c r="A162">
        <v>160</v>
      </c>
      <c r="B162" t="s">
        <v>488</v>
      </c>
      <c r="C162">
        <v>20</v>
      </c>
      <c r="D162">
        <v>11</v>
      </c>
      <c r="E162">
        <v>2020</v>
      </c>
      <c r="F162" t="s">
        <v>37</v>
      </c>
      <c r="G162" t="s">
        <v>489</v>
      </c>
      <c r="H162" t="s">
        <v>2683</v>
      </c>
      <c r="I162" t="s">
        <v>19</v>
      </c>
      <c r="J162" t="s">
        <v>2464</v>
      </c>
      <c r="K162" t="s">
        <v>79</v>
      </c>
      <c r="L162">
        <v>73034</v>
      </c>
      <c r="M162" t="s">
        <v>492</v>
      </c>
      <c r="N162" t="s">
        <v>54</v>
      </c>
      <c r="O162" t="s">
        <v>55</v>
      </c>
      <c r="P162" t="s">
        <v>493</v>
      </c>
      <c r="Q162">
        <f>_xlfn.XLOOKUP(Table3[[#This Row],[Product Name]],Sales!A:A,Sales!B:B)</f>
        <v>944.93</v>
      </c>
      <c r="R162">
        <f>_xlfn.XLOOKUP(Table3[[#This Row],[Product Name]],Sales!A:A,Sales!C:C)</f>
        <v>7</v>
      </c>
      <c r="S162">
        <f>_xlfn.XLOOKUP(Table3[[#This Row],[Product Name]],Sales!A:A,Sales!D:D)</f>
        <v>0</v>
      </c>
      <c r="T162">
        <f>_xlfn.XLOOKUP(Table3[[#This Row],[Product Name]],Sales!A:A,Sales!E:E)</f>
        <v>236.23249999999999</v>
      </c>
    </row>
    <row r="163" spans="1:20" x14ac:dyDescent="0.3">
      <c r="A163">
        <v>161</v>
      </c>
      <c r="B163" t="s">
        <v>494</v>
      </c>
      <c r="C163">
        <v>11</v>
      </c>
      <c r="D163">
        <v>5</v>
      </c>
      <c r="E163">
        <v>2020</v>
      </c>
      <c r="F163" t="s">
        <v>142</v>
      </c>
      <c r="G163" t="s">
        <v>495</v>
      </c>
      <c r="H163" t="s">
        <v>2684</v>
      </c>
      <c r="I163" t="s">
        <v>19</v>
      </c>
      <c r="J163" t="s">
        <v>2415</v>
      </c>
      <c r="K163" t="s">
        <v>31</v>
      </c>
      <c r="L163">
        <v>90045</v>
      </c>
      <c r="M163" t="s">
        <v>496</v>
      </c>
      <c r="N163" t="s">
        <v>33</v>
      </c>
      <c r="O163" t="s">
        <v>70</v>
      </c>
      <c r="P163" t="s">
        <v>497</v>
      </c>
      <c r="Q163">
        <f>_xlfn.XLOOKUP(Table3[[#This Row],[Product Name]],Sales!A:A,Sales!B:B)</f>
        <v>5.98</v>
      </c>
      <c r="R163">
        <f>_xlfn.XLOOKUP(Table3[[#This Row],[Product Name]],Sales!A:A,Sales!C:C)</f>
        <v>1</v>
      </c>
      <c r="S163">
        <f>_xlfn.XLOOKUP(Table3[[#This Row],[Product Name]],Sales!A:A,Sales!D:D)</f>
        <v>0</v>
      </c>
      <c r="T163">
        <f>_xlfn.XLOOKUP(Table3[[#This Row],[Product Name]],Sales!A:A,Sales!E:E)</f>
        <v>2.6909999999999998</v>
      </c>
    </row>
    <row r="164" spans="1:20" x14ac:dyDescent="0.3">
      <c r="A164">
        <v>162</v>
      </c>
      <c r="B164" t="s">
        <v>498</v>
      </c>
      <c r="C164">
        <v>28</v>
      </c>
      <c r="D164">
        <v>12</v>
      </c>
      <c r="E164">
        <v>2019</v>
      </c>
      <c r="F164" t="s">
        <v>17</v>
      </c>
      <c r="G164" t="s">
        <v>499</v>
      </c>
      <c r="H164" t="s">
        <v>2685</v>
      </c>
      <c r="I164" t="s">
        <v>19</v>
      </c>
      <c r="J164" t="s">
        <v>2424</v>
      </c>
      <c r="K164" t="s">
        <v>108</v>
      </c>
      <c r="L164">
        <v>19134</v>
      </c>
      <c r="M164" t="s">
        <v>500</v>
      </c>
      <c r="N164" t="s">
        <v>54</v>
      </c>
      <c r="O164" t="s">
        <v>118</v>
      </c>
      <c r="P164" t="s">
        <v>501</v>
      </c>
      <c r="Q164">
        <f>_xlfn.XLOOKUP(Table3[[#This Row],[Product Name]],Sales!A:A,Sales!B:B)</f>
        <v>54.384</v>
      </c>
      <c r="R164">
        <f>_xlfn.XLOOKUP(Table3[[#This Row],[Product Name]],Sales!A:A,Sales!C:C)</f>
        <v>2</v>
      </c>
      <c r="S164">
        <f>_xlfn.XLOOKUP(Table3[[#This Row],[Product Name]],Sales!A:A,Sales!D:D)</f>
        <v>0.2</v>
      </c>
      <c r="T164">
        <f>_xlfn.XLOOKUP(Table3[[#This Row],[Product Name]],Sales!A:A,Sales!E:E)</f>
        <v>1.3595999999999999</v>
      </c>
    </row>
    <row r="165" spans="1:20" x14ac:dyDescent="0.3">
      <c r="A165">
        <v>163</v>
      </c>
      <c r="B165" t="s">
        <v>502</v>
      </c>
      <c r="C165">
        <v>16</v>
      </c>
      <c r="D165">
        <v>11</v>
      </c>
      <c r="E165">
        <v>2020</v>
      </c>
      <c r="F165" t="s">
        <v>37</v>
      </c>
      <c r="G165" t="s">
        <v>503</v>
      </c>
      <c r="H165" t="s">
        <v>2686</v>
      </c>
      <c r="I165" t="s">
        <v>19</v>
      </c>
      <c r="J165" t="s">
        <v>2465</v>
      </c>
      <c r="K165" t="s">
        <v>31</v>
      </c>
      <c r="L165">
        <v>88220</v>
      </c>
      <c r="M165" t="s">
        <v>504</v>
      </c>
      <c r="N165" t="s">
        <v>33</v>
      </c>
      <c r="O165" t="s">
        <v>129</v>
      </c>
      <c r="P165" t="s">
        <v>505</v>
      </c>
      <c r="Q165">
        <f>_xlfn.XLOOKUP(Table3[[#This Row],[Product Name]],Sales!A:A,Sales!B:B)</f>
        <v>28.4</v>
      </c>
      <c r="R165">
        <f>_xlfn.XLOOKUP(Table3[[#This Row],[Product Name]],Sales!A:A,Sales!C:C)</f>
        <v>5</v>
      </c>
      <c r="S165">
        <f>_xlfn.XLOOKUP(Table3[[#This Row],[Product Name]],Sales!A:A,Sales!D:D)</f>
        <v>0</v>
      </c>
      <c r="T165">
        <f>_xlfn.XLOOKUP(Table3[[#This Row],[Product Name]],Sales!A:A,Sales!E:E)</f>
        <v>13.348000000000001</v>
      </c>
    </row>
    <row r="166" spans="1:20" x14ac:dyDescent="0.3">
      <c r="A166">
        <v>164</v>
      </c>
      <c r="B166" t="s">
        <v>506</v>
      </c>
      <c r="C166">
        <v>7</v>
      </c>
      <c r="D166">
        <v>11</v>
      </c>
      <c r="E166">
        <v>2020</v>
      </c>
      <c r="F166" t="s">
        <v>37</v>
      </c>
      <c r="G166" t="s">
        <v>507</v>
      </c>
      <c r="H166" t="s">
        <v>2687</v>
      </c>
      <c r="I166" t="s">
        <v>19</v>
      </c>
      <c r="J166" t="s">
        <v>2418</v>
      </c>
      <c r="K166" t="s">
        <v>31</v>
      </c>
      <c r="L166">
        <v>98115</v>
      </c>
      <c r="M166" t="s">
        <v>508</v>
      </c>
      <c r="N166" t="s">
        <v>33</v>
      </c>
      <c r="O166" t="s">
        <v>58</v>
      </c>
      <c r="P166" t="s">
        <v>509</v>
      </c>
      <c r="Q166">
        <f>_xlfn.XLOOKUP(Table3[[#This Row],[Product Name]],Sales!A:A,Sales!B:B)</f>
        <v>27.68</v>
      </c>
      <c r="R166">
        <f>_xlfn.XLOOKUP(Table3[[#This Row],[Product Name]],Sales!A:A,Sales!C:C)</f>
        <v>2</v>
      </c>
      <c r="S166">
        <f>_xlfn.XLOOKUP(Table3[[#This Row],[Product Name]],Sales!A:A,Sales!D:D)</f>
        <v>0.2</v>
      </c>
      <c r="T166">
        <f>_xlfn.XLOOKUP(Table3[[#This Row],[Product Name]],Sales!A:A,Sales!E:E)</f>
        <v>9.6880000000000006</v>
      </c>
    </row>
    <row r="167" spans="1:20" x14ac:dyDescent="0.3">
      <c r="A167">
        <v>165</v>
      </c>
      <c r="B167" t="s">
        <v>510</v>
      </c>
      <c r="C167">
        <v>8</v>
      </c>
      <c r="D167">
        <v>9</v>
      </c>
      <c r="E167">
        <v>2018</v>
      </c>
      <c r="F167" t="s">
        <v>37</v>
      </c>
      <c r="G167" t="s">
        <v>511</v>
      </c>
      <c r="H167" t="s">
        <v>2688</v>
      </c>
      <c r="I167" t="s">
        <v>19</v>
      </c>
      <c r="J167" t="s">
        <v>2466</v>
      </c>
      <c r="K167" t="s">
        <v>79</v>
      </c>
      <c r="L167">
        <v>78207</v>
      </c>
      <c r="M167" t="s">
        <v>512</v>
      </c>
      <c r="N167" t="s">
        <v>33</v>
      </c>
      <c r="O167" t="s">
        <v>51</v>
      </c>
      <c r="P167" t="s">
        <v>513</v>
      </c>
      <c r="Q167">
        <f>_xlfn.XLOOKUP(Table3[[#This Row],[Product Name]],Sales!A:A,Sales!B:B)</f>
        <v>9.9359999999999999</v>
      </c>
      <c r="R167">
        <f>_xlfn.XLOOKUP(Table3[[#This Row],[Product Name]],Sales!A:A,Sales!C:C)</f>
        <v>3</v>
      </c>
      <c r="S167">
        <f>_xlfn.XLOOKUP(Table3[[#This Row],[Product Name]],Sales!A:A,Sales!D:D)</f>
        <v>0.2</v>
      </c>
      <c r="T167">
        <f>_xlfn.XLOOKUP(Table3[[#This Row],[Product Name]],Sales!A:A,Sales!E:E)</f>
        <v>2.7324000000000002</v>
      </c>
    </row>
    <row r="168" spans="1:20" x14ac:dyDescent="0.3">
      <c r="A168">
        <v>166</v>
      </c>
      <c r="B168" t="s">
        <v>510</v>
      </c>
      <c r="C168">
        <v>8</v>
      </c>
      <c r="D168">
        <v>9</v>
      </c>
      <c r="E168">
        <v>2018</v>
      </c>
      <c r="F168" t="s">
        <v>37</v>
      </c>
      <c r="G168" t="s">
        <v>511</v>
      </c>
      <c r="H168" t="s">
        <v>2688</v>
      </c>
      <c r="I168" t="s">
        <v>19</v>
      </c>
      <c r="J168" t="s">
        <v>2466</v>
      </c>
      <c r="K168" t="s">
        <v>79</v>
      </c>
      <c r="L168">
        <v>78207</v>
      </c>
      <c r="M168" t="s">
        <v>514</v>
      </c>
      <c r="N168" t="s">
        <v>54</v>
      </c>
      <c r="O168" t="s">
        <v>515</v>
      </c>
      <c r="P168" t="s">
        <v>516</v>
      </c>
      <c r="Q168">
        <f>_xlfn.XLOOKUP(Table3[[#This Row],[Product Name]],Sales!A:A,Sales!B:B)</f>
        <v>8159.9520000000002</v>
      </c>
      <c r="R168">
        <f>_xlfn.XLOOKUP(Table3[[#This Row],[Product Name]],Sales!A:A,Sales!C:C)</f>
        <v>8</v>
      </c>
      <c r="S168">
        <f>_xlfn.XLOOKUP(Table3[[#This Row],[Product Name]],Sales!A:A,Sales!D:D)</f>
        <v>0.4</v>
      </c>
      <c r="T168">
        <f>_xlfn.XLOOKUP(Table3[[#This Row],[Product Name]],Sales!A:A,Sales!E:E)</f>
        <v>-1359.992</v>
      </c>
    </row>
    <row r="169" spans="1:20" x14ac:dyDescent="0.3">
      <c r="A169">
        <v>167</v>
      </c>
      <c r="B169" t="s">
        <v>510</v>
      </c>
      <c r="C169">
        <v>8</v>
      </c>
      <c r="D169">
        <v>9</v>
      </c>
      <c r="E169">
        <v>2018</v>
      </c>
      <c r="F169" t="s">
        <v>37</v>
      </c>
      <c r="G169" t="s">
        <v>511</v>
      </c>
      <c r="H169" t="s">
        <v>2688</v>
      </c>
      <c r="I169" t="s">
        <v>19</v>
      </c>
      <c r="J169" t="s">
        <v>2466</v>
      </c>
      <c r="K169" t="s">
        <v>79</v>
      </c>
      <c r="L169">
        <v>78207</v>
      </c>
      <c r="M169" t="s">
        <v>517</v>
      </c>
      <c r="N169" t="s">
        <v>33</v>
      </c>
      <c r="O169" t="s">
        <v>43</v>
      </c>
      <c r="P169" t="s">
        <v>518</v>
      </c>
      <c r="Q169">
        <f>_xlfn.XLOOKUP(Table3[[#This Row],[Product Name]],Sales!A:A,Sales!B:B)</f>
        <v>275.928</v>
      </c>
      <c r="R169">
        <f>_xlfn.XLOOKUP(Table3[[#This Row],[Product Name]],Sales!A:A,Sales!C:C)</f>
        <v>3</v>
      </c>
      <c r="S169">
        <f>_xlfn.XLOOKUP(Table3[[#This Row],[Product Name]],Sales!A:A,Sales!D:D)</f>
        <v>0.2</v>
      </c>
      <c r="T169">
        <f>_xlfn.XLOOKUP(Table3[[#This Row],[Product Name]],Sales!A:A,Sales!E:E)</f>
        <v>-58.634700000000002</v>
      </c>
    </row>
    <row r="170" spans="1:20" x14ac:dyDescent="0.3">
      <c r="A170">
        <v>168</v>
      </c>
      <c r="B170" t="s">
        <v>510</v>
      </c>
      <c r="C170">
        <v>8</v>
      </c>
      <c r="D170">
        <v>9</v>
      </c>
      <c r="E170">
        <v>2018</v>
      </c>
      <c r="F170" t="s">
        <v>37</v>
      </c>
      <c r="G170" t="s">
        <v>511</v>
      </c>
      <c r="H170" t="s">
        <v>2688</v>
      </c>
      <c r="I170" t="s">
        <v>19</v>
      </c>
      <c r="J170" t="s">
        <v>2466</v>
      </c>
      <c r="K170" t="s">
        <v>79</v>
      </c>
      <c r="L170">
        <v>78207</v>
      </c>
      <c r="M170" t="s">
        <v>519</v>
      </c>
      <c r="N170" t="s">
        <v>22</v>
      </c>
      <c r="O170" t="s">
        <v>26</v>
      </c>
      <c r="P170" t="s">
        <v>520</v>
      </c>
      <c r="Q170">
        <f>_xlfn.XLOOKUP(Table3[[#This Row],[Product Name]],Sales!A:A,Sales!B:B)</f>
        <v>1740.06</v>
      </c>
      <c r="R170">
        <f>_xlfn.XLOOKUP(Table3[[#This Row],[Product Name]],Sales!A:A,Sales!C:C)</f>
        <v>9</v>
      </c>
      <c r="S170">
        <f>_xlfn.XLOOKUP(Table3[[#This Row],[Product Name]],Sales!A:A,Sales!D:D)</f>
        <v>0.3</v>
      </c>
      <c r="T170">
        <f>_xlfn.XLOOKUP(Table3[[#This Row],[Product Name]],Sales!A:A,Sales!E:E)</f>
        <v>-24.858000000000001</v>
      </c>
    </row>
    <row r="171" spans="1:20" x14ac:dyDescent="0.3">
      <c r="A171">
        <v>169</v>
      </c>
      <c r="B171" t="s">
        <v>510</v>
      </c>
      <c r="C171">
        <v>8</v>
      </c>
      <c r="D171">
        <v>9</v>
      </c>
      <c r="E171">
        <v>2018</v>
      </c>
      <c r="F171" t="s">
        <v>37</v>
      </c>
      <c r="G171" t="s">
        <v>511</v>
      </c>
      <c r="H171" t="s">
        <v>2688</v>
      </c>
      <c r="I171" t="s">
        <v>19</v>
      </c>
      <c r="J171" t="s">
        <v>2466</v>
      </c>
      <c r="K171" t="s">
        <v>79</v>
      </c>
      <c r="L171">
        <v>78207</v>
      </c>
      <c r="M171" t="s">
        <v>521</v>
      </c>
      <c r="N171" t="s">
        <v>33</v>
      </c>
      <c r="O171" t="s">
        <v>51</v>
      </c>
      <c r="P171" t="s">
        <v>522</v>
      </c>
      <c r="Q171">
        <f>_xlfn.XLOOKUP(Table3[[#This Row],[Product Name]],Sales!A:A,Sales!B:B)</f>
        <v>32.064</v>
      </c>
      <c r="R171">
        <f>_xlfn.XLOOKUP(Table3[[#This Row],[Product Name]],Sales!A:A,Sales!C:C)</f>
        <v>6</v>
      </c>
      <c r="S171">
        <f>_xlfn.XLOOKUP(Table3[[#This Row],[Product Name]],Sales!A:A,Sales!D:D)</f>
        <v>0.2</v>
      </c>
      <c r="T171">
        <f>_xlfn.XLOOKUP(Table3[[#This Row],[Product Name]],Sales!A:A,Sales!E:E)</f>
        <v>6.8136000000000001</v>
      </c>
    </row>
    <row r="172" spans="1:20" x14ac:dyDescent="0.3">
      <c r="A172">
        <v>170</v>
      </c>
      <c r="B172" t="s">
        <v>510</v>
      </c>
      <c r="C172">
        <v>8</v>
      </c>
      <c r="D172">
        <v>9</v>
      </c>
      <c r="E172">
        <v>2018</v>
      </c>
      <c r="F172" t="s">
        <v>37</v>
      </c>
      <c r="G172" t="s">
        <v>511</v>
      </c>
      <c r="H172" t="s">
        <v>2688</v>
      </c>
      <c r="I172" t="s">
        <v>19</v>
      </c>
      <c r="J172" t="s">
        <v>2466</v>
      </c>
      <c r="K172" t="s">
        <v>79</v>
      </c>
      <c r="L172">
        <v>78207</v>
      </c>
      <c r="M172" t="s">
        <v>523</v>
      </c>
      <c r="N172" t="s">
        <v>33</v>
      </c>
      <c r="O172" t="s">
        <v>61</v>
      </c>
      <c r="P172" t="s">
        <v>524</v>
      </c>
      <c r="Q172">
        <f>_xlfn.XLOOKUP(Table3[[#This Row],[Product Name]],Sales!A:A,Sales!B:B)</f>
        <v>177.98</v>
      </c>
      <c r="R172">
        <f>_xlfn.XLOOKUP(Table3[[#This Row],[Product Name]],Sales!A:A,Sales!C:C)</f>
        <v>5</v>
      </c>
      <c r="S172">
        <f>_xlfn.XLOOKUP(Table3[[#This Row],[Product Name]],Sales!A:A,Sales!D:D)</f>
        <v>0.8</v>
      </c>
      <c r="T172">
        <f>_xlfn.XLOOKUP(Table3[[#This Row],[Product Name]],Sales!A:A,Sales!E:E)</f>
        <v>-453.84899999999999</v>
      </c>
    </row>
    <row r="173" spans="1:20" x14ac:dyDescent="0.3">
      <c r="A173">
        <v>171</v>
      </c>
      <c r="B173" t="s">
        <v>510</v>
      </c>
      <c r="C173">
        <v>8</v>
      </c>
      <c r="D173">
        <v>9</v>
      </c>
      <c r="E173">
        <v>2018</v>
      </c>
      <c r="F173" t="s">
        <v>37</v>
      </c>
      <c r="G173" t="s">
        <v>511</v>
      </c>
      <c r="H173" t="s">
        <v>2688</v>
      </c>
      <c r="I173" t="s">
        <v>19</v>
      </c>
      <c r="J173" t="s">
        <v>2466</v>
      </c>
      <c r="K173" t="s">
        <v>79</v>
      </c>
      <c r="L173">
        <v>78207</v>
      </c>
      <c r="M173" t="s">
        <v>525</v>
      </c>
      <c r="N173" t="s">
        <v>54</v>
      </c>
      <c r="O173" t="s">
        <v>55</v>
      </c>
      <c r="P173" t="s">
        <v>526</v>
      </c>
      <c r="Q173">
        <f>_xlfn.XLOOKUP(Table3[[#This Row],[Product Name]],Sales!A:A,Sales!B:B)</f>
        <v>143.976</v>
      </c>
      <c r="R173">
        <f>_xlfn.XLOOKUP(Table3[[#This Row],[Product Name]],Sales!A:A,Sales!C:C)</f>
        <v>3</v>
      </c>
      <c r="S173">
        <f>_xlfn.XLOOKUP(Table3[[#This Row],[Product Name]],Sales!A:A,Sales!D:D)</f>
        <v>0.2</v>
      </c>
      <c r="T173">
        <f>_xlfn.XLOOKUP(Table3[[#This Row],[Product Name]],Sales!A:A,Sales!E:E)</f>
        <v>8.9984999999999999</v>
      </c>
    </row>
    <row r="174" spans="1:20" x14ac:dyDescent="0.3">
      <c r="A174">
        <v>172</v>
      </c>
      <c r="B174" t="s">
        <v>527</v>
      </c>
      <c r="C174">
        <v>5</v>
      </c>
      <c r="D174">
        <v>8</v>
      </c>
      <c r="E174">
        <v>2018</v>
      </c>
      <c r="F174" t="s">
        <v>37</v>
      </c>
      <c r="G174" t="s">
        <v>528</v>
      </c>
      <c r="H174" t="s">
        <v>2689</v>
      </c>
      <c r="I174" t="s">
        <v>19</v>
      </c>
      <c r="J174" t="s">
        <v>2415</v>
      </c>
      <c r="K174" t="s">
        <v>31</v>
      </c>
      <c r="L174">
        <v>90004</v>
      </c>
      <c r="M174" t="s">
        <v>529</v>
      </c>
      <c r="N174" t="s">
        <v>33</v>
      </c>
      <c r="O174" t="s">
        <v>70</v>
      </c>
      <c r="P174" t="s">
        <v>530</v>
      </c>
      <c r="Q174">
        <f>_xlfn.XLOOKUP(Table3[[#This Row],[Product Name]],Sales!A:A,Sales!B:B)</f>
        <v>20.94</v>
      </c>
      <c r="R174">
        <f>_xlfn.XLOOKUP(Table3[[#This Row],[Product Name]],Sales!A:A,Sales!C:C)</f>
        <v>3</v>
      </c>
      <c r="S174">
        <f>_xlfn.XLOOKUP(Table3[[#This Row],[Product Name]],Sales!A:A,Sales!D:D)</f>
        <v>0</v>
      </c>
      <c r="T174">
        <f>_xlfn.XLOOKUP(Table3[[#This Row],[Product Name]],Sales!A:A,Sales!E:E)</f>
        <v>9.8417999999999992</v>
      </c>
    </row>
    <row r="175" spans="1:20" x14ac:dyDescent="0.3">
      <c r="A175">
        <v>173</v>
      </c>
      <c r="B175" t="s">
        <v>527</v>
      </c>
      <c r="C175">
        <v>5</v>
      </c>
      <c r="D175">
        <v>8</v>
      </c>
      <c r="E175">
        <v>2018</v>
      </c>
      <c r="F175" t="s">
        <v>37</v>
      </c>
      <c r="G175" t="s">
        <v>528</v>
      </c>
      <c r="H175" t="s">
        <v>2689</v>
      </c>
      <c r="I175" t="s">
        <v>19</v>
      </c>
      <c r="J175" t="s">
        <v>2415</v>
      </c>
      <c r="K175" t="s">
        <v>31</v>
      </c>
      <c r="L175">
        <v>90004</v>
      </c>
      <c r="M175" t="s">
        <v>531</v>
      </c>
      <c r="N175" t="s">
        <v>33</v>
      </c>
      <c r="O175" t="s">
        <v>70</v>
      </c>
      <c r="P175" t="s">
        <v>532</v>
      </c>
      <c r="Q175">
        <f>_xlfn.XLOOKUP(Table3[[#This Row],[Product Name]],Sales!A:A,Sales!B:B)</f>
        <v>110.96</v>
      </c>
      <c r="R175">
        <f>_xlfn.XLOOKUP(Table3[[#This Row],[Product Name]],Sales!A:A,Sales!C:C)</f>
        <v>2</v>
      </c>
      <c r="S175">
        <f>_xlfn.XLOOKUP(Table3[[#This Row],[Product Name]],Sales!A:A,Sales!D:D)</f>
        <v>0</v>
      </c>
      <c r="T175">
        <f>_xlfn.XLOOKUP(Table3[[#This Row],[Product Name]],Sales!A:A,Sales!E:E)</f>
        <v>53.260800000000003</v>
      </c>
    </row>
    <row r="176" spans="1:20" x14ac:dyDescent="0.3">
      <c r="A176">
        <v>174</v>
      </c>
      <c r="B176" t="s">
        <v>527</v>
      </c>
      <c r="C176">
        <v>5</v>
      </c>
      <c r="D176">
        <v>8</v>
      </c>
      <c r="E176">
        <v>2018</v>
      </c>
      <c r="F176" t="s">
        <v>37</v>
      </c>
      <c r="G176" t="s">
        <v>528</v>
      </c>
      <c r="H176" t="s">
        <v>2689</v>
      </c>
      <c r="I176" t="s">
        <v>19</v>
      </c>
      <c r="J176" t="s">
        <v>2415</v>
      </c>
      <c r="K176" t="s">
        <v>31</v>
      </c>
      <c r="L176">
        <v>90004</v>
      </c>
      <c r="M176" t="s">
        <v>533</v>
      </c>
      <c r="N176" t="s">
        <v>22</v>
      </c>
      <c r="O176" t="s">
        <v>26</v>
      </c>
      <c r="P176" t="s">
        <v>534</v>
      </c>
      <c r="Q176">
        <f>_xlfn.XLOOKUP(Table3[[#This Row],[Product Name]],Sales!A:A,Sales!B:B)</f>
        <v>340.14400000000001</v>
      </c>
      <c r="R176">
        <f>_xlfn.XLOOKUP(Table3[[#This Row],[Product Name]],Sales!A:A,Sales!C:C)</f>
        <v>7</v>
      </c>
      <c r="S176">
        <f>_xlfn.XLOOKUP(Table3[[#This Row],[Product Name]],Sales!A:A,Sales!D:D)</f>
        <v>0.2</v>
      </c>
      <c r="T176">
        <f>_xlfn.XLOOKUP(Table3[[#This Row],[Product Name]],Sales!A:A,Sales!E:E)</f>
        <v>21.259</v>
      </c>
    </row>
    <row r="177" spans="1:20" x14ac:dyDescent="0.3">
      <c r="A177">
        <v>175</v>
      </c>
      <c r="B177" t="s">
        <v>535</v>
      </c>
      <c r="C177">
        <v>14</v>
      </c>
      <c r="D177">
        <v>9</v>
      </c>
      <c r="E177">
        <v>2018</v>
      </c>
      <c r="F177" t="s">
        <v>37</v>
      </c>
      <c r="G177" t="s">
        <v>536</v>
      </c>
      <c r="H177" t="s">
        <v>2690</v>
      </c>
      <c r="I177" t="s">
        <v>30</v>
      </c>
      <c r="J177" t="s">
        <v>2436</v>
      </c>
      <c r="K177" t="s">
        <v>79</v>
      </c>
      <c r="L177">
        <v>60623</v>
      </c>
      <c r="M177" t="s">
        <v>537</v>
      </c>
      <c r="N177" t="s">
        <v>33</v>
      </c>
      <c r="O177" t="s">
        <v>61</v>
      </c>
      <c r="P177" t="s">
        <v>538</v>
      </c>
      <c r="Q177">
        <f>_xlfn.XLOOKUP(Table3[[#This Row],[Product Name]],Sales!A:A,Sales!B:B)</f>
        <v>52.448</v>
      </c>
      <c r="R177">
        <f>_xlfn.XLOOKUP(Table3[[#This Row],[Product Name]],Sales!A:A,Sales!C:C)</f>
        <v>2</v>
      </c>
      <c r="S177">
        <f>_xlfn.XLOOKUP(Table3[[#This Row],[Product Name]],Sales!A:A,Sales!D:D)</f>
        <v>0.8</v>
      </c>
      <c r="T177">
        <f>_xlfn.XLOOKUP(Table3[[#This Row],[Product Name]],Sales!A:A,Sales!E:E)</f>
        <v>-131.12</v>
      </c>
    </row>
    <row r="178" spans="1:20" x14ac:dyDescent="0.3">
      <c r="A178">
        <v>176</v>
      </c>
      <c r="B178" t="s">
        <v>535</v>
      </c>
      <c r="C178">
        <v>14</v>
      </c>
      <c r="D178">
        <v>9</v>
      </c>
      <c r="E178">
        <v>2018</v>
      </c>
      <c r="F178" t="s">
        <v>37</v>
      </c>
      <c r="G178" t="s">
        <v>536</v>
      </c>
      <c r="H178" t="s">
        <v>2690</v>
      </c>
      <c r="I178" t="s">
        <v>30</v>
      </c>
      <c r="J178" t="s">
        <v>2436</v>
      </c>
      <c r="K178" t="s">
        <v>79</v>
      </c>
      <c r="L178">
        <v>60623</v>
      </c>
      <c r="M178" t="s">
        <v>539</v>
      </c>
      <c r="N178" t="s">
        <v>33</v>
      </c>
      <c r="O178" t="s">
        <v>34</v>
      </c>
      <c r="P178" t="s">
        <v>540</v>
      </c>
      <c r="Q178">
        <f>_xlfn.XLOOKUP(Table3[[#This Row],[Product Name]],Sales!A:A,Sales!B:B)</f>
        <v>20.16</v>
      </c>
      <c r="R178">
        <f>_xlfn.XLOOKUP(Table3[[#This Row],[Product Name]],Sales!A:A,Sales!C:C)</f>
        <v>4</v>
      </c>
      <c r="S178">
        <f>_xlfn.XLOOKUP(Table3[[#This Row],[Product Name]],Sales!A:A,Sales!D:D)</f>
        <v>0.2</v>
      </c>
      <c r="T178">
        <f>_xlfn.XLOOKUP(Table3[[#This Row],[Product Name]],Sales!A:A,Sales!E:E)</f>
        <v>6.5519999999999996</v>
      </c>
    </row>
    <row r="179" spans="1:20" x14ac:dyDescent="0.3">
      <c r="A179">
        <v>177</v>
      </c>
      <c r="B179" t="s">
        <v>541</v>
      </c>
      <c r="C179">
        <v>21</v>
      </c>
      <c r="D179">
        <v>4</v>
      </c>
      <c r="E179">
        <v>2021</v>
      </c>
      <c r="F179" t="s">
        <v>17</v>
      </c>
      <c r="G179" t="s">
        <v>542</v>
      </c>
      <c r="H179" t="s">
        <v>2691</v>
      </c>
      <c r="I179" t="s">
        <v>19</v>
      </c>
      <c r="J179" t="s">
        <v>2426</v>
      </c>
      <c r="K179" t="s">
        <v>79</v>
      </c>
      <c r="L179">
        <v>77036</v>
      </c>
      <c r="M179" t="s">
        <v>543</v>
      </c>
      <c r="N179" t="s">
        <v>33</v>
      </c>
      <c r="O179" t="s">
        <v>61</v>
      </c>
      <c r="P179" t="s">
        <v>544</v>
      </c>
      <c r="Q179">
        <f>_xlfn.XLOOKUP(Table3[[#This Row],[Product Name]],Sales!A:A,Sales!B:B)</f>
        <v>97.263999999999996</v>
      </c>
      <c r="R179">
        <f>_xlfn.XLOOKUP(Table3[[#This Row],[Product Name]],Sales!A:A,Sales!C:C)</f>
        <v>4</v>
      </c>
      <c r="S179">
        <f>_xlfn.XLOOKUP(Table3[[#This Row],[Product Name]],Sales!A:A,Sales!D:D)</f>
        <v>0.8</v>
      </c>
      <c r="T179">
        <f>_xlfn.XLOOKUP(Table3[[#This Row],[Product Name]],Sales!A:A,Sales!E:E)</f>
        <v>-243.16</v>
      </c>
    </row>
    <row r="180" spans="1:20" x14ac:dyDescent="0.3">
      <c r="A180">
        <v>178</v>
      </c>
      <c r="B180" t="s">
        <v>545</v>
      </c>
      <c r="C180">
        <v>21</v>
      </c>
      <c r="D180">
        <v>11</v>
      </c>
      <c r="E180">
        <v>2019</v>
      </c>
      <c r="F180" t="s">
        <v>17</v>
      </c>
      <c r="G180" t="s">
        <v>249</v>
      </c>
      <c r="H180" t="s">
        <v>2641</v>
      </c>
      <c r="I180" t="s">
        <v>19</v>
      </c>
      <c r="J180" t="s">
        <v>2460</v>
      </c>
      <c r="K180" t="s">
        <v>108</v>
      </c>
      <c r="L180">
        <v>43055</v>
      </c>
      <c r="M180" t="s">
        <v>546</v>
      </c>
      <c r="N180" t="s">
        <v>22</v>
      </c>
      <c r="O180" t="s">
        <v>26</v>
      </c>
      <c r="P180" t="s">
        <v>547</v>
      </c>
      <c r="Q180">
        <f>_xlfn.XLOOKUP(Table3[[#This Row],[Product Name]],Sales!A:A,Sales!B:B)</f>
        <v>396.80200000000002</v>
      </c>
      <c r="R180">
        <f>_xlfn.XLOOKUP(Table3[[#This Row],[Product Name]],Sales!A:A,Sales!C:C)</f>
        <v>7</v>
      </c>
      <c r="S180">
        <f>_xlfn.XLOOKUP(Table3[[#This Row],[Product Name]],Sales!A:A,Sales!D:D)</f>
        <v>0.3</v>
      </c>
      <c r="T180">
        <f>_xlfn.XLOOKUP(Table3[[#This Row],[Product Name]],Sales!A:A,Sales!E:E)</f>
        <v>-11.337199999999999</v>
      </c>
    </row>
    <row r="181" spans="1:20" x14ac:dyDescent="0.3">
      <c r="A181">
        <v>179</v>
      </c>
      <c r="B181" t="s">
        <v>545</v>
      </c>
      <c r="C181">
        <v>21</v>
      </c>
      <c r="D181">
        <v>11</v>
      </c>
      <c r="E181">
        <v>2019</v>
      </c>
      <c r="F181" t="s">
        <v>17</v>
      </c>
      <c r="G181" t="s">
        <v>249</v>
      </c>
      <c r="H181" t="s">
        <v>2641</v>
      </c>
      <c r="I181" t="s">
        <v>19</v>
      </c>
      <c r="J181" t="s">
        <v>2460</v>
      </c>
      <c r="K181" t="s">
        <v>108</v>
      </c>
      <c r="L181">
        <v>43055</v>
      </c>
      <c r="M181" t="s">
        <v>548</v>
      </c>
      <c r="N181" t="s">
        <v>33</v>
      </c>
      <c r="O181" t="s">
        <v>438</v>
      </c>
      <c r="P181" t="s">
        <v>549</v>
      </c>
      <c r="Q181">
        <f>_xlfn.XLOOKUP(Table3[[#This Row],[Product Name]],Sales!A:A,Sales!B:B)</f>
        <v>15.88</v>
      </c>
      <c r="R181">
        <f>_xlfn.XLOOKUP(Table3[[#This Row],[Product Name]],Sales!A:A,Sales!C:C)</f>
        <v>5</v>
      </c>
      <c r="S181">
        <f>_xlfn.XLOOKUP(Table3[[#This Row],[Product Name]],Sales!A:A,Sales!D:D)</f>
        <v>0.2</v>
      </c>
      <c r="T181">
        <f>_xlfn.XLOOKUP(Table3[[#This Row],[Product Name]],Sales!A:A,Sales!E:E)</f>
        <v>-3.7715000000000001</v>
      </c>
    </row>
    <row r="182" spans="1:20" x14ac:dyDescent="0.3">
      <c r="A182">
        <v>180</v>
      </c>
      <c r="B182" t="s">
        <v>550</v>
      </c>
      <c r="C182">
        <v>15</v>
      </c>
      <c r="D182">
        <v>12</v>
      </c>
      <c r="E182">
        <v>2019</v>
      </c>
      <c r="F182" t="s">
        <v>37</v>
      </c>
      <c r="G182" t="s">
        <v>551</v>
      </c>
      <c r="H182" t="s">
        <v>2692</v>
      </c>
      <c r="I182" t="s">
        <v>78</v>
      </c>
      <c r="J182" t="s">
        <v>2434</v>
      </c>
      <c r="K182" t="s">
        <v>108</v>
      </c>
      <c r="L182">
        <v>10009</v>
      </c>
      <c r="M182" t="s">
        <v>552</v>
      </c>
      <c r="N182" t="s">
        <v>33</v>
      </c>
      <c r="O182" t="s">
        <v>51</v>
      </c>
      <c r="P182" t="s">
        <v>553</v>
      </c>
      <c r="Q182">
        <f>_xlfn.XLOOKUP(Table3[[#This Row],[Product Name]],Sales!A:A,Sales!B:B)</f>
        <v>3.28</v>
      </c>
      <c r="R182">
        <f>_xlfn.XLOOKUP(Table3[[#This Row],[Product Name]],Sales!A:A,Sales!C:C)</f>
        <v>1</v>
      </c>
      <c r="S182">
        <f>_xlfn.XLOOKUP(Table3[[#This Row],[Product Name]],Sales!A:A,Sales!D:D)</f>
        <v>0</v>
      </c>
      <c r="T182">
        <f>_xlfn.XLOOKUP(Table3[[#This Row],[Product Name]],Sales!A:A,Sales!E:E)</f>
        <v>1.4104000000000001</v>
      </c>
    </row>
    <row r="183" spans="1:20" x14ac:dyDescent="0.3">
      <c r="A183">
        <v>181</v>
      </c>
      <c r="B183" t="s">
        <v>554</v>
      </c>
      <c r="C183">
        <v>5</v>
      </c>
      <c r="D183">
        <v>12</v>
      </c>
      <c r="E183">
        <v>2018</v>
      </c>
      <c r="F183" t="s">
        <v>17</v>
      </c>
      <c r="G183" t="s">
        <v>555</v>
      </c>
      <c r="H183" t="s">
        <v>2693</v>
      </c>
      <c r="I183" t="s">
        <v>30</v>
      </c>
      <c r="J183" t="s">
        <v>2467</v>
      </c>
      <c r="K183" t="s">
        <v>79</v>
      </c>
      <c r="L183">
        <v>62521</v>
      </c>
      <c r="M183" t="s">
        <v>556</v>
      </c>
      <c r="N183" t="s">
        <v>33</v>
      </c>
      <c r="O183" t="s">
        <v>43</v>
      </c>
      <c r="P183" t="s">
        <v>557</v>
      </c>
      <c r="Q183">
        <f>_xlfn.XLOOKUP(Table3[[#This Row],[Product Name]],Sales!A:A,Sales!B:B)</f>
        <v>24.815999999999999</v>
      </c>
      <c r="R183">
        <f>_xlfn.XLOOKUP(Table3[[#This Row],[Product Name]],Sales!A:A,Sales!C:C)</f>
        <v>2</v>
      </c>
      <c r="S183">
        <f>_xlfn.XLOOKUP(Table3[[#This Row],[Product Name]],Sales!A:A,Sales!D:D)</f>
        <v>0.2</v>
      </c>
      <c r="T183">
        <f>_xlfn.XLOOKUP(Table3[[#This Row],[Product Name]],Sales!A:A,Sales!E:E)</f>
        <v>1.8612</v>
      </c>
    </row>
    <row r="184" spans="1:20" x14ac:dyDescent="0.3">
      <c r="A184">
        <v>182</v>
      </c>
      <c r="B184" t="s">
        <v>554</v>
      </c>
      <c r="C184">
        <v>5</v>
      </c>
      <c r="D184">
        <v>12</v>
      </c>
      <c r="E184">
        <v>2018</v>
      </c>
      <c r="F184" t="s">
        <v>17</v>
      </c>
      <c r="G184" t="s">
        <v>555</v>
      </c>
      <c r="H184" t="s">
        <v>2693</v>
      </c>
      <c r="I184" t="s">
        <v>30</v>
      </c>
      <c r="J184" t="s">
        <v>2467</v>
      </c>
      <c r="K184" t="s">
        <v>79</v>
      </c>
      <c r="L184">
        <v>62521</v>
      </c>
      <c r="M184" t="s">
        <v>558</v>
      </c>
      <c r="N184" t="s">
        <v>54</v>
      </c>
      <c r="O184" t="s">
        <v>118</v>
      </c>
      <c r="P184" t="s">
        <v>559</v>
      </c>
      <c r="Q184">
        <f>_xlfn.XLOOKUP(Table3[[#This Row],[Product Name]],Sales!A:A,Sales!B:B)</f>
        <v>408.74400000000003</v>
      </c>
      <c r="R184">
        <f>_xlfn.XLOOKUP(Table3[[#This Row],[Product Name]],Sales!A:A,Sales!C:C)</f>
        <v>7</v>
      </c>
      <c r="S184">
        <f>_xlfn.XLOOKUP(Table3[[#This Row],[Product Name]],Sales!A:A,Sales!D:D)</f>
        <v>0.2</v>
      </c>
      <c r="T184">
        <f>_xlfn.XLOOKUP(Table3[[#This Row],[Product Name]],Sales!A:A,Sales!E:E)</f>
        <v>76.639499999999998</v>
      </c>
    </row>
    <row r="185" spans="1:20" x14ac:dyDescent="0.3">
      <c r="A185">
        <v>183</v>
      </c>
      <c r="B185" t="s">
        <v>560</v>
      </c>
      <c r="C185">
        <v>19</v>
      </c>
      <c r="D185">
        <v>11</v>
      </c>
      <c r="E185">
        <v>2018</v>
      </c>
      <c r="F185" t="s">
        <v>17</v>
      </c>
      <c r="G185" t="s">
        <v>561</v>
      </c>
      <c r="H185" t="s">
        <v>2694</v>
      </c>
      <c r="I185" t="s">
        <v>78</v>
      </c>
      <c r="J185" t="s">
        <v>2468</v>
      </c>
      <c r="K185" t="s">
        <v>20</v>
      </c>
      <c r="L185">
        <v>71203</v>
      </c>
      <c r="M185" t="s">
        <v>562</v>
      </c>
      <c r="N185" t="s">
        <v>54</v>
      </c>
      <c r="O185" t="s">
        <v>55</v>
      </c>
      <c r="P185" t="s">
        <v>563</v>
      </c>
      <c r="Q185">
        <f>_xlfn.XLOOKUP(Table3[[#This Row],[Product Name]],Sales!A:A,Sales!B:B)</f>
        <v>503.96</v>
      </c>
      <c r="R185">
        <f>_xlfn.XLOOKUP(Table3[[#This Row],[Product Name]],Sales!A:A,Sales!C:C)</f>
        <v>4</v>
      </c>
      <c r="S185">
        <f>_xlfn.XLOOKUP(Table3[[#This Row],[Product Name]],Sales!A:A,Sales!D:D)</f>
        <v>0</v>
      </c>
      <c r="T185">
        <f>_xlfn.XLOOKUP(Table3[[#This Row],[Product Name]],Sales!A:A,Sales!E:E)</f>
        <v>131.02959999999999</v>
      </c>
    </row>
    <row r="186" spans="1:20" x14ac:dyDescent="0.3">
      <c r="A186">
        <v>184</v>
      </c>
      <c r="B186" t="s">
        <v>560</v>
      </c>
      <c r="C186">
        <v>19</v>
      </c>
      <c r="D186">
        <v>11</v>
      </c>
      <c r="E186">
        <v>2018</v>
      </c>
      <c r="F186" t="s">
        <v>17</v>
      </c>
      <c r="G186" t="s">
        <v>561</v>
      </c>
      <c r="H186" t="s">
        <v>2694</v>
      </c>
      <c r="I186" t="s">
        <v>78</v>
      </c>
      <c r="J186" t="s">
        <v>2468</v>
      </c>
      <c r="K186" t="s">
        <v>20</v>
      </c>
      <c r="L186">
        <v>71203</v>
      </c>
      <c r="M186" t="s">
        <v>564</v>
      </c>
      <c r="N186" t="s">
        <v>54</v>
      </c>
      <c r="O186" t="s">
        <v>55</v>
      </c>
      <c r="P186" t="s">
        <v>565</v>
      </c>
      <c r="Q186">
        <f>_xlfn.XLOOKUP(Table3[[#This Row],[Product Name]],Sales!A:A,Sales!B:B)</f>
        <v>149.94999999999999</v>
      </c>
      <c r="R186">
        <f>_xlfn.XLOOKUP(Table3[[#This Row],[Product Name]],Sales!A:A,Sales!C:C)</f>
        <v>5</v>
      </c>
      <c r="S186">
        <f>_xlfn.XLOOKUP(Table3[[#This Row],[Product Name]],Sales!A:A,Sales!D:D)</f>
        <v>0</v>
      </c>
      <c r="T186">
        <f>_xlfn.XLOOKUP(Table3[[#This Row],[Product Name]],Sales!A:A,Sales!E:E)</f>
        <v>41.985999999999997</v>
      </c>
    </row>
    <row r="187" spans="1:20" x14ac:dyDescent="0.3">
      <c r="A187">
        <v>185</v>
      </c>
      <c r="B187" t="s">
        <v>560</v>
      </c>
      <c r="C187">
        <v>19</v>
      </c>
      <c r="D187">
        <v>11</v>
      </c>
      <c r="E187">
        <v>2018</v>
      </c>
      <c r="F187" t="s">
        <v>17</v>
      </c>
      <c r="G187" t="s">
        <v>561</v>
      </c>
      <c r="H187" t="s">
        <v>2694</v>
      </c>
      <c r="I187" t="s">
        <v>78</v>
      </c>
      <c r="J187" t="s">
        <v>2468</v>
      </c>
      <c r="K187" t="s">
        <v>20</v>
      </c>
      <c r="L187">
        <v>71203</v>
      </c>
      <c r="M187" t="s">
        <v>566</v>
      </c>
      <c r="N187" t="s">
        <v>54</v>
      </c>
      <c r="O187" t="s">
        <v>118</v>
      </c>
      <c r="P187" t="s">
        <v>567</v>
      </c>
      <c r="Q187">
        <f>_xlfn.XLOOKUP(Table3[[#This Row],[Product Name]],Sales!A:A,Sales!B:B)</f>
        <v>29</v>
      </c>
      <c r="R187">
        <f>_xlfn.XLOOKUP(Table3[[#This Row],[Product Name]],Sales!A:A,Sales!C:C)</f>
        <v>2</v>
      </c>
      <c r="S187">
        <f>_xlfn.XLOOKUP(Table3[[#This Row],[Product Name]],Sales!A:A,Sales!D:D)</f>
        <v>0</v>
      </c>
      <c r="T187">
        <f>_xlfn.XLOOKUP(Table3[[#This Row],[Product Name]],Sales!A:A,Sales!E:E)</f>
        <v>7.25</v>
      </c>
    </row>
    <row r="188" spans="1:20" x14ac:dyDescent="0.3">
      <c r="A188">
        <v>186</v>
      </c>
      <c r="B188" t="s">
        <v>568</v>
      </c>
      <c r="C188">
        <v>28</v>
      </c>
      <c r="D188">
        <v>11</v>
      </c>
      <c r="E188">
        <v>2020</v>
      </c>
      <c r="F188" t="s">
        <v>37</v>
      </c>
      <c r="G188" t="s">
        <v>569</v>
      </c>
      <c r="H188" t="s">
        <v>2695</v>
      </c>
      <c r="I188" t="s">
        <v>19</v>
      </c>
      <c r="J188" t="s">
        <v>2469</v>
      </c>
      <c r="K188" t="s">
        <v>108</v>
      </c>
      <c r="L188">
        <v>6824</v>
      </c>
      <c r="M188" t="s">
        <v>570</v>
      </c>
      <c r="N188" t="s">
        <v>33</v>
      </c>
      <c r="O188" t="s">
        <v>58</v>
      </c>
      <c r="P188" t="s">
        <v>571</v>
      </c>
      <c r="Q188">
        <f>_xlfn.XLOOKUP(Table3[[#This Row],[Product Name]],Sales!A:A,Sales!B:B)</f>
        <v>7.16</v>
      </c>
      <c r="R188">
        <f>_xlfn.XLOOKUP(Table3[[#This Row],[Product Name]],Sales!A:A,Sales!C:C)</f>
        <v>2</v>
      </c>
      <c r="S188">
        <f>_xlfn.XLOOKUP(Table3[[#This Row],[Product Name]],Sales!A:A,Sales!D:D)</f>
        <v>0</v>
      </c>
      <c r="T188">
        <f>_xlfn.XLOOKUP(Table3[[#This Row],[Product Name]],Sales!A:A,Sales!E:E)</f>
        <v>3.4367999999999999</v>
      </c>
    </row>
    <row r="189" spans="1:20" x14ac:dyDescent="0.3">
      <c r="A189">
        <v>187</v>
      </c>
      <c r="B189" t="s">
        <v>572</v>
      </c>
      <c r="C189">
        <v>26</v>
      </c>
      <c r="D189">
        <v>8</v>
      </c>
      <c r="E189">
        <v>2018</v>
      </c>
      <c r="F189" t="s">
        <v>37</v>
      </c>
      <c r="G189" t="s">
        <v>573</v>
      </c>
      <c r="H189" t="s">
        <v>2696</v>
      </c>
      <c r="I189" t="s">
        <v>78</v>
      </c>
      <c r="J189" t="s">
        <v>2415</v>
      </c>
      <c r="K189" t="s">
        <v>31</v>
      </c>
      <c r="L189">
        <v>90032</v>
      </c>
      <c r="M189" t="s">
        <v>574</v>
      </c>
      <c r="N189" t="s">
        <v>54</v>
      </c>
      <c r="O189" t="s">
        <v>118</v>
      </c>
      <c r="P189" t="s">
        <v>575</v>
      </c>
      <c r="Q189">
        <f>_xlfn.XLOOKUP(Table3[[#This Row],[Product Name]],Sales!A:A,Sales!B:B)</f>
        <v>176.8</v>
      </c>
      <c r="R189">
        <f>_xlfn.XLOOKUP(Table3[[#This Row],[Product Name]],Sales!A:A,Sales!C:C)</f>
        <v>8</v>
      </c>
      <c r="S189">
        <f>_xlfn.XLOOKUP(Table3[[#This Row],[Product Name]],Sales!A:A,Sales!D:D)</f>
        <v>0</v>
      </c>
      <c r="T189">
        <f>_xlfn.XLOOKUP(Table3[[#This Row],[Product Name]],Sales!A:A,Sales!E:E)</f>
        <v>22.984000000000002</v>
      </c>
    </row>
    <row r="190" spans="1:20" x14ac:dyDescent="0.3">
      <c r="A190">
        <v>188</v>
      </c>
      <c r="B190" t="s">
        <v>576</v>
      </c>
      <c r="C190">
        <v>16</v>
      </c>
      <c r="D190">
        <v>7</v>
      </c>
      <c r="E190">
        <v>2020</v>
      </c>
      <c r="F190" t="s">
        <v>37</v>
      </c>
      <c r="G190" t="s">
        <v>577</v>
      </c>
      <c r="H190" t="s">
        <v>2697</v>
      </c>
      <c r="I190" t="s">
        <v>30</v>
      </c>
      <c r="J190" t="s">
        <v>2470</v>
      </c>
      <c r="K190" t="s">
        <v>79</v>
      </c>
      <c r="L190">
        <v>75051</v>
      </c>
      <c r="M190" t="s">
        <v>578</v>
      </c>
      <c r="N190" t="s">
        <v>33</v>
      </c>
      <c r="O190" t="s">
        <v>43</v>
      </c>
      <c r="P190" t="s">
        <v>579</v>
      </c>
      <c r="Q190">
        <f>_xlfn.XLOOKUP(Table3[[#This Row],[Product Name]],Sales!A:A,Sales!B:B)</f>
        <v>37.223999999999997</v>
      </c>
      <c r="R190">
        <f>_xlfn.XLOOKUP(Table3[[#This Row],[Product Name]],Sales!A:A,Sales!C:C)</f>
        <v>3</v>
      </c>
      <c r="S190">
        <f>_xlfn.XLOOKUP(Table3[[#This Row],[Product Name]],Sales!A:A,Sales!D:D)</f>
        <v>0.2</v>
      </c>
      <c r="T190">
        <f>_xlfn.XLOOKUP(Table3[[#This Row],[Product Name]],Sales!A:A,Sales!E:E)</f>
        <v>3.7223999999999999</v>
      </c>
    </row>
    <row r="191" spans="1:20" x14ac:dyDescent="0.3">
      <c r="A191">
        <v>189</v>
      </c>
      <c r="B191" t="s">
        <v>576</v>
      </c>
      <c r="C191">
        <v>16</v>
      </c>
      <c r="D191">
        <v>7</v>
      </c>
      <c r="E191">
        <v>2020</v>
      </c>
      <c r="F191" t="s">
        <v>37</v>
      </c>
      <c r="G191" t="s">
        <v>577</v>
      </c>
      <c r="H191" t="s">
        <v>2697</v>
      </c>
      <c r="I191" t="s">
        <v>30</v>
      </c>
      <c r="J191" t="s">
        <v>2470</v>
      </c>
      <c r="K191" t="s">
        <v>79</v>
      </c>
      <c r="L191">
        <v>75051</v>
      </c>
      <c r="M191" t="s">
        <v>476</v>
      </c>
      <c r="N191" t="s">
        <v>33</v>
      </c>
      <c r="O191" t="s">
        <v>70</v>
      </c>
      <c r="P191" t="s">
        <v>477</v>
      </c>
      <c r="Q191">
        <f>_xlfn.XLOOKUP(Table3[[#This Row],[Product Name]],Sales!A:A,Sales!B:B)</f>
        <v>58.38</v>
      </c>
      <c r="R191">
        <f>_xlfn.XLOOKUP(Table3[[#This Row],[Product Name]],Sales!A:A,Sales!C:C)</f>
        <v>7</v>
      </c>
      <c r="S191">
        <f>_xlfn.XLOOKUP(Table3[[#This Row],[Product Name]],Sales!A:A,Sales!D:D)</f>
        <v>0</v>
      </c>
      <c r="T191">
        <f>_xlfn.XLOOKUP(Table3[[#This Row],[Product Name]],Sales!A:A,Sales!E:E)</f>
        <v>26.271000000000001</v>
      </c>
    </row>
    <row r="192" spans="1:20" x14ac:dyDescent="0.3">
      <c r="A192">
        <v>190</v>
      </c>
      <c r="B192" t="s">
        <v>580</v>
      </c>
      <c r="C192">
        <v>12</v>
      </c>
      <c r="D192">
        <v>10</v>
      </c>
      <c r="E192">
        <v>2019</v>
      </c>
      <c r="F192" t="s">
        <v>142</v>
      </c>
      <c r="G192" t="s">
        <v>581</v>
      </c>
      <c r="H192" t="s">
        <v>2698</v>
      </c>
      <c r="I192" t="s">
        <v>78</v>
      </c>
      <c r="J192" t="s">
        <v>2434</v>
      </c>
      <c r="K192" t="s">
        <v>108</v>
      </c>
      <c r="L192">
        <v>10035</v>
      </c>
      <c r="M192" t="s">
        <v>582</v>
      </c>
      <c r="N192" t="s">
        <v>22</v>
      </c>
      <c r="O192" t="s">
        <v>23</v>
      </c>
      <c r="P192" t="s">
        <v>583</v>
      </c>
      <c r="Q192">
        <f>_xlfn.XLOOKUP(Table3[[#This Row],[Product Name]],Sales!A:A,Sales!B:B)</f>
        <v>899.13599999999997</v>
      </c>
      <c r="R192">
        <f>_xlfn.XLOOKUP(Table3[[#This Row],[Product Name]],Sales!A:A,Sales!C:C)</f>
        <v>4</v>
      </c>
      <c r="S192">
        <f>_xlfn.XLOOKUP(Table3[[#This Row],[Product Name]],Sales!A:A,Sales!D:D)</f>
        <v>0.2</v>
      </c>
      <c r="T192">
        <f>_xlfn.XLOOKUP(Table3[[#This Row],[Product Name]],Sales!A:A,Sales!E:E)</f>
        <v>112.392</v>
      </c>
    </row>
    <row r="193" spans="1:20" x14ac:dyDescent="0.3">
      <c r="A193">
        <v>191</v>
      </c>
      <c r="B193" t="s">
        <v>580</v>
      </c>
      <c r="C193">
        <v>12</v>
      </c>
      <c r="D193">
        <v>10</v>
      </c>
      <c r="E193">
        <v>2019</v>
      </c>
      <c r="F193" t="s">
        <v>142</v>
      </c>
      <c r="G193" t="s">
        <v>581</v>
      </c>
      <c r="H193" t="s">
        <v>2698</v>
      </c>
      <c r="I193" t="s">
        <v>78</v>
      </c>
      <c r="J193" t="s">
        <v>2434</v>
      </c>
      <c r="K193" t="s">
        <v>108</v>
      </c>
      <c r="L193">
        <v>10035</v>
      </c>
      <c r="M193" t="s">
        <v>584</v>
      </c>
      <c r="N193" t="s">
        <v>54</v>
      </c>
      <c r="O193" t="s">
        <v>55</v>
      </c>
      <c r="P193" t="s">
        <v>585</v>
      </c>
      <c r="Q193">
        <f>_xlfn.XLOOKUP(Table3[[#This Row],[Product Name]],Sales!A:A,Sales!B:B)</f>
        <v>71.760000000000005</v>
      </c>
      <c r="R193">
        <f>_xlfn.XLOOKUP(Table3[[#This Row],[Product Name]],Sales!A:A,Sales!C:C)</f>
        <v>6</v>
      </c>
      <c r="S193">
        <f>_xlfn.XLOOKUP(Table3[[#This Row],[Product Name]],Sales!A:A,Sales!D:D)</f>
        <v>0</v>
      </c>
      <c r="T193">
        <f>_xlfn.XLOOKUP(Table3[[#This Row],[Product Name]],Sales!A:A,Sales!E:E)</f>
        <v>20.0928</v>
      </c>
    </row>
    <row r="194" spans="1:20" x14ac:dyDescent="0.3">
      <c r="A194">
        <v>192</v>
      </c>
      <c r="B194" t="s">
        <v>580</v>
      </c>
      <c r="C194">
        <v>12</v>
      </c>
      <c r="D194">
        <v>10</v>
      </c>
      <c r="E194">
        <v>2019</v>
      </c>
      <c r="F194" t="s">
        <v>142</v>
      </c>
      <c r="G194" t="s">
        <v>581</v>
      </c>
      <c r="H194" t="s">
        <v>2698</v>
      </c>
      <c r="I194" t="s">
        <v>78</v>
      </c>
      <c r="J194" t="s">
        <v>2434</v>
      </c>
      <c r="K194" t="s">
        <v>108</v>
      </c>
      <c r="L194">
        <v>10035</v>
      </c>
      <c r="M194" t="s">
        <v>586</v>
      </c>
      <c r="N194" t="s">
        <v>33</v>
      </c>
      <c r="O194" t="s">
        <v>70</v>
      </c>
      <c r="P194" t="s">
        <v>587</v>
      </c>
      <c r="Q194">
        <f>_xlfn.XLOOKUP(Table3[[#This Row],[Product Name]],Sales!A:A,Sales!B:B)</f>
        <v>51.84</v>
      </c>
      <c r="R194">
        <f>_xlfn.XLOOKUP(Table3[[#This Row],[Product Name]],Sales!A:A,Sales!C:C)</f>
        <v>8</v>
      </c>
      <c r="S194">
        <f>_xlfn.XLOOKUP(Table3[[#This Row],[Product Name]],Sales!A:A,Sales!D:D)</f>
        <v>0</v>
      </c>
      <c r="T194">
        <f>_xlfn.XLOOKUP(Table3[[#This Row],[Product Name]],Sales!A:A,Sales!E:E)</f>
        <v>24.883199999999999</v>
      </c>
    </row>
    <row r="195" spans="1:20" x14ac:dyDescent="0.3">
      <c r="A195">
        <v>193</v>
      </c>
      <c r="B195" t="s">
        <v>580</v>
      </c>
      <c r="C195">
        <v>12</v>
      </c>
      <c r="D195">
        <v>10</v>
      </c>
      <c r="E195">
        <v>2019</v>
      </c>
      <c r="F195" t="s">
        <v>142</v>
      </c>
      <c r="G195" t="s">
        <v>581</v>
      </c>
      <c r="H195" t="s">
        <v>2698</v>
      </c>
      <c r="I195" t="s">
        <v>78</v>
      </c>
      <c r="J195" t="s">
        <v>2434</v>
      </c>
      <c r="K195" t="s">
        <v>108</v>
      </c>
      <c r="L195">
        <v>10035</v>
      </c>
      <c r="M195" t="s">
        <v>152</v>
      </c>
      <c r="N195" t="s">
        <v>22</v>
      </c>
      <c r="O195" t="s">
        <v>23</v>
      </c>
      <c r="P195" t="s">
        <v>153</v>
      </c>
      <c r="Q195">
        <f>_xlfn.XLOOKUP(Table3[[#This Row],[Product Name]],Sales!A:A,Sales!B:B)</f>
        <v>532.39919999999995</v>
      </c>
      <c r="R195">
        <f>_xlfn.XLOOKUP(Table3[[#This Row],[Product Name]],Sales!A:A,Sales!C:C)</f>
        <v>3</v>
      </c>
      <c r="S195">
        <f>_xlfn.XLOOKUP(Table3[[#This Row],[Product Name]],Sales!A:A,Sales!D:D)</f>
        <v>0.32</v>
      </c>
      <c r="T195">
        <f>_xlfn.XLOOKUP(Table3[[#This Row],[Product Name]],Sales!A:A,Sales!E:E)</f>
        <v>-46.976399999999998</v>
      </c>
    </row>
    <row r="196" spans="1:20" x14ac:dyDescent="0.3">
      <c r="A196">
        <v>194</v>
      </c>
      <c r="B196" t="s">
        <v>580</v>
      </c>
      <c r="C196">
        <v>12</v>
      </c>
      <c r="D196">
        <v>10</v>
      </c>
      <c r="E196">
        <v>2019</v>
      </c>
      <c r="F196" t="s">
        <v>142</v>
      </c>
      <c r="G196" t="s">
        <v>581</v>
      </c>
      <c r="H196" t="s">
        <v>2698</v>
      </c>
      <c r="I196" t="s">
        <v>78</v>
      </c>
      <c r="J196" t="s">
        <v>2434</v>
      </c>
      <c r="K196" t="s">
        <v>108</v>
      </c>
      <c r="L196">
        <v>10035</v>
      </c>
      <c r="M196" t="s">
        <v>588</v>
      </c>
      <c r="N196" t="s">
        <v>33</v>
      </c>
      <c r="O196" t="s">
        <v>51</v>
      </c>
      <c r="P196" t="s">
        <v>589</v>
      </c>
      <c r="Q196">
        <f>_xlfn.XLOOKUP(Table3[[#This Row],[Product Name]],Sales!A:A,Sales!B:B)</f>
        <v>19.899999999999999</v>
      </c>
      <c r="R196">
        <f>_xlfn.XLOOKUP(Table3[[#This Row],[Product Name]],Sales!A:A,Sales!C:C)</f>
        <v>5</v>
      </c>
      <c r="S196">
        <f>_xlfn.XLOOKUP(Table3[[#This Row],[Product Name]],Sales!A:A,Sales!D:D)</f>
        <v>0</v>
      </c>
      <c r="T196">
        <f>_xlfn.XLOOKUP(Table3[[#This Row],[Product Name]],Sales!A:A,Sales!E:E)</f>
        <v>6.5670000000000002</v>
      </c>
    </row>
    <row r="197" spans="1:20" x14ac:dyDescent="0.3">
      <c r="A197">
        <v>195</v>
      </c>
      <c r="B197" t="s">
        <v>590</v>
      </c>
      <c r="C197">
        <v>31</v>
      </c>
      <c r="D197">
        <v>10</v>
      </c>
      <c r="E197">
        <v>2019</v>
      </c>
      <c r="F197" t="s">
        <v>37</v>
      </c>
      <c r="G197" t="s">
        <v>591</v>
      </c>
      <c r="H197" t="s">
        <v>2699</v>
      </c>
      <c r="I197" t="s">
        <v>30</v>
      </c>
      <c r="J197" t="s">
        <v>2471</v>
      </c>
      <c r="K197" t="s">
        <v>31</v>
      </c>
      <c r="L197">
        <v>92374</v>
      </c>
      <c r="M197" t="s">
        <v>128</v>
      </c>
      <c r="N197" t="s">
        <v>33</v>
      </c>
      <c r="O197" t="s">
        <v>129</v>
      </c>
      <c r="P197" t="s">
        <v>130</v>
      </c>
      <c r="Q197">
        <f>_xlfn.XLOOKUP(Table3[[#This Row],[Product Name]],Sales!A:A,Sales!B:B)</f>
        <v>3.2639999999999998</v>
      </c>
      <c r="R197">
        <f>_xlfn.XLOOKUP(Table3[[#This Row],[Product Name]],Sales!A:A,Sales!C:C)</f>
        <v>2</v>
      </c>
      <c r="S197">
        <f>_xlfn.XLOOKUP(Table3[[#This Row],[Product Name]],Sales!A:A,Sales!D:D)</f>
        <v>0.2</v>
      </c>
      <c r="T197">
        <f>_xlfn.XLOOKUP(Table3[[#This Row],[Product Name]],Sales!A:A,Sales!E:E)</f>
        <v>1.1015999999999999</v>
      </c>
    </row>
    <row r="198" spans="1:20" x14ac:dyDescent="0.3">
      <c r="A198">
        <v>196</v>
      </c>
      <c r="B198" t="s">
        <v>592</v>
      </c>
      <c r="C198">
        <v>21</v>
      </c>
      <c r="D198">
        <v>3</v>
      </c>
      <c r="E198">
        <v>2018</v>
      </c>
      <c r="F198" t="s">
        <v>37</v>
      </c>
      <c r="G198" t="s">
        <v>593</v>
      </c>
      <c r="H198" t="s">
        <v>2700</v>
      </c>
      <c r="I198" t="s">
        <v>19</v>
      </c>
      <c r="J198" t="s">
        <v>2472</v>
      </c>
      <c r="K198" t="s">
        <v>108</v>
      </c>
      <c r="L198">
        <v>45011</v>
      </c>
      <c r="M198" t="s">
        <v>594</v>
      </c>
      <c r="N198" t="s">
        <v>33</v>
      </c>
      <c r="O198" t="s">
        <v>51</v>
      </c>
      <c r="P198" t="s">
        <v>595</v>
      </c>
      <c r="Q198">
        <f>_xlfn.XLOOKUP(Table3[[#This Row],[Product Name]],Sales!A:A,Sales!B:B)</f>
        <v>7.4080000000000004</v>
      </c>
      <c r="R198">
        <f>_xlfn.XLOOKUP(Table3[[#This Row],[Product Name]],Sales!A:A,Sales!C:C)</f>
        <v>2</v>
      </c>
      <c r="S198">
        <f>_xlfn.XLOOKUP(Table3[[#This Row],[Product Name]],Sales!A:A,Sales!D:D)</f>
        <v>0.2</v>
      </c>
      <c r="T198">
        <f>_xlfn.XLOOKUP(Table3[[#This Row],[Product Name]],Sales!A:A,Sales!E:E)</f>
        <v>1.2038</v>
      </c>
    </row>
    <row r="199" spans="1:20" x14ac:dyDescent="0.3">
      <c r="A199">
        <v>197</v>
      </c>
      <c r="B199" t="s">
        <v>592</v>
      </c>
      <c r="C199">
        <v>21</v>
      </c>
      <c r="D199">
        <v>3</v>
      </c>
      <c r="E199">
        <v>2018</v>
      </c>
      <c r="F199" t="s">
        <v>37</v>
      </c>
      <c r="G199" t="s">
        <v>593</v>
      </c>
      <c r="H199" t="s">
        <v>2700</v>
      </c>
      <c r="I199" t="s">
        <v>19</v>
      </c>
      <c r="J199" t="s">
        <v>2472</v>
      </c>
      <c r="K199" t="s">
        <v>108</v>
      </c>
      <c r="L199">
        <v>45011</v>
      </c>
      <c r="M199" t="s">
        <v>596</v>
      </c>
      <c r="N199" t="s">
        <v>33</v>
      </c>
      <c r="O199" t="s">
        <v>51</v>
      </c>
      <c r="P199" t="s">
        <v>597</v>
      </c>
      <c r="Q199">
        <f>_xlfn.XLOOKUP(Table3[[#This Row],[Product Name]],Sales!A:A,Sales!B:B)</f>
        <v>6.048</v>
      </c>
      <c r="R199">
        <f>_xlfn.XLOOKUP(Table3[[#This Row],[Product Name]],Sales!A:A,Sales!C:C)</f>
        <v>3</v>
      </c>
      <c r="S199">
        <f>_xlfn.XLOOKUP(Table3[[#This Row],[Product Name]],Sales!A:A,Sales!D:D)</f>
        <v>0.2</v>
      </c>
      <c r="T199">
        <f>_xlfn.XLOOKUP(Table3[[#This Row],[Product Name]],Sales!A:A,Sales!E:E)</f>
        <v>1.5875999999999999</v>
      </c>
    </row>
    <row r="200" spans="1:20" x14ac:dyDescent="0.3">
      <c r="A200" t="s">
        <v>2656</v>
      </c>
      <c r="B200" t="s">
        <v>2656</v>
      </c>
      <c r="C200" t="s">
        <v>2656</v>
      </c>
      <c r="D200" t="s">
        <v>2656</v>
      </c>
      <c r="E200" t="s">
        <v>2656</v>
      </c>
      <c r="F200" t="s">
        <v>2656</v>
      </c>
      <c r="G200" t="s">
        <v>2656</v>
      </c>
      <c r="H200" t="s">
        <v>2656</v>
      </c>
      <c r="I200" t="s">
        <v>2656</v>
      </c>
      <c r="J200" t="s">
        <v>2656</v>
      </c>
      <c r="K200" t="s">
        <v>2656</v>
      </c>
      <c r="L200" t="s">
        <v>2656</v>
      </c>
      <c r="M200" t="s">
        <v>2656</v>
      </c>
      <c r="N200" t="s">
        <v>2656</v>
      </c>
      <c r="O200" t="s">
        <v>2656</v>
      </c>
      <c r="P200" t="s">
        <v>2656</v>
      </c>
      <c r="Q200" t="str">
        <f>_xlfn.XLOOKUP(Table3[[#This Row],[Product Name]],Sales!A:A,Sales!B:B)</f>
        <v>null</v>
      </c>
      <c r="R200" t="str">
        <f>_xlfn.XLOOKUP(Table3[[#This Row],[Product Name]],Sales!A:A,Sales!C:C)</f>
        <v>null</v>
      </c>
      <c r="S200" t="str">
        <f>_xlfn.XLOOKUP(Table3[[#This Row],[Product Name]],Sales!A:A,Sales!D:D)</f>
        <v>null</v>
      </c>
      <c r="T200" t="str">
        <f>_xlfn.XLOOKUP(Table3[[#This Row],[Product Name]],Sales!A:A,Sales!E:E)</f>
        <v>null</v>
      </c>
    </row>
    <row r="201" spans="1:20" x14ac:dyDescent="0.3">
      <c r="A201">
        <v>198</v>
      </c>
      <c r="B201" t="s">
        <v>598</v>
      </c>
      <c r="C201">
        <v>6</v>
      </c>
      <c r="D201">
        <v>11</v>
      </c>
      <c r="E201">
        <v>2021</v>
      </c>
      <c r="F201" t="s">
        <v>37</v>
      </c>
      <c r="G201" t="s">
        <v>599</v>
      </c>
      <c r="H201" t="s">
        <v>2701</v>
      </c>
      <c r="I201" t="s">
        <v>78</v>
      </c>
      <c r="J201" t="s">
        <v>2473</v>
      </c>
      <c r="K201" t="s">
        <v>108</v>
      </c>
      <c r="L201">
        <v>7090</v>
      </c>
      <c r="M201" t="s">
        <v>600</v>
      </c>
      <c r="N201" t="s">
        <v>33</v>
      </c>
      <c r="O201" t="s">
        <v>43</v>
      </c>
      <c r="P201" t="s">
        <v>601</v>
      </c>
      <c r="Q201">
        <f>_xlfn.XLOOKUP(Table3[[#This Row],[Product Name]],Sales!A:A,Sales!B:B)</f>
        <v>46.26</v>
      </c>
      <c r="R201">
        <f>_xlfn.XLOOKUP(Table3[[#This Row],[Product Name]],Sales!A:A,Sales!C:C)</f>
        <v>3</v>
      </c>
      <c r="S201">
        <f>_xlfn.XLOOKUP(Table3[[#This Row],[Product Name]],Sales!A:A,Sales!D:D)</f>
        <v>0</v>
      </c>
      <c r="T201">
        <f>_xlfn.XLOOKUP(Table3[[#This Row],[Product Name]],Sales!A:A,Sales!E:E)</f>
        <v>12.0276</v>
      </c>
    </row>
    <row r="202" spans="1:20" x14ac:dyDescent="0.3">
      <c r="A202">
        <v>199</v>
      </c>
      <c r="B202" t="s">
        <v>602</v>
      </c>
      <c r="C202">
        <v>6</v>
      </c>
      <c r="D202">
        <v>7</v>
      </c>
      <c r="E202">
        <v>2021</v>
      </c>
      <c r="F202" t="s">
        <v>37</v>
      </c>
      <c r="G202" t="s">
        <v>603</v>
      </c>
      <c r="H202" t="s">
        <v>2702</v>
      </c>
      <c r="I202" t="s">
        <v>30</v>
      </c>
      <c r="J202" t="s">
        <v>2424</v>
      </c>
      <c r="K202" t="s">
        <v>108</v>
      </c>
      <c r="L202">
        <v>19120</v>
      </c>
      <c r="M202" t="s">
        <v>604</v>
      </c>
      <c r="N202" t="s">
        <v>33</v>
      </c>
      <c r="O202" t="s">
        <v>58</v>
      </c>
      <c r="P202" t="s">
        <v>605</v>
      </c>
      <c r="Q202">
        <f>_xlfn.XLOOKUP(Table3[[#This Row],[Product Name]],Sales!A:A,Sales!B:B)</f>
        <v>2.9460000000000002</v>
      </c>
      <c r="R202">
        <f>_xlfn.XLOOKUP(Table3[[#This Row],[Product Name]],Sales!A:A,Sales!C:C)</f>
        <v>2</v>
      </c>
      <c r="S202">
        <f>_xlfn.XLOOKUP(Table3[[#This Row],[Product Name]],Sales!A:A,Sales!D:D)</f>
        <v>0.7</v>
      </c>
      <c r="T202">
        <f>_xlfn.XLOOKUP(Table3[[#This Row],[Product Name]],Sales!A:A,Sales!E:E)</f>
        <v>-2.2585999999999999</v>
      </c>
    </row>
    <row r="203" spans="1:20" x14ac:dyDescent="0.3">
      <c r="A203">
        <v>200</v>
      </c>
      <c r="B203" t="s">
        <v>602</v>
      </c>
      <c r="C203">
        <v>6</v>
      </c>
      <c r="D203">
        <v>7</v>
      </c>
      <c r="E203">
        <v>2021</v>
      </c>
      <c r="F203" t="s">
        <v>37</v>
      </c>
      <c r="G203" t="s">
        <v>603</v>
      </c>
      <c r="H203" t="s">
        <v>2702</v>
      </c>
      <c r="I203" t="s">
        <v>30</v>
      </c>
      <c r="J203" t="s">
        <v>2424</v>
      </c>
      <c r="K203" t="s">
        <v>108</v>
      </c>
      <c r="L203">
        <v>19120</v>
      </c>
      <c r="M203" t="s">
        <v>606</v>
      </c>
      <c r="N203" t="s">
        <v>33</v>
      </c>
      <c r="O203" t="s">
        <v>70</v>
      </c>
      <c r="P203" t="s">
        <v>607</v>
      </c>
      <c r="Q203">
        <f>_xlfn.XLOOKUP(Table3[[#This Row],[Product Name]],Sales!A:A,Sales!B:B)</f>
        <v>16.056000000000001</v>
      </c>
      <c r="R203">
        <f>_xlfn.XLOOKUP(Table3[[#This Row],[Product Name]],Sales!A:A,Sales!C:C)</f>
        <v>3</v>
      </c>
      <c r="S203">
        <f>_xlfn.XLOOKUP(Table3[[#This Row],[Product Name]],Sales!A:A,Sales!D:D)</f>
        <v>0.2</v>
      </c>
      <c r="T203">
        <f>_xlfn.XLOOKUP(Table3[[#This Row],[Product Name]],Sales!A:A,Sales!E:E)</f>
        <v>5.8202999999999996</v>
      </c>
    </row>
    <row r="204" spans="1:20" x14ac:dyDescent="0.3">
      <c r="A204">
        <v>201</v>
      </c>
      <c r="B204" t="s">
        <v>608</v>
      </c>
      <c r="C204">
        <v>24</v>
      </c>
      <c r="D204">
        <v>6</v>
      </c>
      <c r="E204">
        <v>2021</v>
      </c>
      <c r="F204" t="s">
        <v>37</v>
      </c>
      <c r="G204" t="s">
        <v>609</v>
      </c>
      <c r="H204" t="s">
        <v>2703</v>
      </c>
      <c r="I204" t="s">
        <v>19</v>
      </c>
      <c r="J204" t="s">
        <v>2474</v>
      </c>
      <c r="K204" t="s">
        <v>108</v>
      </c>
      <c r="L204">
        <v>44312</v>
      </c>
      <c r="M204" t="s">
        <v>610</v>
      </c>
      <c r="N204" t="s">
        <v>33</v>
      </c>
      <c r="O204" t="s">
        <v>70</v>
      </c>
      <c r="P204" t="s">
        <v>611</v>
      </c>
      <c r="Q204">
        <f>_xlfn.XLOOKUP(Table3[[#This Row],[Product Name]],Sales!A:A,Sales!B:B)</f>
        <v>21.744</v>
      </c>
      <c r="R204">
        <f>_xlfn.XLOOKUP(Table3[[#This Row],[Product Name]],Sales!A:A,Sales!C:C)</f>
        <v>3</v>
      </c>
      <c r="S204">
        <f>_xlfn.XLOOKUP(Table3[[#This Row],[Product Name]],Sales!A:A,Sales!D:D)</f>
        <v>0.2</v>
      </c>
      <c r="T204">
        <f>_xlfn.XLOOKUP(Table3[[#This Row],[Product Name]],Sales!A:A,Sales!E:E)</f>
        <v>6.7949999999999999</v>
      </c>
    </row>
    <row r="205" spans="1:20" x14ac:dyDescent="0.3">
      <c r="A205">
        <v>202</v>
      </c>
      <c r="B205" t="s">
        <v>612</v>
      </c>
      <c r="C205">
        <v>3</v>
      </c>
      <c r="D205">
        <v>8</v>
      </c>
      <c r="E205">
        <v>2018</v>
      </c>
      <c r="F205" t="s">
        <v>142</v>
      </c>
      <c r="G205" t="s">
        <v>613</v>
      </c>
      <c r="H205" t="s">
        <v>2704</v>
      </c>
      <c r="I205" t="s">
        <v>19</v>
      </c>
      <c r="J205" t="s">
        <v>2475</v>
      </c>
      <c r="K205" t="s">
        <v>31</v>
      </c>
      <c r="L205">
        <v>80219</v>
      </c>
      <c r="M205" t="s">
        <v>614</v>
      </c>
      <c r="N205" t="s">
        <v>22</v>
      </c>
      <c r="O205" t="s">
        <v>40</v>
      </c>
      <c r="P205" t="s">
        <v>615</v>
      </c>
      <c r="Q205">
        <f>_xlfn.XLOOKUP(Table3[[#This Row],[Product Name]],Sales!A:A,Sales!B:B)</f>
        <v>218.75</v>
      </c>
      <c r="R205">
        <f>_xlfn.XLOOKUP(Table3[[#This Row],[Product Name]],Sales!A:A,Sales!C:C)</f>
        <v>2</v>
      </c>
      <c r="S205">
        <f>_xlfn.XLOOKUP(Table3[[#This Row],[Product Name]],Sales!A:A,Sales!D:D)</f>
        <v>0.5</v>
      </c>
      <c r="T205">
        <f>_xlfn.XLOOKUP(Table3[[#This Row],[Product Name]],Sales!A:A,Sales!E:E)</f>
        <v>-161.875</v>
      </c>
    </row>
    <row r="206" spans="1:20" x14ac:dyDescent="0.3">
      <c r="A206">
        <v>203</v>
      </c>
      <c r="B206" t="s">
        <v>612</v>
      </c>
      <c r="C206">
        <v>3</v>
      </c>
      <c r="D206">
        <v>8</v>
      </c>
      <c r="E206">
        <v>2018</v>
      </c>
      <c r="F206" t="s">
        <v>142</v>
      </c>
      <c r="G206" t="s">
        <v>613</v>
      </c>
      <c r="H206" t="s">
        <v>2704</v>
      </c>
      <c r="I206" t="s">
        <v>19</v>
      </c>
      <c r="J206" t="s">
        <v>2475</v>
      </c>
      <c r="K206" t="s">
        <v>31</v>
      </c>
      <c r="L206">
        <v>80219</v>
      </c>
      <c r="M206" t="s">
        <v>616</v>
      </c>
      <c r="N206" t="s">
        <v>33</v>
      </c>
      <c r="O206" t="s">
        <v>61</v>
      </c>
      <c r="P206" t="s">
        <v>617</v>
      </c>
      <c r="Q206">
        <f>_xlfn.XLOOKUP(Table3[[#This Row],[Product Name]],Sales!A:A,Sales!B:B)</f>
        <v>2.6</v>
      </c>
      <c r="R206">
        <f>_xlfn.XLOOKUP(Table3[[#This Row],[Product Name]],Sales!A:A,Sales!C:C)</f>
        <v>1</v>
      </c>
      <c r="S206">
        <f>_xlfn.XLOOKUP(Table3[[#This Row],[Product Name]],Sales!A:A,Sales!D:D)</f>
        <v>0.2</v>
      </c>
      <c r="T206">
        <f>_xlfn.XLOOKUP(Table3[[#This Row],[Product Name]],Sales!A:A,Sales!E:E)</f>
        <v>0.29249999999999998</v>
      </c>
    </row>
    <row r="207" spans="1:20" x14ac:dyDescent="0.3">
      <c r="A207">
        <v>204</v>
      </c>
      <c r="B207" t="s">
        <v>618</v>
      </c>
      <c r="C207">
        <v>17</v>
      </c>
      <c r="D207">
        <v>12</v>
      </c>
      <c r="E207">
        <v>2021</v>
      </c>
      <c r="F207" t="s">
        <v>17</v>
      </c>
      <c r="G207" t="s">
        <v>619</v>
      </c>
      <c r="H207" t="s">
        <v>2705</v>
      </c>
      <c r="I207" t="s">
        <v>19</v>
      </c>
      <c r="J207" t="s">
        <v>2476</v>
      </c>
      <c r="K207" t="s">
        <v>79</v>
      </c>
      <c r="L207">
        <v>75220</v>
      </c>
      <c r="M207" t="s">
        <v>620</v>
      </c>
      <c r="N207" t="s">
        <v>33</v>
      </c>
      <c r="O207" t="s">
        <v>61</v>
      </c>
      <c r="P207" t="s">
        <v>2974</v>
      </c>
      <c r="Q207">
        <f>_xlfn.XLOOKUP(Table3[[#This Row],[Product Name]],Sales!A:A,Sales!B:B)</f>
        <v>66.284000000000006</v>
      </c>
      <c r="R207">
        <f>_xlfn.XLOOKUP(Table3[[#This Row],[Product Name]],Sales!A:A,Sales!C:C)</f>
        <v>2</v>
      </c>
      <c r="S207">
        <f>_xlfn.XLOOKUP(Table3[[#This Row],[Product Name]],Sales!A:A,Sales!D:D)</f>
        <v>0.8</v>
      </c>
      <c r="T207">
        <f>_xlfn.XLOOKUP(Table3[[#This Row],[Product Name]],Sales!A:A,Sales!E:E)</f>
        <v>-178.96680000000001</v>
      </c>
    </row>
    <row r="208" spans="1:20" x14ac:dyDescent="0.3">
      <c r="A208">
        <v>205</v>
      </c>
      <c r="B208" t="s">
        <v>621</v>
      </c>
      <c r="C208">
        <v>3</v>
      </c>
      <c r="D208">
        <v>6</v>
      </c>
      <c r="E208">
        <v>2021</v>
      </c>
      <c r="F208" t="s">
        <v>37</v>
      </c>
      <c r="G208" t="s">
        <v>622</v>
      </c>
      <c r="H208" t="s">
        <v>2706</v>
      </c>
      <c r="I208" t="s">
        <v>30</v>
      </c>
      <c r="J208" t="s">
        <v>2477</v>
      </c>
      <c r="K208" t="s">
        <v>20</v>
      </c>
      <c r="L208">
        <v>37064</v>
      </c>
      <c r="M208" t="s">
        <v>623</v>
      </c>
      <c r="N208" t="s">
        <v>22</v>
      </c>
      <c r="O208" t="s">
        <v>48</v>
      </c>
      <c r="P208" t="s">
        <v>624</v>
      </c>
      <c r="Q208">
        <f>_xlfn.XLOOKUP(Table3[[#This Row],[Product Name]],Sales!A:A,Sales!B:B)</f>
        <v>35.167999999999999</v>
      </c>
      <c r="R208">
        <f>_xlfn.XLOOKUP(Table3[[#This Row],[Product Name]],Sales!A:A,Sales!C:C)</f>
        <v>7</v>
      </c>
      <c r="S208">
        <f>_xlfn.XLOOKUP(Table3[[#This Row],[Product Name]],Sales!A:A,Sales!D:D)</f>
        <v>0.2</v>
      </c>
      <c r="T208">
        <f>_xlfn.XLOOKUP(Table3[[#This Row],[Product Name]],Sales!A:A,Sales!E:E)</f>
        <v>9.6712000000000007</v>
      </c>
    </row>
    <row r="209" spans="1:20" x14ac:dyDescent="0.3">
      <c r="A209">
        <v>206</v>
      </c>
      <c r="B209" t="s">
        <v>625</v>
      </c>
      <c r="C209">
        <v>9</v>
      </c>
      <c r="D209">
        <v>12</v>
      </c>
      <c r="E209">
        <v>2021</v>
      </c>
      <c r="F209" t="s">
        <v>37</v>
      </c>
      <c r="G209" t="s">
        <v>626</v>
      </c>
      <c r="H209" t="s">
        <v>2707</v>
      </c>
      <c r="I209" t="s">
        <v>19</v>
      </c>
      <c r="J209" t="s">
        <v>2478</v>
      </c>
      <c r="K209" t="s">
        <v>31</v>
      </c>
      <c r="L209">
        <v>90604</v>
      </c>
      <c r="M209" t="s">
        <v>627</v>
      </c>
      <c r="N209" t="s">
        <v>54</v>
      </c>
      <c r="O209" t="s">
        <v>55</v>
      </c>
      <c r="P209" t="s">
        <v>628</v>
      </c>
      <c r="Q209">
        <f>_xlfn.XLOOKUP(Table3[[#This Row],[Product Name]],Sales!A:A,Sales!B:B)</f>
        <v>444.76799999999997</v>
      </c>
      <c r="R209">
        <f>_xlfn.XLOOKUP(Table3[[#This Row],[Product Name]],Sales!A:A,Sales!C:C)</f>
        <v>4</v>
      </c>
      <c r="S209">
        <f>_xlfn.XLOOKUP(Table3[[#This Row],[Product Name]],Sales!A:A,Sales!D:D)</f>
        <v>0.2</v>
      </c>
      <c r="T209">
        <f>_xlfn.XLOOKUP(Table3[[#This Row],[Product Name]],Sales!A:A,Sales!E:E)</f>
        <v>44.476799999999997</v>
      </c>
    </row>
    <row r="210" spans="1:20" x14ac:dyDescent="0.3">
      <c r="A210">
        <v>207</v>
      </c>
      <c r="B210" t="s">
        <v>629</v>
      </c>
      <c r="C210">
        <v>1</v>
      </c>
      <c r="D210">
        <v>12</v>
      </c>
      <c r="E210">
        <v>2021</v>
      </c>
      <c r="F210" t="s">
        <v>37</v>
      </c>
      <c r="G210" t="s">
        <v>630</v>
      </c>
      <c r="H210" t="s">
        <v>2708</v>
      </c>
      <c r="I210" t="s">
        <v>19</v>
      </c>
      <c r="J210" t="s">
        <v>2479</v>
      </c>
      <c r="K210" t="s">
        <v>79</v>
      </c>
      <c r="L210">
        <v>48601</v>
      </c>
      <c r="M210" t="s">
        <v>631</v>
      </c>
      <c r="N210" t="s">
        <v>33</v>
      </c>
      <c r="O210" t="s">
        <v>43</v>
      </c>
      <c r="P210" t="s">
        <v>632</v>
      </c>
      <c r="Q210">
        <f>_xlfn.XLOOKUP(Table3[[#This Row],[Product Name]],Sales!A:A,Sales!B:B)</f>
        <v>83.92</v>
      </c>
      <c r="R210">
        <f>_xlfn.XLOOKUP(Table3[[#This Row],[Product Name]],Sales!A:A,Sales!C:C)</f>
        <v>4</v>
      </c>
      <c r="S210">
        <f>_xlfn.XLOOKUP(Table3[[#This Row],[Product Name]],Sales!A:A,Sales!D:D)</f>
        <v>0</v>
      </c>
      <c r="T210">
        <f>_xlfn.XLOOKUP(Table3[[#This Row],[Product Name]],Sales!A:A,Sales!E:E)</f>
        <v>5.8743999999999996</v>
      </c>
    </row>
    <row r="211" spans="1:20" x14ac:dyDescent="0.3">
      <c r="A211">
        <v>208</v>
      </c>
      <c r="B211" t="s">
        <v>629</v>
      </c>
      <c r="C211">
        <v>1</v>
      </c>
      <c r="D211">
        <v>12</v>
      </c>
      <c r="E211">
        <v>2021</v>
      </c>
      <c r="F211" t="s">
        <v>37</v>
      </c>
      <c r="G211" t="s">
        <v>630</v>
      </c>
      <c r="H211" t="s">
        <v>2708</v>
      </c>
      <c r="I211" t="s">
        <v>19</v>
      </c>
      <c r="J211" t="s">
        <v>2479</v>
      </c>
      <c r="K211" t="s">
        <v>79</v>
      </c>
      <c r="L211">
        <v>48601</v>
      </c>
      <c r="M211" t="s">
        <v>633</v>
      </c>
      <c r="N211" t="s">
        <v>54</v>
      </c>
      <c r="O211" t="s">
        <v>55</v>
      </c>
      <c r="P211" t="s">
        <v>634</v>
      </c>
      <c r="Q211">
        <f>_xlfn.XLOOKUP(Table3[[#This Row],[Product Name]],Sales!A:A,Sales!B:B)</f>
        <v>131.97999999999999</v>
      </c>
      <c r="R211">
        <f>_xlfn.XLOOKUP(Table3[[#This Row],[Product Name]],Sales!A:A,Sales!C:C)</f>
        <v>2</v>
      </c>
      <c r="S211">
        <f>_xlfn.XLOOKUP(Table3[[#This Row],[Product Name]],Sales!A:A,Sales!D:D)</f>
        <v>0</v>
      </c>
      <c r="T211">
        <f>_xlfn.XLOOKUP(Table3[[#This Row],[Product Name]],Sales!A:A,Sales!E:E)</f>
        <v>35.634599999999999</v>
      </c>
    </row>
    <row r="212" spans="1:20" x14ac:dyDescent="0.3">
      <c r="A212">
        <v>209</v>
      </c>
      <c r="B212" t="s">
        <v>629</v>
      </c>
      <c r="C212">
        <v>1</v>
      </c>
      <c r="D212">
        <v>12</v>
      </c>
      <c r="E212">
        <v>2021</v>
      </c>
      <c r="F212" t="s">
        <v>37</v>
      </c>
      <c r="G212" t="s">
        <v>630</v>
      </c>
      <c r="H212" t="s">
        <v>2708</v>
      </c>
      <c r="I212" t="s">
        <v>19</v>
      </c>
      <c r="J212" t="s">
        <v>2479</v>
      </c>
      <c r="K212" t="s">
        <v>79</v>
      </c>
      <c r="L212">
        <v>48601</v>
      </c>
      <c r="M212" t="s">
        <v>408</v>
      </c>
      <c r="N212" t="s">
        <v>33</v>
      </c>
      <c r="O212" t="s">
        <v>58</v>
      </c>
      <c r="P212" t="s">
        <v>409</v>
      </c>
      <c r="Q212">
        <f>_xlfn.XLOOKUP(Table3[[#This Row],[Product Name]],Sales!A:A,Sales!B:B)</f>
        <v>2.3879999999999999</v>
      </c>
      <c r="R212">
        <f>_xlfn.XLOOKUP(Table3[[#This Row],[Product Name]],Sales!A:A,Sales!C:C)</f>
        <v>2</v>
      </c>
      <c r="S212">
        <f>_xlfn.XLOOKUP(Table3[[#This Row],[Product Name]],Sales!A:A,Sales!D:D)</f>
        <v>0.7</v>
      </c>
      <c r="T212">
        <f>_xlfn.XLOOKUP(Table3[[#This Row],[Product Name]],Sales!A:A,Sales!E:E)</f>
        <v>-1.8308</v>
      </c>
    </row>
    <row r="213" spans="1:20" x14ac:dyDescent="0.3">
      <c r="A213">
        <v>210</v>
      </c>
      <c r="B213" t="s">
        <v>629</v>
      </c>
      <c r="C213">
        <v>1</v>
      </c>
      <c r="D213">
        <v>12</v>
      </c>
      <c r="E213">
        <v>2021</v>
      </c>
      <c r="F213" t="s">
        <v>37</v>
      </c>
      <c r="G213" t="s">
        <v>630</v>
      </c>
      <c r="H213" t="s">
        <v>2708</v>
      </c>
      <c r="I213" t="s">
        <v>19</v>
      </c>
      <c r="J213" t="s">
        <v>2479</v>
      </c>
      <c r="K213" t="s">
        <v>79</v>
      </c>
      <c r="L213">
        <v>48601</v>
      </c>
      <c r="M213" t="s">
        <v>635</v>
      </c>
      <c r="N213" t="s">
        <v>33</v>
      </c>
      <c r="O213" t="s">
        <v>199</v>
      </c>
      <c r="P213" t="s">
        <v>636</v>
      </c>
      <c r="Q213">
        <f>_xlfn.XLOOKUP(Table3[[#This Row],[Product Name]],Sales!A:A,Sales!B:B)</f>
        <v>52.29</v>
      </c>
      <c r="R213">
        <f>_xlfn.XLOOKUP(Table3[[#This Row],[Product Name]],Sales!A:A,Sales!C:C)</f>
        <v>9</v>
      </c>
      <c r="S213">
        <f>_xlfn.XLOOKUP(Table3[[#This Row],[Product Name]],Sales!A:A,Sales!D:D)</f>
        <v>0</v>
      </c>
      <c r="T213">
        <f>_xlfn.XLOOKUP(Table3[[#This Row],[Product Name]],Sales!A:A,Sales!E:E)</f>
        <v>16.209900000000001</v>
      </c>
    </row>
    <row r="214" spans="1:20" x14ac:dyDescent="0.3">
      <c r="A214">
        <v>211</v>
      </c>
      <c r="B214" t="s">
        <v>629</v>
      </c>
      <c r="C214">
        <v>1</v>
      </c>
      <c r="D214">
        <v>12</v>
      </c>
      <c r="E214">
        <v>2021</v>
      </c>
      <c r="F214" t="s">
        <v>37</v>
      </c>
      <c r="G214" t="s">
        <v>630</v>
      </c>
      <c r="H214" t="s">
        <v>2708</v>
      </c>
      <c r="I214" t="s">
        <v>19</v>
      </c>
      <c r="J214" t="s">
        <v>2479</v>
      </c>
      <c r="K214" t="s">
        <v>79</v>
      </c>
      <c r="L214">
        <v>48601</v>
      </c>
      <c r="M214" t="s">
        <v>637</v>
      </c>
      <c r="N214" t="s">
        <v>33</v>
      </c>
      <c r="O214" t="s">
        <v>43</v>
      </c>
      <c r="P214" t="s">
        <v>638</v>
      </c>
      <c r="Q214">
        <f>_xlfn.XLOOKUP(Table3[[#This Row],[Product Name]],Sales!A:A,Sales!B:B)</f>
        <v>91.99</v>
      </c>
      <c r="R214">
        <f>_xlfn.XLOOKUP(Table3[[#This Row],[Product Name]],Sales!A:A,Sales!C:C)</f>
        <v>1</v>
      </c>
      <c r="S214">
        <f>_xlfn.XLOOKUP(Table3[[#This Row],[Product Name]],Sales!A:A,Sales!D:D)</f>
        <v>0</v>
      </c>
      <c r="T214">
        <f>_xlfn.XLOOKUP(Table3[[#This Row],[Product Name]],Sales!A:A,Sales!E:E)</f>
        <v>3.6796000000000002</v>
      </c>
    </row>
    <row r="215" spans="1:20" x14ac:dyDescent="0.3">
      <c r="A215">
        <v>212</v>
      </c>
      <c r="B215" t="s">
        <v>639</v>
      </c>
      <c r="C215">
        <v>9</v>
      </c>
      <c r="D215">
        <v>2</v>
      </c>
      <c r="E215">
        <v>2019</v>
      </c>
      <c r="F215" t="s">
        <v>17</v>
      </c>
      <c r="G215" t="s">
        <v>640</v>
      </c>
      <c r="H215" t="s">
        <v>2709</v>
      </c>
      <c r="I215" t="s">
        <v>30</v>
      </c>
      <c r="J215" t="s">
        <v>2476</v>
      </c>
      <c r="K215" t="s">
        <v>79</v>
      </c>
      <c r="L215">
        <v>75220</v>
      </c>
      <c r="M215" t="s">
        <v>641</v>
      </c>
      <c r="N215" t="s">
        <v>54</v>
      </c>
      <c r="O215" t="s">
        <v>118</v>
      </c>
      <c r="P215" t="s">
        <v>642</v>
      </c>
      <c r="Q215">
        <f>_xlfn.XLOOKUP(Table3[[#This Row],[Product Name]],Sales!A:A,Sales!B:B)</f>
        <v>20.8</v>
      </c>
      <c r="R215">
        <f>_xlfn.XLOOKUP(Table3[[#This Row],[Product Name]],Sales!A:A,Sales!C:C)</f>
        <v>2</v>
      </c>
      <c r="S215">
        <f>_xlfn.XLOOKUP(Table3[[#This Row],[Product Name]],Sales!A:A,Sales!D:D)</f>
        <v>0.2</v>
      </c>
      <c r="T215">
        <f>_xlfn.XLOOKUP(Table3[[#This Row],[Product Name]],Sales!A:A,Sales!E:E)</f>
        <v>6.5</v>
      </c>
    </row>
    <row r="216" spans="1:20" x14ac:dyDescent="0.3">
      <c r="A216">
        <v>213</v>
      </c>
      <c r="B216" t="s">
        <v>643</v>
      </c>
      <c r="C216">
        <v>2</v>
      </c>
      <c r="D216">
        <v>1</v>
      </c>
      <c r="E216">
        <v>2019</v>
      </c>
      <c r="F216" t="s">
        <v>37</v>
      </c>
      <c r="G216" t="s">
        <v>644</v>
      </c>
      <c r="H216" t="s">
        <v>2710</v>
      </c>
      <c r="I216" t="s">
        <v>30</v>
      </c>
      <c r="J216" t="s">
        <v>2480</v>
      </c>
      <c r="K216" t="s">
        <v>108</v>
      </c>
      <c r="L216">
        <v>44256</v>
      </c>
      <c r="M216" t="s">
        <v>645</v>
      </c>
      <c r="N216" t="s">
        <v>33</v>
      </c>
      <c r="O216" t="s">
        <v>34</v>
      </c>
      <c r="P216" t="s">
        <v>646</v>
      </c>
      <c r="Q216">
        <f>_xlfn.XLOOKUP(Table3[[#This Row],[Product Name]],Sales!A:A,Sales!B:B)</f>
        <v>23.68</v>
      </c>
      <c r="R216">
        <f>_xlfn.XLOOKUP(Table3[[#This Row],[Product Name]],Sales!A:A,Sales!C:C)</f>
        <v>2</v>
      </c>
      <c r="S216">
        <f>_xlfn.XLOOKUP(Table3[[#This Row],[Product Name]],Sales!A:A,Sales!D:D)</f>
        <v>0.2</v>
      </c>
      <c r="T216">
        <f>_xlfn.XLOOKUP(Table3[[#This Row],[Product Name]],Sales!A:A,Sales!E:E)</f>
        <v>8.8800000000000008</v>
      </c>
    </row>
    <row r="217" spans="1:20" x14ac:dyDescent="0.3">
      <c r="A217">
        <v>214</v>
      </c>
      <c r="B217" t="s">
        <v>643</v>
      </c>
      <c r="C217">
        <v>2</v>
      </c>
      <c r="D217">
        <v>1</v>
      </c>
      <c r="E217">
        <v>2019</v>
      </c>
      <c r="F217" t="s">
        <v>37</v>
      </c>
      <c r="G217" t="s">
        <v>644</v>
      </c>
      <c r="H217" t="s">
        <v>2710</v>
      </c>
      <c r="I217" t="s">
        <v>30</v>
      </c>
      <c r="J217" t="s">
        <v>2480</v>
      </c>
      <c r="K217" t="s">
        <v>108</v>
      </c>
      <c r="L217">
        <v>44256</v>
      </c>
      <c r="M217" t="s">
        <v>647</v>
      </c>
      <c r="N217" t="s">
        <v>22</v>
      </c>
      <c r="O217" t="s">
        <v>23</v>
      </c>
      <c r="P217" t="s">
        <v>648</v>
      </c>
      <c r="Q217">
        <f>_xlfn.XLOOKUP(Table3[[#This Row],[Product Name]],Sales!A:A,Sales!B:B)</f>
        <v>452.45</v>
      </c>
      <c r="R217">
        <f>_xlfn.XLOOKUP(Table3[[#This Row],[Product Name]],Sales!A:A,Sales!C:C)</f>
        <v>5</v>
      </c>
      <c r="S217">
        <f>_xlfn.XLOOKUP(Table3[[#This Row],[Product Name]],Sales!A:A,Sales!D:D)</f>
        <v>0.5</v>
      </c>
      <c r="T217">
        <f>_xlfn.XLOOKUP(Table3[[#This Row],[Product Name]],Sales!A:A,Sales!E:E)</f>
        <v>-244.32300000000001</v>
      </c>
    </row>
    <row r="218" spans="1:20" x14ac:dyDescent="0.3">
      <c r="A218">
        <v>215</v>
      </c>
      <c r="B218" t="s">
        <v>643</v>
      </c>
      <c r="C218">
        <v>2</v>
      </c>
      <c r="D218">
        <v>1</v>
      </c>
      <c r="E218">
        <v>2019</v>
      </c>
      <c r="F218" t="s">
        <v>37</v>
      </c>
      <c r="G218" t="s">
        <v>644</v>
      </c>
      <c r="H218" t="s">
        <v>2710</v>
      </c>
      <c r="I218" t="s">
        <v>30</v>
      </c>
      <c r="J218" t="s">
        <v>2480</v>
      </c>
      <c r="K218" t="s">
        <v>108</v>
      </c>
      <c r="L218">
        <v>44256</v>
      </c>
      <c r="M218" t="s">
        <v>353</v>
      </c>
      <c r="N218" t="s">
        <v>54</v>
      </c>
      <c r="O218" t="s">
        <v>55</v>
      </c>
      <c r="P218" t="s">
        <v>354</v>
      </c>
      <c r="Q218">
        <f>_xlfn.XLOOKUP(Table3[[#This Row],[Product Name]],Sales!A:A,Sales!B:B)</f>
        <v>27.992000000000001</v>
      </c>
      <c r="R218">
        <f>_xlfn.XLOOKUP(Table3[[#This Row],[Product Name]],Sales!A:A,Sales!C:C)</f>
        <v>1</v>
      </c>
      <c r="S218">
        <f>_xlfn.XLOOKUP(Table3[[#This Row],[Product Name]],Sales!A:A,Sales!D:D)</f>
        <v>0.2</v>
      </c>
      <c r="T218">
        <f>_xlfn.XLOOKUP(Table3[[#This Row],[Product Name]],Sales!A:A,Sales!E:E)</f>
        <v>2.0994000000000002</v>
      </c>
    </row>
    <row r="219" spans="1:20" x14ac:dyDescent="0.3">
      <c r="A219">
        <v>216</v>
      </c>
      <c r="B219" t="s">
        <v>643</v>
      </c>
      <c r="C219">
        <v>2</v>
      </c>
      <c r="D219">
        <v>1</v>
      </c>
      <c r="E219">
        <v>2019</v>
      </c>
      <c r="F219" t="s">
        <v>37</v>
      </c>
      <c r="G219" t="s">
        <v>644</v>
      </c>
      <c r="H219" t="s">
        <v>2710</v>
      </c>
      <c r="I219" t="s">
        <v>30</v>
      </c>
      <c r="J219" t="s">
        <v>2480</v>
      </c>
      <c r="K219" t="s">
        <v>108</v>
      </c>
      <c r="L219">
        <v>44256</v>
      </c>
      <c r="M219" t="s">
        <v>649</v>
      </c>
      <c r="N219" t="s">
        <v>54</v>
      </c>
      <c r="O219" t="s">
        <v>515</v>
      </c>
      <c r="P219" t="s">
        <v>650</v>
      </c>
      <c r="Q219">
        <f>_xlfn.XLOOKUP(Table3[[#This Row],[Product Name]],Sales!A:A,Sales!B:B)</f>
        <v>1188</v>
      </c>
      <c r="R219">
        <f>_xlfn.XLOOKUP(Table3[[#This Row],[Product Name]],Sales!A:A,Sales!C:C)</f>
        <v>9</v>
      </c>
      <c r="S219">
        <f>_xlfn.XLOOKUP(Table3[[#This Row],[Product Name]],Sales!A:A,Sales!D:D)</f>
        <v>0.7</v>
      </c>
      <c r="T219">
        <f>_xlfn.XLOOKUP(Table3[[#This Row],[Product Name]],Sales!A:A,Sales!E:E)</f>
        <v>-950.4</v>
      </c>
    </row>
    <row r="220" spans="1:20" x14ac:dyDescent="0.3">
      <c r="A220">
        <v>217</v>
      </c>
      <c r="B220" t="s">
        <v>643</v>
      </c>
      <c r="C220">
        <v>2</v>
      </c>
      <c r="D220">
        <v>1</v>
      </c>
      <c r="E220">
        <v>2019</v>
      </c>
      <c r="F220" t="s">
        <v>37</v>
      </c>
      <c r="G220" t="s">
        <v>644</v>
      </c>
      <c r="H220" t="s">
        <v>2710</v>
      </c>
      <c r="I220" t="s">
        <v>30</v>
      </c>
      <c r="J220" t="s">
        <v>2480</v>
      </c>
      <c r="K220" t="s">
        <v>108</v>
      </c>
      <c r="L220">
        <v>44256</v>
      </c>
      <c r="M220" t="s">
        <v>651</v>
      </c>
      <c r="N220" t="s">
        <v>54</v>
      </c>
      <c r="O220" t="s">
        <v>118</v>
      </c>
      <c r="P220" t="s">
        <v>652</v>
      </c>
      <c r="Q220">
        <f>_xlfn.XLOOKUP(Table3[[#This Row],[Product Name]],Sales!A:A,Sales!B:B)</f>
        <v>89.584000000000003</v>
      </c>
      <c r="R220">
        <f>_xlfn.XLOOKUP(Table3[[#This Row],[Product Name]],Sales!A:A,Sales!C:C)</f>
        <v>2</v>
      </c>
      <c r="S220">
        <f>_xlfn.XLOOKUP(Table3[[#This Row],[Product Name]],Sales!A:A,Sales!D:D)</f>
        <v>0.2</v>
      </c>
      <c r="T220">
        <f>_xlfn.XLOOKUP(Table3[[#This Row],[Product Name]],Sales!A:A,Sales!E:E)</f>
        <v>4.4791999999999996</v>
      </c>
    </row>
    <row r="221" spans="1:20" x14ac:dyDescent="0.3">
      <c r="A221">
        <v>218</v>
      </c>
      <c r="B221" t="s">
        <v>653</v>
      </c>
      <c r="C221">
        <v>28</v>
      </c>
      <c r="D221">
        <v>10</v>
      </c>
      <c r="E221">
        <v>2020</v>
      </c>
      <c r="F221" t="s">
        <v>37</v>
      </c>
      <c r="G221" t="s">
        <v>654</v>
      </c>
      <c r="H221" t="s">
        <v>2711</v>
      </c>
      <c r="I221" t="s">
        <v>19</v>
      </c>
      <c r="J221" t="s">
        <v>2415</v>
      </c>
      <c r="K221" t="s">
        <v>31</v>
      </c>
      <c r="L221">
        <v>90032</v>
      </c>
      <c r="M221" t="s">
        <v>578</v>
      </c>
      <c r="N221" t="s">
        <v>33</v>
      </c>
      <c r="O221" t="s">
        <v>43</v>
      </c>
      <c r="P221" t="s">
        <v>579</v>
      </c>
      <c r="Q221">
        <f>_xlfn.XLOOKUP(Table3[[#This Row],[Product Name]],Sales!A:A,Sales!B:B)</f>
        <v>37.223999999999997</v>
      </c>
      <c r="R221">
        <f>_xlfn.XLOOKUP(Table3[[#This Row],[Product Name]],Sales!A:A,Sales!C:C)</f>
        <v>3</v>
      </c>
      <c r="S221">
        <f>_xlfn.XLOOKUP(Table3[[#This Row],[Product Name]],Sales!A:A,Sales!D:D)</f>
        <v>0.2</v>
      </c>
      <c r="T221">
        <f>_xlfn.XLOOKUP(Table3[[#This Row],[Product Name]],Sales!A:A,Sales!E:E)</f>
        <v>3.7223999999999999</v>
      </c>
    </row>
    <row r="222" spans="1:20" x14ac:dyDescent="0.3">
      <c r="A222">
        <v>219</v>
      </c>
      <c r="B222" t="s">
        <v>653</v>
      </c>
      <c r="C222">
        <v>28</v>
      </c>
      <c r="D222">
        <v>10</v>
      </c>
      <c r="E222">
        <v>2020</v>
      </c>
      <c r="F222" t="s">
        <v>37</v>
      </c>
      <c r="G222" t="s">
        <v>654</v>
      </c>
      <c r="H222" t="s">
        <v>2711</v>
      </c>
      <c r="I222" t="s">
        <v>19</v>
      </c>
      <c r="J222" t="s">
        <v>2415</v>
      </c>
      <c r="K222" t="s">
        <v>31</v>
      </c>
      <c r="L222">
        <v>90032</v>
      </c>
      <c r="M222" t="s">
        <v>655</v>
      </c>
      <c r="N222" t="s">
        <v>54</v>
      </c>
      <c r="O222" t="s">
        <v>55</v>
      </c>
      <c r="P222" t="s">
        <v>656</v>
      </c>
      <c r="Q222">
        <f>_xlfn.XLOOKUP(Table3[[#This Row],[Product Name]],Sales!A:A,Sales!B:B)</f>
        <v>302.37599999999998</v>
      </c>
      <c r="R222">
        <f>_xlfn.XLOOKUP(Table3[[#This Row],[Product Name]],Sales!A:A,Sales!C:C)</f>
        <v>3</v>
      </c>
      <c r="S222">
        <f>_xlfn.XLOOKUP(Table3[[#This Row],[Product Name]],Sales!A:A,Sales!D:D)</f>
        <v>0.2</v>
      </c>
      <c r="T222">
        <f>_xlfn.XLOOKUP(Table3[[#This Row],[Product Name]],Sales!A:A,Sales!E:E)</f>
        <v>22.6782</v>
      </c>
    </row>
    <row r="223" spans="1:20" x14ac:dyDescent="0.3">
      <c r="A223">
        <v>220</v>
      </c>
      <c r="B223" t="s">
        <v>657</v>
      </c>
      <c r="C223">
        <v>24</v>
      </c>
      <c r="D223">
        <v>12</v>
      </c>
      <c r="E223">
        <v>2019</v>
      </c>
      <c r="F223" t="s">
        <v>142</v>
      </c>
      <c r="G223" t="s">
        <v>658</v>
      </c>
      <c r="H223" t="s">
        <v>2712</v>
      </c>
      <c r="I223" t="s">
        <v>19</v>
      </c>
      <c r="J223" t="s">
        <v>2481</v>
      </c>
      <c r="K223" t="s">
        <v>108</v>
      </c>
      <c r="L223">
        <v>43017</v>
      </c>
      <c r="M223" t="s">
        <v>659</v>
      </c>
      <c r="N223" t="s">
        <v>33</v>
      </c>
      <c r="O223" t="s">
        <v>199</v>
      </c>
      <c r="P223" t="s">
        <v>660</v>
      </c>
      <c r="Q223">
        <f>_xlfn.XLOOKUP(Table3[[#This Row],[Product Name]],Sales!A:A,Sales!B:B)</f>
        <v>5.5839999999999996</v>
      </c>
      <c r="R223">
        <f>_xlfn.XLOOKUP(Table3[[#This Row],[Product Name]],Sales!A:A,Sales!C:C)</f>
        <v>2</v>
      </c>
      <c r="S223">
        <f>_xlfn.XLOOKUP(Table3[[#This Row],[Product Name]],Sales!A:A,Sales!D:D)</f>
        <v>0.2</v>
      </c>
      <c r="T223">
        <f>_xlfn.XLOOKUP(Table3[[#This Row],[Product Name]],Sales!A:A,Sales!E:E)</f>
        <v>1.8148</v>
      </c>
    </row>
    <row r="224" spans="1:20" x14ac:dyDescent="0.3">
      <c r="A224">
        <v>221</v>
      </c>
      <c r="B224" t="s">
        <v>657</v>
      </c>
      <c r="C224">
        <v>24</v>
      </c>
      <c r="D224">
        <v>12</v>
      </c>
      <c r="E224">
        <v>2019</v>
      </c>
      <c r="F224" t="s">
        <v>142</v>
      </c>
      <c r="G224" t="s">
        <v>658</v>
      </c>
      <c r="H224" t="s">
        <v>2712</v>
      </c>
      <c r="I224" t="s">
        <v>19</v>
      </c>
      <c r="J224" t="s">
        <v>2481</v>
      </c>
      <c r="K224" t="s">
        <v>108</v>
      </c>
      <c r="L224">
        <v>43017</v>
      </c>
      <c r="M224" t="s">
        <v>661</v>
      </c>
      <c r="N224" t="s">
        <v>33</v>
      </c>
      <c r="O224" t="s">
        <v>70</v>
      </c>
      <c r="P224" t="s">
        <v>662</v>
      </c>
      <c r="Q224">
        <f>_xlfn.XLOOKUP(Table3[[#This Row],[Product Name]],Sales!A:A,Sales!B:B)</f>
        <v>22.704000000000001</v>
      </c>
      <c r="R224">
        <f>_xlfn.XLOOKUP(Table3[[#This Row],[Product Name]],Sales!A:A,Sales!C:C)</f>
        <v>6</v>
      </c>
      <c r="S224">
        <f>_xlfn.XLOOKUP(Table3[[#This Row],[Product Name]],Sales!A:A,Sales!D:D)</f>
        <v>0.2</v>
      </c>
      <c r="T224">
        <f>_xlfn.XLOOKUP(Table3[[#This Row],[Product Name]],Sales!A:A,Sales!E:E)</f>
        <v>8.2302</v>
      </c>
    </row>
    <row r="225" spans="1:20" x14ac:dyDescent="0.3">
      <c r="A225">
        <v>222</v>
      </c>
      <c r="B225" t="s">
        <v>657</v>
      </c>
      <c r="C225">
        <v>24</v>
      </c>
      <c r="D225">
        <v>12</v>
      </c>
      <c r="E225">
        <v>2019</v>
      </c>
      <c r="F225" t="s">
        <v>142</v>
      </c>
      <c r="G225" t="s">
        <v>658</v>
      </c>
      <c r="H225" t="s">
        <v>2712</v>
      </c>
      <c r="I225" t="s">
        <v>19</v>
      </c>
      <c r="J225" t="s">
        <v>2481</v>
      </c>
      <c r="K225" t="s">
        <v>108</v>
      </c>
      <c r="L225">
        <v>43017</v>
      </c>
      <c r="M225" t="s">
        <v>311</v>
      </c>
      <c r="N225" t="s">
        <v>33</v>
      </c>
      <c r="O225" t="s">
        <v>58</v>
      </c>
      <c r="P225" t="s">
        <v>312</v>
      </c>
      <c r="Q225">
        <f>_xlfn.XLOOKUP(Table3[[#This Row],[Product Name]],Sales!A:A,Sales!B:B)</f>
        <v>32.96</v>
      </c>
      <c r="R225">
        <f>_xlfn.XLOOKUP(Table3[[#This Row],[Product Name]],Sales!A:A,Sales!C:C)</f>
        <v>2</v>
      </c>
      <c r="S225">
        <f>_xlfn.XLOOKUP(Table3[[#This Row],[Product Name]],Sales!A:A,Sales!D:D)</f>
        <v>0</v>
      </c>
      <c r="T225">
        <f>_xlfn.XLOOKUP(Table3[[#This Row],[Product Name]],Sales!A:A,Sales!E:E)</f>
        <v>16.150400000000001</v>
      </c>
    </row>
    <row r="226" spans="1:20" x14ac:dyDescent="0.3">
      <c r="A226">
        <v>223</v>
      </c>
      <c r="B226" t="s">
        <v>657</v>
      </c>
      <c r="C226">
        <v>24</v>
      </c>
      <c r="D226">
        <v>12</v>
      </c>
      <c r="E226">
        <v>2019</v>
      </c>
      <c r="F226" t="s">
        <v>142</v>
      </c>
      <c r="G226" t="s">
        <v>658</v>
      </c>
      <c r="H226" t="s">
        <v>2712</v>
      </c>
      <c r="I226" t="s">
        <v>19</v>
      </c>
      <c r="J226" t="s">
        <v>2481</v>
      </c>
      <c r="K226" t="s">
        <v>108</v>
      </c>
      <c r="L226">
        <v>43017</v>
      </c>
      <c r="M226" t="s">
        <v>663</v>
      </c>
      <c r="N226" t="s">
        <v>22</v>
      </c>
      <c r="O226" t="s">
        <v>48</v>
      </c>
      <c r="P226" t="s">
        <v>664</v>
      </c>
      <c r="Q226">
        <f>_xlfn.XLOOKUP(Table3[[#This Row],[Product Name]],Sales!A:A,Sales!B:B)</f>
        <v>72.703999999999994</v>
      </c>
      <c r="R226">
        <f>_xlfn.XLOOKUP(Table3[[#This Row],[Product Name]],Sales!A:A,Sales!C:C)</f>
        <v>4</v>
      </c>
      <c r="S226">
        <f>_xlfn.XLOOKUP(Table3[[#This Row],[Product Name]],Sales!A:A,Sales!D:D)</f>
        <v>0.2</v>
      </c>
      <c r="T226">
        <f>_xlfn.XLOOKUP(Table3[[#This Row],[Product Name]],Sales!A:A,Sales!E:E)</f>
        <v>19.084800000000001</v>
      </c>
    </row>
    <row r="227" spans="1:20" x14ac:dyDescent="0.3">
      <c r="A227">
        <v>224</v>
      </c>
      <c r="B227" t="s">
        <v>657</v>
      </c>
      <c r="C227">
        <v>24</v>
      </c>
      <c r="D227">
        <v>12</v>
      </c>
      <c r="E227">
        <v>2019</v>
      </c>
      <c r="F227" t="s">
        <v>142</v>
      </c>
      <c r="G227" t="s">
        <v>658</v>
      </c>
      <c r="H227" t="s">
        <v>2712</v>
      </c>
      <c r="I227" t="s">
        <v>19</v>
      </c>
      <c r="J227" t="s">
        <v>2481</v>
      </c>
      <c r="K227" t="s">
        <v>108</v>
      </c>
      <c r="L227">
        <v>43017</v>
      </c>
      <c r="M227" t="s">
        <v>665</v>
      </c>
      <c r="N227" t="s">
        <v>54</v>
      </c>
      <c r="O227" t="s">
        <v>515</v>
      </c>
      <c r="P227" t="s">
        <v>666</v>
      </c>
      <c r="Q227">
        <f>_xlfn.XLOOKUP(Table3[[#This Row],[Product Name]],Sales!A:A,Sales!B:B)</f>
        <v>479.988</v>
      </c>
      <c r="R227">
        <f>_xlfn.XLOOKUP(Table3[[#This Row],[Product Name]],Sales!A:A,Sales!C:C)</f>
        <v>4</v>
      </c>
      <c r="S227">
        <f>_xlfn.XLOOKUP(Table3[[#This Row],[Product Name]],Sales!A:A,Sales!D:D)</f>
        <v>0.7</v>
      </c>
      <c r="T227">
        <f>_xlfn.XLOOKUP(Table3[[#This Row],[Product Name]],Sales!A:A,Sales!E:E)</f>
        <v>-383.99040000000002</v>
      </c>
    </row>
    <row r="228" spans="1:20" x14ac:dyDescent="0.3">
      <c r="A228">
        <v>225</v>
      </c>
      <c r="B228" t="s">
        <v>657</v>
      </c>
      <c r="C228">
        <v>24</v>
      </c>
      <c r="D228">
        <v>12</v>
      </c>
      <c r="E228">
        <v>2019</v>
      </c>
      <c r="F228" t="s">
        <v>142</v>
      </c>
      <c r="G228" t="s">
        <v>658</v>
      </c>
      <c r="H228" t="s">
        <v>2712</v>
      </c>
      <c r="I228" t="s">
        <v>19</v>
      </c>
      <c r="J228" t="s">
        <v>2481</v>
      </c>
      <c r="K228" t="s">
        <v>108</v>
      </c>
      <c r="L228">
        <v>43017</v>
      </c>
      <c r="M228" t="s">
        <v>667</v>
      </c>
      <c r="N228" t="s">
        <v>33</v>
      </c>
      <c r="O228" t="s">
        <v>51</v>
      </c>
      <c r="P228" t="s">
        <v>668</v>
      </c>
      <c r="Q228">
        <f>_xlfn.XLOOKUP(Table3[[#This Row],[Product Name]],Sales!A:A,Sales!B:B)</f>
        <v>27.167999999999999</v>
      </c>
      <c r="R228">
        <f>_xlfn.XLOOKUP(Table3[[#This Row],[Product Name]],Sales!A:A,Sales!C:C)</f>
        <v>2</v>
      </c>
      <c r="S228">
        <f>_xlfn.XLOOKUP(Table3[[#This Row],[Product Name]],Sales!A:A,Sales!D:D)</f>
        <v>0.2</v>
      </c>
      <c r="T228">
        <f>_xlfn.XLOOKUP(Table3[[#This Row],[Product Name]],Sales!A:A,Sales!E:E)</f>
        <v>2.7168000000000001</v>
      </c>
    </row>
    <row r="229" spans="1:20" x14ac:dyDescent="0.3">
      <c r="A229">
        <v>226</v>
      </c>
      <c r="B229" t="s">
        <v>669</v>
      </c>
      <c r="C229">
        <v>9</v>
      </c>
      <c r="D229">
        <v>8</v>
      </c>
      <c r="E229">
        <v>2019</v>
      </c>
      <c r="F229" t="s">
        <v>37</v>
      </c>
      <c r="G229" t="s">
        <v>670</v>
      </c>
      <c r="H229" t="s">
        <v>2713</v>
      </c>
      <c r="I229" t="s">
        <v>30</v>
      </c>
      <c r="J229" t="s">
        <v>2482</v>
      </c>
      <c r="K229" t="s">
        <v>79</v>
      </c>
      <c r="L229">
        <v>48227</v>
      </c>
      <c r="M229" t="s">
        <v>671</v>
      </c>
      <c r="N229" t="s">
        <v>33</v>
      </c>
      <c r="O229" t="s">
        <v>51</v>
      </c>
      <c r="P229" t="s">
        <v>672</v>
      </c>
      <c r="Q229">
        <f>_xlfn.XLOOKUP(Table3[[#This Row],[Product Name]],Sales!A:A,Sales!B:B)</f>
        <v>2.2000000000000002</v>
      </c>
      <c r="R229">
        <f>_xlfn.XLOOKUP(Table3[[#This Row],[Product Name]],Sales!A:A,Sales!C:C)</f>
        <v>1</v>
      </c>
      <c r="S229">
        <f>_xlfn.XLOOKUP(Table3[[#This Row],[Product Name]],Sales!A:A,Sales!D:D)</f>
        <v>0</v>
      </c>
      <c r="T229">
        <f>_xlfn.XLOOKUP(Table3[[#This Row],[Product Name]],Sales!A:A,Sales!E:E)</f>
        <v>0.96799999999999997</v>
      </c>
    </row>
    <row r="230" spans="1:20" x14ac:dyDescent="0.3">
      <c r="A230">
        <v>227</v>
      </c>
      <c r="B230" t="s">
        <v>669</v>
      </c>
      <c r="C230">
        <v>9</v>
      </c>
      <c r="D230">
        <v>8</v>
      </c>
      <c r="E230">
        <v>2019</v>
      </c>
      <c r="F230" t="s">
        <v>37</v>
      </c>
      <c r="G230" t="s">
        <v>670</v>
      </c>
      <c r="H230" t="s">
        <v>2713</v>
      </c>
      <c r="I230" t="s">
        <v>30</v>
      </c>
      <c r="J230" t="s">
        <v>2482</v>
      </c>
      <c r="K230" t="s">
        <v>79</v>
      </c>
      <c r="L230">
        <v>48227</v>
      </c>
      <c r="M230" t="s">
        <v>673</v>
      </c>
      <c r="N230" t="s">
        <v>22</v>
      </c>
      <c r="O230" t="s">
        <v>40</v>
      </c>
      <c r="P230" t="s">
        <v>674</v>
      </c>
      <c r="Q230">
        <f>_xlfn.XLOOKUP(Table3[[#This Row],[Product Name]],Sales!A:A,Sales!B:B)</f>
        <v>622.45000000000005</v>
      </c>
      <c r="R230">
        <f>_xlfn.XLOOKUP(Table3[[#This Row],[Product Name]],Sales!A:A,Sales!C:C)</f>
        <v>5</v>
      </c>
      <c r="S230">
        <f>_xlfn.XLOOKUP(Table3[[#This Row],[Product Name]],Sales!A:A,Sales!D:D)</f>
        <v>0</v>
      </c>
      <c r="T230">
        <f>_xlfn.XLOOKUP(Table3[[#This Row],[Product Name]],Sales!A:A,Sales!E:E)</f>
        <v>136.93899999999999</v>
      </c>
    </row>
    <row r="231" spans="1:20" x14ac:dyDescent="0.3">
      <c r="A231">
        <v>228</v>
      </c>
      <c r="B231" t="s">
        <v>669</v>
      </c>
      <c r="C231">
        <v>9</v>
      </c>
      <c r="D231">
        <v>8</v>
      </c>
      <c r="E231">
        <v>2019</v>
      </c>
      <c r="F231" t="s">
        <v>37</v>
      </c>
      <c r="G231" t="s">
        <v>670</v>
      </c>
      <c r="H231" t="s">
        <v>2713</v>
      </c>
      <c r="I231" t="s">
        <v>30</v>
      </c>
      <c r="J231" t="s">
        <v>2482</v>
      </c>
      <c r="K231" t="s">
        <v>79</v>
      </c>
      <c r="L231">
        <v>48227</v>
      </c>
      <c r="M231" t="s">
        <v>675</v>
      </c>
      <c r="N231" t="s">
        <v>33</v>
      </c>
      <c r="O231" t="s">
        <v>43</v>
      </c>
      <c r="P231" t="s">
        <v>676</v>
      </c>
      <c r="Q231">
        <f>_xlfn.XLOOKUP(Table3[[#This Row],[Product Name]],Sales!A:A,Sales!B:B)</f>
        <v>21.98</v>
      </c>
      <c r="R231">
        <f>_xlfn.XLOOKUP(Table3[[#This Row],[Product Name]],Sales!A:A,Sales!C:C)</f>
        <v>1</v>
      </c>
      <c r="S231">
        <f>_xlfn.XLOOKUP(Table3[[#This Row],[Product Name]],Sales!A:A,Sales!D:D)</f>
        <v>0</v>
      </c>
      <c r="T231">
        <f>_xlfn.XLOOKUP(Table3[[#This Row],[Product Name]],Sales!A:A,Sales!E:E)</f>
        <v>0.2198</v>
      </c>
    </row>
    <row r="232" spans="1:20" x14ac:dyDescent="0.3">
      <c r="A232">
        <v>229</v>
      </c>
      <c r="B232" t="s">
        <v>677</v>
      </c>
      <c r="C232">
        <v>28</v>
      </c>
      <c r="D232">
        <v>2</v>
      </c>
      <c r="E232">
        <v>2019</v>
      </c>
      <c r="F232" t="s">
        <v>37</v>
      </c>
      <c r="G232" t="s">
        <v>678</v>
      </c>
      <c r="H232" t="s">
        <v>2714</v>
      </c>
      <c r="I232" t="s">
        <v>19</v>
      </c>
      <c r="J232" t="s">
        <v>2483</v>
      </c>
      <c r="K232" t="s">
        <v>20</v>
      </c>
      <c r="L232">
        <v>38401</v>
      </c>
      <c r="M232" t="s">
        <v>679</v>
      </c>
      <c r="N232" t="s">
        <v>22</v>
      </c>
      <c r="O232" t="s">
        <v>26</v>
      </c>
      <c r="P232" t="s">
        <v>680</v>
      </c>
      <c r="Q232">
        <f>_xlfn.XLOOKUP(Table3[[#This Row],[Product Name]],Sales!A:A,Sales!B:B)</f>
        <v>161.56800000000001</v>
      </c>
      <c r="R232">
        <f>_xlfn.XLOOKUP(Table3[[#This Row],[Product Name]],Sales!A:A,Sales!C:C)</f>
        <v>2</v>
      </c>
      <c r="S232">
        <f>_xlfn.XLOOKUP(Table3[[#This Row],[Product Name]],Sales!A:A,Sales!D:D)</f>
        <v>0.2</v>
      </c>
      <c r="T232">
        <f>_xlfn.XLOOKUP(Table3[[#This Row],[Product Name]],Sales!A:A,Sales!E:E)</f>
        <v>-28.2744</v>
      </c>
    </row>
    <row r="233" spans="1:20" x14ac:dyDescent="0.3">
      <c r="A233">
        <v>230</v>
      </c>
      <c r="B233" t="s">
        <v>677</v>
      </c>
      <c r="C233">
        <v>28</v>
      </c>
      <c r="D233">
        <v>2</v>
      </c>
      <c r="E233">
        <v>2019</v>
      </c>
      <c r="F233" t="s">
        <v>37</v>
      </c>
      <c r="G233" t="s">
        <v>678</v>
      </c>
      <c r="H233" t="s">
        <v>2714</v>
      </c>
      <c r="I233" t="s">
        <v>19</v>
      </c>
      <c r="J233" t="s">
        <v>2483</v>
      </c>
      <c r="K233" t="s">
        <v>20</v>
      </c>
      <c r="L233">
        <v>38401</v>
      </c>
      <c r="M233" t="s">
        <v>681</v>
      </c>
      <c r="N233" t="s">
        <v>22</v>
      </c>
      <c r="O233" t="s">
        <v>26</v>
      </c>
      <c r="P233" t="s">
        <v>682</v>
      </c>
      <c r="Q233">
        <f>_xlfn.XLOOKUP(Table3[[#This Row],[Product Name]],Sales!A:A,Sales!B:B)</f>
        <v>389.69600000000003</v>
      </c>
      <c r="R233">
        <f>_xlfn.XLOOKUP(Table3[[#This Row],[Product Name]],Sales!A:A,Sales!C:C)</f>
        <v>8</v>
      </c>
      <c r="S233">
        <f>_xlfn.XLOOKUP(Table3[[#This Row],[Product Name]],Sales!A:A,Sales!D:D)</f>
        <v>0.2</v>
      </c>
      <c r="T233">
        <f>_xlfn.XLOOKUP(Table3[[#This Row],[Product Name]],Sales!A:A,Sales!E:E)</f>
        <v>43.840800000000002</v>
      </c>
    </row>
    <row r="234" spans="1:20" x14ac:dyDescent="0.3">
      <c r="A234">
        <v>231</v>
      </c>
      <c r="B234" t="s">
        <v>683</v>
      </c>
      <c r="C234">
        <v>13</v>
      </c>
      <c r="D234">
        <v>9</v>
      </c>
      <c r="E234">
        <v>2018</v>
      </c>
      <c r="F234" t="s">
        <v>37</v>
      </c>
      <c r="G234" t="s">
        <v>684</v>
      </c>
      <c r="H234" t="s">
        <v>2715</v>
      </c>
      <c r="I234" t="s">
        <v>30</v>
      </c>
      <c r="J234" t="s">
        <v>2449</v>
      </c>
      <c r="K234" t="s">
        <v>20</v>
      </c>
      <c r="L234">
        <v>28205</v>
      </c>
      <c r="M234" t="s">
        <v>685</v>
      </c>
      <c r="N234" t="s">
        <v>33</v>
      </c>
      <c r="O234" t="s">
        <v>58</v>
      </c>
      <c r="P234" t="s">
        <v>686</v>
      </c>
      <c r="Q234">
        <f>_xlfn.XLOOKUP(Table3[[#This Row],[Product Name]],Sales!A:A,Sales!B:B)</f>
        <v>18.648</v>
      </c>
      <c r="R234">
        <f>_xlfn.XLOOKUP(Table3[[#This Row],[Product Name]],Sales!A:A,Sales!C:C)</f>
        <v>7</v>
      </c>
      <c r="S234">
        <f>_xlfn.XLOOKUP(Table3[[#This Row],[Product Name]],Sales!A:A,Sales!D:D)</f>
        <v>0.7</v>
      </c>
      <c r="T234">
        <f>_xlfn.XLOOKUP(Table3[[#This Row],[Product Name]],Sales!A:A,Sales!E:E)</f>
        <v>-12.432</v>
      </c>
    </row>
    <row r="235" spans="1:20" x14ac:dyDescent="0.3">
      <c r="A235">
        <v>232</v>
      </c>
      <c r="B235" t="s">
        <v>687</v>
      </c>
      <c r="C235">
        <v>7</v>
      </c>
      <c r="D235">
        <v>4</v>
      </c>
      <c r="E235">
        <v>2021</v>
      </c>
      <c r="F235" t="s">
        <v>37</v>
      </c>
      <c r="G235" t="s">
        <v>283</v>
      </c>
      <c r="H235" t="s">
        <v>2646</v>
      </c>
      <c r="I235" t="s">
        <v>78</v>
      </c>
      <c r="J235" t="s">
        <v>2484</v>
      </c>
      <c r="K235" t="s">
        <v>20</v>
      </c>
      <c r="L235">
        <v>33614</v>
      </c>
      <c r="M235" t="s">
        <v>688</v>
      </c>
      <c r="N235" t="s">
        <v>22</v>
      </c>
      <c r="O235" t="s">
        <v>40</v>
      </c>
      <c r="P235" t="s">
        <v>689</v>
      </c>
      <c r="Q235">
        <f>_xlfn.XLOOKUP(Table3[[#This Row],[Product Name]],Sales!A:A,Sales!B:B)</f>
        <v>233.86</v>
      </c>
      <c r="R235">
        <f>_xlfn.XLOOKUP(Table3[[#This Row],[Product Name]],Sales!A:A,Sales!C:C)</f>
        <v>2</v>
      </c>
      <c r="S235">
        <f>_xlfn.XLOOKUP(Table3[[#This Row],[Product Name]],Sales!A:A,Sales!D:D)</f>
        <v>0.45</v>
      </c>
      <c r="T235">
        <f>_xlfn.XLOOKUP(Table3[[#This Row],[Product Name]],Sales!A:A,Sales!E:E)</f>
        <v>-102.048</v>
      </c>
    </row>
    <row r="236" spans="1:20" x14ac:dyDescent="0.3">
      <c r="A236">
        <v>233</v>
      </c>
      <c r="B236" t="s">
        <v>687</v>
      </c>
      <c r="C236">
        <v>7</v>
      </c>
      <c r="D236">
        <v>4</v>
      </c>
      <c r="E236">
        <v>2021</v>
      </c>
      <c r="F236" t="s">
        <v>37</v>
      </c>
      <c r="G236" t="s">
        <v>283</v>
      </c>
      <c r="H236" t="s">
        <v>2646</v>
      </c>
      <c r="I236" t="s">
        <v>78</v>
      </c>
      <c r="J236" t="s">
        <v>2484</v>
      </c>
      <c r="K236" t="s">
        <v>20</v>
      </c>
      <c r="L236">
        <v>33614</v>
      </c>
      <c r="M236" t="s">
        <v>690</v>
      </c>
      <c r="N236" t="s">
        <v>22</v>
      </c>
      <c r="O236" t="s">
        <v>40</v>
      </c>
      <c r="P236" t="s">
        <v>691</v>
      </c>
      <c r="Q236">
        <f>_xlfn.XLOOKUP(Table3[[#This Row],[Product Name]],Sales!A:A,Sales!B:B)</f>
        <v>620.61450000000002</v>
      </c>
      <c r="R236">
        <f>_xlfn.XLOOKUP(Table3[[#This Row],[Product Name]],Sales!A:A,Sales!C:C)</f>
        <v>3</v>
      </c>
      <c r="S236">
        <f>_xlfn.XLOOKUP(Table3[[#This Row],[Product Name]],Sales!A:A,Sales!D:D)</f>
        <v>0.45</v>
      </c>
      <c r="T236">
        <f>_xlfn.XLOOKUP(Table3[[#This Row],[Product Name]],Sales!A:A,Sales!E:E)</f>
        <v>-248.2458</v>
      </c>
    </row>
    <row r="237" spans="1:20" x14ac:dyDescent="0.3">
      <c r="A237">
        <v>234</v>
      </c>
      <c r="B237" t="s">
        <v>687</v>
      </c>
      <c r="C237">
        <v>7</v>
      </c>
      <c r="D237">
        <v>4</v>
      </c>
      <c r="E237">
        <v>2021</v>
      </c>
      <c r="F237" t="s">
        <v>37</v>
      </c>
      <c r="G237" t="s">
        <v>283</v>
      </c>
      <c r="H237" t="s">
        <v>2646</v>
      </c>
      <c r="I237" t="s">
        <v>78</v>
      </c>
      <c r="J237" t="s">
        <v>2484</v>
      </c>
      <c r="K237" t="s">
        <v>20</v>
      </c>
      <c r="L237">
        <v>33614</v>
      </c>
      <c r="M237" t="s">
        <v>685</v>
      </c>
      <c r="N237" t="s">
        <v>33</v>
      </c>
      <c r="O237" t="s">
        <v>58</v>
      </c>
      <c r="P237" t="s">
        <v>686</v>
      </c>
      <c r="Q237">
        <f>_xlfn.XLOOKUP(Table3[[#This Row],[Product Name]],Sales!A:A,Sales!B:B)</f>
        <v>18.648</v>
      </c>
      <c r="R237">
        <f>_xlfn.XLOOKUP(Table3[[#This Row],[Product Name]],Sales!A:A,Sales!C:C)</f>
        <v>7</v>
      </c>
      <c r="S237">
        <f>_xlfn.XLOOKUP(Table3[[#This Row],[Product Name]],Sales!A:A,Sales!D:D)</f>
        <v>0.7</v>
      </c>
      <c r="T237">
        <f>_xlfn.XLOOKUP(Table3[[#This Row],[Product Name]],Sales!A:A,Sales!E:E)</f>
        <v>-12.432</v>
      </c>
    </row>
    <row r="238" spans="1:20" x14ac:dyDescent="0.3">
      <c r="A238">
        <v>235</v>
      </c>
      <c r="B238" t="s">
        <v>687</v>
      </c>
      <c r="C238">
        <v>7</v>
      </c>
      <c r="D238">
        <v>4</v>
      </c>
      <c r="E238">
        <v>2021</v>
      </c>
      <c r="F238" t="s">
        <v>37</v>
      </c>
      <c r="G238" t="s">
        <v>283</v>
      </c>
      <c r="H238" t="s">
        <v>2646</v>
      </c>
      <c r="I238" t="s">
        <v>78</v>
      </c>
      <c r="J238" t="s">
        <v>2484</v>
      </c>
      <c r="K238" t="s">
        <v>20</v>
      </c>
      <c r="L238">
        <v>33614</v>
      </c>
      <c r="M238" t="s">
        <v>692</v>
      </c>
      <c r="N238" t="s">
        <v>22</v>
      </c>
      <c r="O238" t="s">
        <v>48</v>
      </c>
      <c r="P238" t="s">
        <v>693</v>
      </c>
      <c r="Q238">
        <f>_xlfn.XLOOKUP(Table3[[#This Row],[Product Name]],Sales!A:A,Sales!B:B)</f>
        <v>258.072</v>
      </c>
      <c r="R238">
        <f>_xlfn.XLOOKUP(Table3[[#This Row],[Product Name]],Sales!A:A,Sales!C:C)</f>
        <v>3</v>
      </c>
      <c r="S238">
        <f>_xlfn.XLOOKUP(Table3[[#This Row],[Product Name]],Sales!A:A,Sales!D:D)</f>
        <v>0.2</v>
      </c>
      <c r="T238">
        <f>_xlfn.XLOOKUP(Table3[[#This Row],[Product Name]],Sales!A:A,Sales!E:E)</f>
        <v>0</v>
      </c>
    </row>
    <row r="239" spans="1:20" x14ac:dyDescent="0.3">
      <c r="A239">
        <v>236</v>
      </c>
      <c r="B239" t="s">
        <v>687</v>
      </c>
      <c r="C239">
        <v>7</v>
      </c>
      <c r="D239">
        <v>4</v>
      </c>
      <c r="E239">
        <v>2021</v>
      </c>
      <c r="F239" t="s">
        <v>37</v>
      </c>
      <c r="G239" t="s">
        <v>283</v>
      </c>
      <c r="H239" t="s">
        <v>2646</v>
      </c>
      <c r="I239" t="s">
        <v>78</v>
      </c>
      <c r="J239" t="s">
        <v>2484</v>
      </c>
      <c r="K239" t="s">
        <v>20</v>
      </c>
      <c r="L239">
        <v>33614</v>
      </c>
      <c r="M239" t="s">
        <v>694</v>
      </c>
      <c r="N239" t="s">
        <v>54</v>
      </c>
      <c r="O239" t="s">
        <v>118</v>
      </c>
      <c r="P239" t="s">
        <v>695</v>
      </c>
      <c r="Q239">
        <f>_xlfn.XLOOKUP(Table3[[#This Row],[Product Name]],Sales!A:A,Sales!B:B)</f>
        <v>617.976</v>
      </c>
      <c r="R239">
        <f>_xlfn.XLOOKUP(Table3[[#This Row],[Product Name]],Sales!A:A,Sales!C:C)</f>
        <v>3</v>
      </c>
      <c r="S239">
        <f>_xlfn.XLOOKUP(Table3[[#This Row],[Product Name]],Sales!A:A,Sales!D:D)</f>
        <v>0.2</v>
      </c>
      <c r="T239">
        <f>_xlfn.XLOOKUP(Table3[[#This Row],[Product Name]],Sales!A:A,Sales!E:E)</f>
        <v>-7.7247000000000003</v>
      </c>
    </row>
    <row r="240" spans="1:20" x14ac:dyDescent="0.3">
      <c r="A240">
        <v>237</v>
      </c>
      <c r="B240" t="s">
        <v>696</v>
      </c>
      <c r="C240">
        <v>12</v>
      </c>
      <c r="D240">
        <v>11</v>
      </c>
      <c r="E240">
        <v>2021</v>
      </c>
      <c r="F240" t="s">
        <v>37</v>
      </c>
      <c r="G240" t="s">
        <v>697</v>
      </c>
      <c r="H240" t="s">
        <v>2716</v>
      </c>
      <c r="I240" t="s">
        <v>30</v>
      </c>
      <c r="J240" t="s">
        <v>2485</v>
      </c>
      <c r="K240" t="s">
        <v>31</v>
      </c>
      <c r="L240">
        <v>95051</v>
      </c>
      <c r="M240" t="s">
        <v>698</v>
      </c>
      <c r="N240" t="s">
        <v>33</v>
      </c>
      <c r="O240" t="s">
        <v>70</v>
      </c>
      <c r="P240" t="s">
        <v>699</v>
      </c>
      <c r="Q240">
        <f>_xlfn.XLOOKUP(Table3[[#This Row],[Product Name]],Sales!A:A,Sales!B:B)</f>
        <v>10.56</v>
      </c>
      <c r="R240">
        <f>_xlfn.XLOOKUP(Table3[[#This Row],[Product Name]],Sales!A:A,Sales!C:C)</f>
        <v>2</v>
      </c>
      <c r="S240">
        <f>_xlfn.XLOOKUP(Table3[[#This Row],[Product Name]],Sales!A:A,Sales!D:D)</f>
        <v>0</v>
      </c>
      <c r="T240">
        <f>_xlfn.XLOOKUP(Table3[[#This Row],[Product Name]],Sales!A:A,Sales!E:E)</f>
        <v>4.7519999999999998</v>
      </c>
    </row>
    <row r="241" spans="1:20" x14ac:dyDescent="0.3">
      <c r="A241">
        <v>238</v>
      </c>
      <c r="B241" t="s">
        <v>700</v>
      </c>
      <c r="C241">
        <v>4</v>
      </c>
      <c r="D241">
        <v>6</v>
      </c>
      <c r="E241">
        <v>2020</v>
      </c>
      <c r="F241" t="s">
        <v>17</v>
      </c>
      <c r="G241" t="s">
        <v>701</v>
      </c>
      <c r="H241" t="s">
        <v>2717</v>
      </c>
      <c r="I241" t="s">
        <v>19</v>
      </c>
      <c r="J241" t="s">
        <v>2436</v>
      </c>
      <c r="K241" t="s">
        <v>79</v>
      </c>
      <c r="L241">
        <v>60610</v>
      </c>
      <c r="M241" t="s">
        <v>702</v>
      </c>
      <c r="N241" t="s">
        <v>33</v>
      </c>
      <c r="O241" t="s">
        <v>70</v>
      </c>
      <c r="P241" t="s">
        <v>703</v>
      </c>
      <c r="Q241">
        <f>_xlfn.XLOOKUP(Table3[[#This Row],[Product Name]],Sales!A:A,Sales!B:B)</f>
        <v>25.92</v>
      </c>
      <c r="R241">
        <f>_xlfn.XLOOKUP(Table3[[#This Row],[Product Name]],Sales!A:A,Sales!C:C)</f>
        <v>5</v>
      </c>
      <c r="S241">
        <f>_xlfn.XLOOKUP(Table3[[#This Row],[Product Name]],Sales!A:A,Sales!D:D)</f>
        <v>0.2</v>
      </c>
      <c r="T241">
        <f>_xlfn.XLOOKUP(Table3[[#This Row],[Product Name]],Sales!A:A,Sales!E:E)</f>
        <v>9.3960000000000008</v>
      </c>
    </row>
    <row r="242" spans="1:20" x14ac:dyDescent="0.3">
      <c r="A242">
        <v>239</v>
      </c>
      <c r="B242" t="s">
        <v>700</v>
      </c>
      <c r="C242">
        <v>4</v>
      </c>
      <c r="D242">
        <v>6</v>
      </c>
      <c r="E242">
        <v>2020</v>
      </c>
      <c r="F242" t="s">
        <v>17</v>
      </c>
      <c r="G242" t="s">
        <v>701</v>
      </c>
      <c r="H242" t="s">
        <v>2717</v>
      </c>
      <c r="I242" t="s">
        <v>19</v>
      </c>
      <c r="J242" t="s">
        <v>2436</v>
      </c>
      <c r="K242" t="s">
        <v>79</v>
      </c>
      <c r="L242">
        <v>60610</v>
      </c>
      <c r="M242" t="s">
        <v>704</v>
      </c>
      <c r="N242" t="s">
        <v>22</v>
      </c>
      <c r="O242" t="s">
        <v>48</v>
      </c>
      <c r="P242" t="s">
        <v>705</v>
      </c>
      <c r="Q242">
        <f>_xlfn.XLOOKUP(Table3[[#This Row],[Product Name]],Sales!A:A,Sales!B:B)</f>
        <v>419.68</v>
      </c>
      <c r="R242">
        <f>_xlfn.XLOOKUP(Table3[[#This Row],[Product Name]],Sales!A:A,Sales!C:C)</f>
        <v>5</v>
      </c>
      <c r="S242">
        <f>_xlfn.XLOOKUP(Table3[[#This Row],[Product Name]],Sales!A:A,Sales!D:D)</f>
        <v>0.6</v>
      </c>
      <c r="T242">
        <f>_xlfn.XLOOKUP(Table3[[#This Row],[Product Name]],Sales!A:A,Sales!E:E)</f>
        <v>-356.72800000000001</v>
      </c>
    </row>
    <row r="243" spans="1:20" x14ac:dyDescent="0.3">
      <c r="A243">
        <v>240</v>
      </c>
      <c r="B243" t="s">
        <v>700</v>
      </c>
      <c r="C243">
        <v>4</v>
      </c>
      <c r="D243">
        <v>6</v>
      </c>
      <c r="E243">
        <v>2020</v>
      </c>
      <c r="F243" t="s">
        <v>17</v>
      </c>
      <c r="G243" t="s">
        <v>701</v>
      </c>
      <c r="H243" t="s">
        <v>2717</v>
      </c>
      <c r="I243" t="s">
        <v>19</v>
      </c>
      <c r="J243" t="s">
        <v>2436</v>
      </c>
      <c r="K243" t="s">
        <v>79</v>
      </c>
      <c r="L243">
        <v>60610</v>
      </c>
      <c r="M243" t="s">
        <v>706</v>
      </c>
      <c r="N243" t="s">
        <v>22</v>
      </c>
      <c r="O243" t="s">
        <v>48</v>
      </c>
      <c r="P243" t="s">
        <v>707</v>
      </c>
      <c r="Q243">
        <f>_xlfn.XLOOKUP(Table3[[#This Row],[Product Name]],Sales!A:A,Sales!B:B)</f>
        <v>11.688000000000001</v>
      </c>
      <c r="R243">
        <f>_xlfn.XLOOKUP(Table3[[#This Row],[Product Name]],Sales!A:A,Sales!C:C)</f>
        <v>3</v>
      </c>
      <c r="S243">
        <f>_xlfn.XLOOKUP(Table3[[#This Row],[Product Name]],Sales!A:A,Sales!D:D)</f>
        <v>0.6</v>
      </c>
      <c r="T243">
        <f>_xlfn.XLOOKUP(Table3[[#This Row],[Product Name]],Sales!A:A,Sales!E:E)</f>
        <v>-4.6752000000000002</v>
      </c>
    </row>
    <row r="244" spans="1:20" x14ac:dyDescent="0.3">
      <c r="A244">
        <v>241</v>
      </c>
      <c r="B244" t="s">
        <v>700</v>
      </c>
      <c r="C244">
        <v>4</v>
      </c>
      <c r="D244">
        <v>6</v>
      </c>
      <c r="E244">
        <v>2020</v>
      </c>
      <c r="F244" t="s">
        <v>17</v>
      </c>
      <c r="G244" t="s">
        <v>701</v>
      </c>
      <c r="H244" t="s">
        <v>2717</v>
      </c>
      <c r="I244" t="s">
        <v>19</v>
      </c>
      <c r="J244" t="s">
        <v>2436</v>
      </c>
      <c r="K244" t="s">
        <v>79</v>
      </c>
      <c r="L244">
        <v>60610</v>
      </c>
      <c r="M244" t="s">
        <v>708</v>
      </c>
      <c r="N244" t="s">
        <v>54</v>
      </c>
      <c r="O244" t="s">
        <v>55</v>
      </c>
      <c r="P244" t="s">
        <v>709</v>
      </c>
      <c r="Q244">
        <f>_xlfn.XLOOKUP(Table3[[#This Row],[Product Name]],Sales!A:A,Sales!B:B)</f>
        <v>31.984000000000002</v>
      </c>
      <c r="R244">
        <f>_xlfn.XLOOKUP(Table3[[#This Row],[Product Name]],Sales!A:A,Sales!C:C)</f>
        <v>2</v>
      </c>
      <c r="S244">
        <f>_xlfn.XLOOKUP(Table3[[#This Row],[Product Name]],Sales!A:A,Sales!D:D)</f>
        <v>0.2</v>
      </c>
      <c r="T244">
        <f>_xlfn.XLOOKUP(Table3[[#This Row],[Product Name]],Sales!A:A,Sales!E:E)</f>
        <v>11.1944</v>
      </c>
    </row>
    <row r="245" spans="1:20" x14ac:dyDescent="0.3">
      <c r="A245">
        <v>242</v>
      </c>
      <c r="B245" t="s">
        <v>700</v>
      </c>
      <c r="C245">
        <v>4</v>
      </c>
      <c r="D245">
        <v>6</v>
      </c>
      <c r="E245">
        <v>2020</v>
      </c>
      <c r="F245" t="s">
        <v>17</v>
      </c>
      <c r="G245" t="s">
        <v>701</v>
      </c>
      <c r="H245" t="s">
        <v>2717</v>
      </c>
      <c r="I245" t="s">
        <v>19</v>
      </c>
      <c r="J245" t="s">
        <v>2436</v>
      </c>
      <c r="K245" t="s">
        <v>79</v>
      </c>
      <c r="L245">
        <v>60610</v>
      </c>
      <c r="M245" t="s">
        <v>710</v>
      </c>
      <c r="N245" t="s">
        <v>22</v>
      </c>
      <c r="O245" t="s">
        <v>40</v>
      </c>
      <c r="P245" t="s">
        <v>711</v>
      </c>
      <c r="Q245">
        <f>_xlfn.XLOOKUP(Table3[[#This Row],[Product Name]],Sales!A:A,Sales!B:B)</f>
        <v>177.22499999999999</v>
      </c>
      <c r="R245">
        <f>_xlfn.XLOOKUP(Table3[[#This Row],[Product Name]],Sales!A:A,Sales!C:C)</f>
        <v>5</v>
      </c>
      <c r="S245">
        <f>_xlfn.XLOOKUP(Table3[[#This Row],[Product Name]],Sales!A:A,Sales!D:D)</f>
        <v>0.5</v>
      </c>
      <c r="T245">
        <f>_xlfn.XLOOKUP(Table3[[#This Row],[Product Name]],Sales!A:A,Sales!E:E)</f>
        <v>-120.51300000000001</v>
      </c>
    </row>
    <row r="246" spans="1:20" x14ac:dyDescent="0.3">
      <c r="A246">
        <v>243</v>
      </c>
      <c r="B246" t="s">
        <v>700</v>
      </c>
      <c r="C246">
        <v>4</v>
      </c>
      <c r="D246">
        <v>6</v>
      </c>
      <c r="E246">
        <v>2020</v>
      </c>
      <c r="F246" t="s">
        <v>17</v>
      </c>
      <c r="G246" t="s">
        <v>701</v>
      </c>
      <c r="H246" t="s">
        <v>2717</v>
      </c>
      <c r="I246" t="s">
        <v>19</v>
      </c>
      <c r="J246" t="s">
        <v>2436</v>
      </c>
      <c r="K246" t="s">
        <v>79</v>
      </c>
      <c r="L246">
        <v>60610</v>
      </c>
      <c r="M246" t="s">
        <v>712</v>
      </c>
      <c r="N246" t="s">
        <v>22</v>
      </c>
      <c r="O246" t="s">
        <v>48</v>
      </c>
      <c r="P246" t="s">
        <v>713</v>
      </c>
      <c r="Q246">
        <f>_xlfn.XLOOKUP(Table3[[#This Row],[Product Name]],Sales!A:A,Sales!B:B)</f>
        <v>4.0439999999999996</v>
      </c>
      <c r="R246">
        <f>_xlfn.XLOOKUP(Table3[[#This Row],[Product Name]],Sales!A:A,Sales!C:C)</f>
        <v>3</v>
      </c>
      <c r="S246">
        <f>_xlfn.XLOOKUP(Table3[[#This Row],[Product Name]],Sales!A:A,Sales!D:D)</f>
        <v>0.6</v>
      </c>
      <c r="T246">
        <f>_xlfn.XLOOKUP(Table3[[#This Row],[Product Name]],Sales!A:A,Sales!E:E)</f>
        <v>-2.8308</v>
      </c>
    </row>
    <row r="247" spans="1:20" x14ac:dyDescent="0.3">
      <c r="A247">
        <v>244</v>
      </c>
      <c r="B247" t="s">
        <v>700</v>
      </c>
      <c r="C247">
        <v>4</v>
      </c>
      <c r="D247">
        <v>6</v>
      </c>
      <c r="E247">
        <v>2020</v>
      </c>
      <c r="F247" t="s">
        <v>17</v>
      </c>
      <c r="G247" t="s">
        <v>701</v>
      </c>
      <c r="H247" t="s">
        <v>2717</v>
      </c>
      <c r="I247" t="s">
        <v>19</v>
      </c>
      <c r="J247" t="s">
        <v>2436</v>
      </c>
      <c r="K247" t="s">
        <v>79</v>
      </c>
      <c r="L247">
        <v>60610</v>
      </c>
      <c r="M247" t="s">
        <v>594</v>
      </c>
      <c r="N247" t="s">
        <v>33</v>
      </c>
      <c r="O247" t="s">
        <v>51</v>
      </c>
      <c r="P247" t="s">
        <v>595</v>
      </c>
      <c r="Q247">
        <f>_xlfn.XLOOKUP(Table3[[#This Row],[Product Name]],Sales!A:A,Sales!B:B)</f>
        <v>7.4080000000000004</v>
      </c>
      <c r="R247">
        <f>_xlfn.XLOOKUP(Table3[[#This Row],[Product Name]],Sales!A:A,Sales!C:C)</f>
        <v>2</v>
      </c>
      <c r="S247">
        <f>_xlfn.XLOOKUP(Table3[[#This Row],[Product Name]],Sales!A:A,Sales!D:D)</f>
        <v>0.2</v>
      </c>
      <c r="T247">
        <f>_xlfn.XLOOKUP(Table3[[#This Row],[Product Name]],Sales!A:A,Sales!E:E)</f>
        <v>1.2038</v>
      </c>
    </row>
    <row r="248" spans="1:20" x14ac:dyDescent="0.3">
      <c r="A248">
        <v>245</v>
      </c>
      <c r="B248" t="s">
        <v>714</v>
      </c>
      <c r="C248">
        <v>1</v>
      </c>
      <c r="D248">
        <v>6</v>
      </c>
      <c r="E248">
        <v>2018</v>
      </c>
      <c r="F248" t="s">
        <v>17</v>
      </c>
      <c r="G248" t="s">
        <v>715</v>
      </c>
      <c r="H248" t="s">
        <v>2718</v>
      </c>
      <c r="I248" t="s">
        <v>78</v>
      </c>
      <c r="J248" t="s">
        <v>2486</v>
      </c>
      <c r="K248" t="s">
        <v>79</v>
      </c>
      <c r="L248">
        <v>55044</v>
      </c>
      <c r="M248" t="s">
        <v>400</v>
      </c>
      <c r="N248" t="s">
        <v>22</v>
      </c>
      <c r="O248" t="s">
        <v>26</v>
      </c>
      <c r="P248" t="s">
        <v>401</v>
      </c>
      <c r="Q248">
        <f>_xlfn.XLOOKUP(Table3[[#This Row],[Product Name]],Sales!A:A,Sales!B:B)</f>
        <v>600.55799999999999</v>
      </c>
      <c r="R248">
        <f>_xlfn.XLOOKUP(Table3[[#This Row],[Product Name]],Sales!A:A,Sales!C:C)</f>
        <v>3</v>
      </c>
      <c r="S248">
        <f>_xlfn.XLOOKUP(Table3[[#This Row],[Product Name]],Sales!A:A,Sales!D:D)</f>
        <v>0.3</v>
      </c>
      <c r="T248">
        <f>_xlfn.XLOOKUP(Table3[[#This Row],[Product Name]],Sales!A:A,Sales!E:E)</f>
        <v>-8.5793999999999997</v>
      </c>
    </row>
    <row r="249" spans="1:20" x14ac:dyDescent="0.3">
      <c r="A249">
        <v>246</v>
      </c>
      <c r="B249" t="s">
        <v>714</v>
      </c>
      <c r="C249">
        <v>1</v>
      </c>
      <c r="D249">
        <v>6</v>
      </c>
      <c r="E249">
        <v>2018</v>
      </c>
      <c r="F249" t="s">
        <v>17</v>
      </c>
      <c r="G249" t="s">
        <v>715</v>
      </c>
      <c r="H249" t="s">
        <v>2718</v>
      </c>
      <c r="I249" t="s">
        <v>78</v>
      </c>
      <c r="J249" t="s">
        <v>2486</v>
      </c>
      <c r="K249" t="s">
        <v>79</v>
      </c>
      <c r="L249">
        <v>55044</v>
      </c>
      <c r="M249" t="s">
        <v>716</v>
      </c>
      <c r="N249" t="s">
        <v>33</v>
      </c>
      <c r="O249" t="s">
        <v>43</v>
      </c>
      <c r="P249" t="s">
        <v>717</v>
      </c>
      <c r="Q249">
        <f>_xlfn.XLOOKUP(Table3[[#This Row],[Product Name]],Sales!A:A,Sales!B:B)</f>
        <v>166.72</v>
      </c>
      <c r="R249">
        <f>_xlfn.XLOOKUP(Table3[[#This Row],[Product Name]],Sales!A:A,Sales!C:C)</f>
        <v>2</v>
      </c>
      <c r="S249">
        <f>_xlfn.XLOOKUP(Table3[[#This Row],[Product Name]],Sales!A:A,Sales!D:D)</f>
        <v>0</v>
      </c>
      <c r="T249">
        <f>_xlfn.XLOOKUP(Table3[[#This Row],[Product Name]],Sales!A:A,Sales!E:E)</f>
        <v>41.68</v>
      </c>
    </row>
    <row r="250" spans="1:20" x14ac:dyDescent="0.3">
      <c r="A250">
        <v>247</v>
      </c>
      <c r="B250" t="s">
        <v>714</v>
      </c>
      <c r="C250">
        <v>1</v>
      </c>
      <c r="D250">
        <v>6</v>
      </c>
      <c r="E250">
        <v>2018</v>
      </c>
      <c r="F250" t="s">
        <v>17</v>
      </c>
      <c r="G250" t="s">
        <v>715</v>
      </c>
      <c r="H250" t="s">
        <v>2718</v>
      </c>
      <c r="I250" t="s">
        <v>78</v>
      </c>
      <c r="J250" t="s">
        <v>2486</v>
      </c>
      <c r="K250" t="s">
        <v>79</v>
      </c>
      <c r="L250">
        <v>55044</v>
      </c>
      <c r="M250" t="s">
        <v>718</v>
      </c>
      <c r="N250" t="s">
        <v>33</v>
      </c>
      <c r="O250" t="s">
        <v>70</v>
      </c>
      <c r="P250" t="s">
        <v>719</v>
      </c>
      <c r="Q250">
        <f>_xlfn.XLOOKUP(Table3[[#This Row],[Product Name]],Sales!A:A,Sales!B:B)</f>
        <v>47.88</v>
      </c>
      <c r="R250">
        <f>_xlfn.XLOOKUP(Table3[[#This Row],[Product Name]],Sales!A:A,Sales!C:C)</f>
        <v>6</v>
      </c>
      <c r="S250">
        <f>_xlfn.XLOOKUP(Table3[[#This Row],[Product Name]],Sales!A:A,Sales!D:D)</f>
        <v>0</v>
      </c>
      <c r="T250">
        <f>_xlfn.XLOOKUP(Table3[[#This Row],[Product Name]],Sales!A:A,Sales!E:E)</f>
        <v>23.94</v>
      </c>
    </row>
    <row r="251" spans="1:20" x14ac:dyDescent="0.3">
      <c r="A251">
        <v>248</v>
      </c>
      <c r="B251" t="s">
        <v>714</v>
      </c>
      <c r="C251">
        <v>1</v>
      </c>
      <c r="D251">
        <v>6</v>
      </c>
      <c r="E251">
        <v>2018</v>
      </c>
      <c r="F251" t="s">
        <v>17</v>
      </c>
      <c r="G251" t="s">
        <v>715</v>
      </c>
      <c r="H251" t="s">
        <v>2718</v>
      </c>
      <c r="I251" t="s">
        <v>78</v>
      </c>
      <c r="J251" t="s">
        <v>2486</v>
      </c>
      <c r="K251" t="s">
        <v>79</v>
      </c>
      <c r="L251">
        <v>55044</v>
      </c>
      <c r="M251" t="s">
        <v>720</v>
      </c>
      <c r="N251" t="s">
        <v>33</v>
      </c>
      <c r="O251" t="s">
        <v>61</v>
      </c>
      <c r="P251" t="s">
        <v>721</v>
      </c>
      <c r="Q251">
        <f>_xlfn.XLOOKUP(Table3[[#This Row],[Product Name]],Sales!A:A,Sales!B:B)</f>
        <v>1503.25</v>
      </c>
      <c r="R251">
        <f>_xlfn.XLOOKUP(Table3[[#This Row],[Product Name]],Sales!A:A,Sales!C:C)</f>
        <v>5</v>
      </c>
      <c r="S251">
        <f>_xlfn.XLOOKUP(Table3[[#This Row],[Product Name]],Sales!A:A,Sales!D:D)</f>
        <v>0</v>
      </c>
      <c r="T251">
        <f>_xlfn.XLOOKUP(Table3[[#This Row],[Product Name]],Sales!A:A,Sales!E:E)</f>
        <v>496.07249999999999</v>
      </c>
    </row>
    <row r="252" spans="1:20" x14ac:dyDescent="0.3">
      <c r="A252">
        <v>249</v>
      </c>
      <c r="B252" t="s">
        <v>714</v>
      </c>
      <c r="C252">
        <v>1</v>
      </c>
      <c r="D252">
        <v>6</v>
      </c>
      <c r="E252">
        <v>2018</v>
      </c>
      <c r="F252" t="s">
        <v>17</v>
      </c>
      <c r="G252" t="s">
        <v>715</v>
      </c>
      <c r="H252" t="s">
        <v>2718</v>
      </c>
      <c r="I252" t="s">
        <v>78</v>
      </c>
      <c r="J252" t="s">
        <v>2486</v>
      </c>
      <c r="K252" t="s">
        <v>79</v>
      </c>
      <c r="L252">
        <v>55044</v>
      </c>
      <c r="M252" t="s">
        <v>586</v>
      </c>
      <c r="N252" t="s">
        <v>33</v>
      </c>
      <c r="O252" t="s">
        <v>70</v>
      </c>
      <c r="P252" t="s">
        <v>587</v>
      </c>
      <c r="Q252">
        <f>_xlfn.XLOOKUP(Table3[[#This Row],[Product Name]],Sales!A:A,Sales!B:B)</f>
        <v>51.84</v>
      </c>
      <c r="R252">
        <f>_xlfn.XLOOKUP(Table3[[#This Row],[Product Name]],Sales!A:A,Sales!C:C)</f>
        <v>8</v>
      </c>
      <c r="S252">
        <f>_xlfn.XLOOKUP(Table3[[#This Row],[Product Name]],Sales!A:A,Sales!D:D)</f>
        <v>0</v>
      </c>
      <c r="T252">
        <f>_xlfn.XLOOKUP(Table3[[#This Row],[Product Name]],Sales!A:A,Sales!E:E)</f>
        <v>24.883199999999999</v>
      </c>
    </row>
    <row r="253" spans="1:20" x14ac:dyDescent="0.3">
      <c r="A253">
        <v>250</v>
      </c>
      <c r="B253" t="s">
        <v>722</v>
      </c>
      <c r="C253">
        <v>10</v>
      </c>
      <c r="D253">
        <v>12</v>
      </c>
      <c r="E253">
        <v>2020</v>
      </c>
      <c r="F253" t="s">
        <v>17</v>
      </c>
      <c r="G253" t="s">
        <v>723</v>
      </c>
      <c r="H253" t="s">
        <v>2719</v>
      </c>
      <c r="I253" t="s">
        <v>19</v>
      </c>
      <c r="J253" t="s">
        <v>2422</v>
      </c>
      <c r="K253" t="s">
        <v>31</v>
      </c>
      <c r="L253">
        <v>94109</v>
      </c>
      <c r="M253" t="s">
        <v>724</v>
      </c>
      <c r="N253" t="s">
        <v>22</v>
      </c>
      <c r="O253" t="s">
        <v>26</v>
      </c>
      <c r="P253" t="s">
        <v>725</v>
      </c>
      <c r="Q253">
        <f>_xlfn.XLOOKUP(Table3[[#This Row],[Product Name]],Sales!A:A,Sales!B:B)</f>
        <v>321.56799999999998</v>
      </c>
      <c r="R253">
        <f>_xlfn.XLOOKUP(Table3[[#This Row],[Product Name]],Sales!A:A,Sales!C:C)</f>
        <v>2</v>
      </c>
      <c r="S253">
        <f>_xlfn.XLOOKUP(Table3[[#This Row],[Product Name]],Sales!A:A,Sales!D:D)</f>
        <v>0.2</v>
      </c>
      <c r="T253">
        <f>_xlfn.XLOOKUP(Table3[[#This Row],[Product Name]],Sales!A:A,Sales!E:E)</f>
        <v>28.1372</v>
      </c>
    </row>
    <row r="254" spans="1:20" x14ac:dyDescent="0.3">
      <c r="A254">
        <v>251</v>
      </c>
      <c r="B254" t="s">
        <v>726</v>
      </c>
      <c r="C254">
        <v>11</v>
      </c>
      <c r="D254">
        <v>9</v>
      </c>
      <c r="E254">
        <v>2020</v>
      </c>
      <c r="F254" t="s">
        <v>37</v>
      </c>
      <c r="G254" t="s">
        <v>727</v>
      </c>
      <c r="H254" t="s">
        <v>2720</v>
      </c>
      <c r="I254" t="s">
        <v>19</v>
      </c>
      <c r="J254" t="s">
        <v>2487</v>
      </c>
      <c r="K254" t="s">
        <v>31</v>
      </c>
      <c r="L254">
        <v>92037</v>
      </c>
      <c r="M254" t="s">
        <v>728</v>
      </c>
      <c r="N254" t="s">
        <v>33</v>
      </c>
      <c r="O254" t="s">
        <v>70</v>
      </c>
      <c r="P254" t="s">
        <v>729</v>
      </c>
      <c r="Q254">
        <f>_xlfn.XLOOKUP(Table3[[#This Row],[Product Name]],Sales!A:A,Sales!B:B)</f>
        <v>7.61</v>
      </c>
      <c r="R254">
        <f>_xlfn.XLOOKUP(Table3[[#This Row],[Product Name]],Sales!A:A,Sales!C:C)</f>
        <v>1</v>
      </c>
      <c r="S254">
        <f>_xlfn.XLOOKUP(Table3[[#This Row],[Product Name]],Sales!A:A,Sales!D:D)</f>
        <v>0</v>
      </c>
      <c r="T254">
        <f>_xlfn.XLOOKUP(Table3[[#This Row],[Product Name]],Sales!A:A,Sales!E:E)</f>
        <v>3.5767000000000002</v>
      </c>
    </row>
    <row r="255" spans="1:20" x14ac:dyDescent="0.3">
      <c r="A255">
        <v>252</v>
      </c>
      <c r="B255" t="s">
        <v>726</v>
      </c>
      <c r="C255">
        <v>11</v>
      </c>
      <c r="D255">
        <v>9</v>
      </c>
      <c r="E255">
        <v>2020</v>
      </c>
      <c r="F255" t="s">
        <v>37</v>
      </c>
      <c r="G255" t="s">
        <v>727</v>
      </c>
      <c r="H255" t="s">
        <v>2720</v>
      </c>
      <c r="I255" t="s">
        <v>19</v>
      </c>
      <c r="J255" t="s">
        <v>2487</v>
      </c>
      <c r="K255" t="s">
        <v>31</v>
      </c>
      <c r="L255">
        <v>92037</v>
      </c>
      <c r="M255" t="s">
        <v>694</v>
      </c>
      <c r="N255" t="s">
        <v>54</v>
      </c>
      <c r="O255" t="s">
        <v>118</v>
      </c>
      <c r="P255" t="s">
        <v>695</v>
      </c>
      <c r="Q255">
        <f>_xlfn.XLOOKUP(Table3[[#This Row],[Product Name]],Sales!A:A,Sales!B:B)</f>
        <v>617.976</v>
      </c>
      <c r="R255">
        <f>_xlfn.XLOOKUP(Table3[[#This Row],[Product Name]],Sales!A:A,Sales!C:C)</f>
        <v>3</v>
      </c>
      <c r="S255">
        <f>_xlfn.XLOOKUP(Table3[[#This Row],[Product Name]],Sales!A:A,Sales!D:D)</f>
        <v>0.2</v>
      </c>
      <c r="T255">
        <f>_xlfn.XLOOKUP(Table3[[#This Row],[Product Name]],Sales!A:A,Sales!E:E)</f>
        <v>-7.7247000000000003</v>
      </c>
    </row>
    <row r="256" spans="1:20" x14ac:dyDescent="0.3">
      <c r="A256">
        <v>253</v>
      </c>
      <c r="B256" t="s">
        <v>730</v>
      </c>
      <c r="C256">
        <v>10</v>
      </c>
      <c r="D256">
        <v>12</v>
      </c>
      <c r="E256">
        <v>2020</v>
      </c>
      <c r="F256" t="s">
        <v>142</v>
      </c>
      <c r="G256" t="s">
        <v>731</v>
      </c>
      <c r="H256" t="s">
        <v>2721</v>
      </c>
      <c r="I256" t="s">
        <v>19</v>
      </c>
      <c r="J256" t="s">
        <v>2434</v>
      </c>
      <c r="K256" t="s">
        <v>108</v>
      </c>
      <c r="L256">
        <v>10024</v>
      </c>
      <c r="M256" t="s">
        <v>732</v>
      </c>
      <c r="N256" t="s">
        <v>33</v>
      </c>
      <c r="O256" t="s">
        <v>43</v>
      </c>
      <c r="P256" t="s">
        <v>733</v>
      </c>
      <c r="Q256">
        <f>_xlfn.XLOOKUP(Table3[[#This Row],[Product Name]],Sales!A:A,Sales!B:B)</f>
        <v>80.58</v>
      </c>
      <c r="R256">
        <f>_xlfn.XLOOKUP(Table3[[#This Row],[Product Name]],Sales!A:A,Sales!C:C)</f>
        <v>6</v>
      </c>
      <c r="S256">
        <f>_xlfn.XLOOKUP(Table3[[#This Row],[Product Name]],Sales!A:A,Sales!D:D)</f>
        <v>0</v>
      </c>
      <c r="T256">
        <f>_xlfn.XLOOKUP(Table3[[#This Row],[Product Name]],Sales!A:A,Sales!E:E)</f>
        <v>22.5624</v>
      </c>
    </row>
    <row r="257" spans="1:20" x14ac:dyDescent="0.3">
      <c r="A257">
        <v>254</v>
      </c>
      <c r="B257" t="s">
        <v>730</v>
      </c>
      <c r="C257">
        <v>10</v>
      </c>
      <c r="D257">
        <v>12</v>
      </c>
      <c r="E257">
        <v>2020</v>
      </c>
      <c r="F257" t="s">
        <v>142</v>
      </c>
      <c r="G257" t="s">
        <v>731</v>
      </c>
      <c r="H257" t="s">
        <v>2721</v>
      </c>
      <c r="I257" t="s">
        <v>19</v>
      </c>
      <c r="J257" t="s">
        <v>2434</v>
      </c>
      <c r="K257" t="s">
        <v>108</v>
      </c>
      <c r="L257">
        <v>10024</v>
      </c>
      <c r="M257" t="s">
        <v>734</v>
      </c>
      <c r="N257" t="s">
        <v>33</v>
      </c>
      <c r="O257" t="s">
        <v>129</v>
      </c>
      <c r="P257" t="s">
        <v>735</v>
      </c>
      <c r="Q257">
        <f>_xlfn.XLOOKUP(Table3[[#This Row],[Product Name]],Sales!A:A,Sales!B:B)</f>
        <v>361.92</v>
      </c>
      <c r="R257">
        <f>_xlfn.XLOOKUP(Table3[[#This Row],[Product Name]],Sales!A:A,Sales!C:C)</f>
        <v>4</v>
      </c>
      <c r="S257">
        <f>_xlfn.XLOOKUP(Table3[[#This Row],[Product Name]],Sales!A:A,Sales!D:D)</f>
        <v>0</v>
      </c>
      <c r="T257">
        <f>_xlfn.XLOOKUP(Table3[[#This Row],[Product Name]],Sales!A:A,Sales!E:E)</f>
        <v>162.864</v>
      </c>
    </row>
    <row r="258" spans="1:20" x14ac:dyDescent="0.3">
      <c r="A258">
        <v>255</v>
      </c>
      <c r="B258" t="s">
        <v>736</v>
      </c>
      <c r="C258">
        <v>28</v>
      </c>
      <c r="D258">
        <v>11</v>
      </c>
      <c r="E258">
        <v>2019</v>
      </c>
      <c r="F258" t="s">
        <v>37</v>
      </c>
      <c r="G258" t="s">
        <v>737</v>
      </c>
      <c r="H258" t="s">
        <v>2722</v>
      </c>
      <c r="I258" t="s">
        <v>30</v>
      </c>
      <c r="J258" t="s">
        <v>2436</v>
      </c>
      <c r="K258" t="s">
        <v>79</v>
      </c>
      <c r="L258">
        <v>60623</v>
      </c>
      <c r="M258" t="s">
        <v>712</v>
      </c>
      <c r="N258" t="s">
        <v>22</v>
      </c>
      <c r="O258" t="s">
        <v>48</v>
      </c>
      <c r="P258" t="s">
        <v>713</v>
      </c>
      <c r="Q258">
        <f>_xlfn.XLOOKUP(Table3[[#This Row],[Product Name]],Sales!A:A,Sales!B:B)</f>
        <v>4.0439999999999996</v>
      </c>
      <c r="R258">
        <f>_xlfn.XLOOKUP(Table3[[#This Row],[Product Name]],Sales!A:A,Sales!C:C)</f>
        <v>3</v>
      </c>
      <c r="S258">
        <f>_xlfn.XLOOKUP(Table3[[#This Row],[Product Name]],Sales!A:A,Sales!D:D)</f>
        <v>0.6</v>
      </c>
      <c r="T258">
        <f>_xlfn.XLOOKUP(Table3[[#This Row],[Product Name]],Sales!A:A,Sales!E:E)</f>
        <v>-2.8308</v>
      </c>
    </row>
    <row r="259" spans="1:20" x14ac:dyDescent="0.3">
      <c r="A259">
        <v>256</v>
      </c>
      <c r="B259" t="s">
        <v>736</v>
      </c>
      <c r="C259">
        <v>28</v>
      </c>
      <c r="D259">
        <v>11</v>
      </c>
      <c r="E259">
        <v>2019</v>
      </c>
      <c r="F259" t="s">
        <v>37</v>
      </c>
      <c r="G259" t="s">
        <v>737</v>
      </c>
      <c r="H259" t="s">
        <v>2722</v>
      </c>
      <c r="I259" t="s">
        <v>30</v>
      </c>
      <c r="J259" t="s">
        <v>2436</v>
      </c>
      <c r="K259" t="s">
        <v>79</v>
      </c>
      <c r="L259">
        <v>60623</v>
      </c>
      <c r="M259" t="s">
        <v>738</v>
      </c>
      <c r="N259" t="s">
        <v>33</v>
      </c>
      <c r="O259" t="s">
        <v>43</v>
      </c>
      <c r="P259" t="s">
        <v>739</v>
      </c>
      <c r="Q259">
        <f>_xlfn.XLOOKUP(Table3[[#This Row],[Product Name]],Sales!A:A,Sales!B:B)</f>
        <v>82.367999999999995</v>
      </c>
      <c r="R259">
        <f>_xlfn.XLOOKUP(Table3[[#This Row],[Product Name]],Sales!A:A,Sales!C:C)</f>
        <v>2</v>
      </c>
      <c r="S259">
        <f>_xlfn.XLOOKUP(Table3[[#This Row],[Product Name]],Sales!A:A,Sales!D:D)</f>
        <v>0.2</v>
      </c>
      <c r="T259">
        <f>_xlfn.XLOOKUP(Table3[[#This Row],[Product Name]],Sales!A:A,Sales!E:E)</f>
        <v>-19.5624</v>
      </c>
    </row>
    <row r="260" spans="1:20" x14ac:dyDescent="0.3">
      <c r="A260">
        <v>257</v>
      </c>
      <c r="B260" t="s">
        <v>736</v>
      </c>
      <c r="C260">
        <v>28</v>
      </c>
      <c r="D260">
        <v>11</v>
      </c>
      <c r="E260">
        <v>2019</v>
      </c>
      <c r="F260" t="s">
        <v>37</v>
      </c>
      <c r="G260" t="s">
        <v>737</v>
      </c>
      <c r="H260" t="s">
        <v>2722</v>
      </c>
      <c r="I260" t="s">
        <v>30</v>
      </c>
      <c r="J260" t="s">
        <v>2436</v>
      </c>
      <c r="K260" t="s">
        <v>79</v>
      </c>
      <c r="L260">
        <v>60623</v>
      </c>
      <c r="M260" t="s">
        <v>480</v>
      </c>
      <c r="N260" t="s">
        <v>33</v>
      </c>
      <c r="O260" t="s">
        <v>43</v>
      </c>
      <c r="P260" t="s">
        <v>481</v>
      </c>
      <c r="Q260">
        <f>_xlfn.XLOOKUP(Table3[[#This Row],[Product Name]],Sales!A:A,Sales!B:B)</f>
        <v>80.88</v>
      </c>
      <c r="R260">
        <f>_xlfn.XLOOKUP(Table3[[#This Row],[Product Name]],Sales!A:A,Sales!C:C)</f>
        <v>6</v>
      </c>
      <c r="S260">
        <f>_xlfn.XLOOKUP(Table3[[#This Row],[Product Name]],Sales!A:A,Sales!D:D)</f>
        <v>0</v>
      </c>
      <c r="T260">
        <f>_xlfn.XLOOKUP(Table3[[#This Row],[Product Name]],Sales!A:A,Sales!E:E)</f>
        <v>21.0288</v>
      </c>
    </row>
    <row r="261" spans="1:20" x14ac:dyDescent="0.3">
      <c r="A261">
        <v>258</v>
      </c>
      <c r="B261" t="s">
        <v>736</v>
      </c>
      <c r="C261">
        <v>28</v>
      </c>
      <c r="D261">
        <v>11</v>
      </c>
      <c r="E261">
        <v>2019</v>
      </c>
      <c r="F261" t="s">
        <v>37</v>
      </c>
      <c r="G261" t="s">
        <v>737</v>
      </c>
      <c r="H261" t="s">
        <v>2722</v>
      </c>
      <c r="I261" t="s">
        <v>30</v>
      </c>
      <c r="J261" t="s">
        <v>2436</v>
      </c>
      <c r="K261" t="s">
        <v>79</v>
      </c>
      <c r="L261">
        <v>60623</v>
      </c>
      <c r="M261" t="s">
        <v>740</v>
      </c>
      <c r="N261" t="s">
        <v>54</v>
      </c>
      <c r="O261" t="s">
        <v>55</v>
      </c>
      <c r="P261" t="s">
        <v>741</v>
      </c>
      <c r="Q261">
        <f>_xlfn.XLOOKUP(Table3[[#This Row],[Product Name]],Sales!A:A,Sales!B:B)</f>
        <v>647.904</v>
      </c>
      <c r="R261">
        <f>_xlfn.XLOOKUP(Table3[[#This Row],[Product Name]],Sales!A:A,Sales!C:C)</f>
        <v>6</v>
      </c>
      <c r="S261">
        <f>_xlfn.XLOOKUP(Table3[[#This Row],[Product Name]],Sales!A:A,Sales!D:D)</f>
        <v>0.2</v>
      </c>
      <c r="T261">
        <f>_xlfn.XLOOKUP(Table3[[#This Row],[Product Name]],Sales!A:A,Sales!E:E)</f>
        <v>56.691600000000001</v>
      </c>
    </row>
    <row r="262" spans="1:20" x14ac:dyDescent="0.3">
      <c r="A262">
        <v>259</v>
      </c>
      <c r="B262" t="s">
        <v>742</v>
      </c>
      <c r="C262">
        <v>1</v>
      </c>
      <c r="D262">
        <v>12</v>
      </c>
      <c r="E262">
        <v>2021</v>
      </c>
      <c r="F262" t="s">
        <v>17</v>
      </c>
      <c r="G262" t="s">
        <v>743</v>
      </c>
      <c r="H262" t="s">
        <v>2723</v>
      </c>
      <c r="I262" t="s">
        <v>19</v>
      </c>
      <c r="J262" t="s">
        <v>2434</v>
      </c>
      <c r="K262" t="s">
        <v>108</v>
      </c>
      <c r="L262">
        <v>10009</v>
      </c>
      <c r="M262" t="s">
        <v>744</v>
      </c>
      <c r="N262" t="s">
        <v>54</v>
      </c>
      <c r="O262" t="s">
        <v>118</v>
      </c>
      <c r="P262" t="s">
        <v>745</v>
      </c>
      <c r="Q262">
        <f>_xlfn.XLOOKUP(Table3[[#This Row],[Product Name]],Sales!A:A,Sales!B:B)</f>
        <v>20.37</v>
      </c>
      <c r="R262">
        <f>_xlfn.XLOOKUP(Table3[[#This Row],[Product Name]],Sales!A:A,Sales!C:C)</f>
        <v>3</v>
      </c>
      <c r="S262">
        <f>_xlfn.XLOOKUP(Table3[[#This Row],[Product Name]],Sales!A:A,Sales!D:D)</f>
        <v>0</v>
      </c>
      <c r="T262">
        <f>_xlfn.XLOOKUP(Table3[[#This Row],[Product Name]],Sales!A:A,Sales!E:E)</f>
        <v>6.9257999999999997</v>
      </c>
    </row>
    <row r="263" spans="1:20" x14ac:dyDescent="0.3">
      <c r="A263">
        <v>260</v>
      </c>
      <c r="B263" t="s">
        <v>742</v>
      </c>
      <c r="C263">
        <v>1</v>
      </c>
      <c r="D263">
        <v>12</v>
      </c>
      <c r="E263">
        <v>2021</v>
      </c>
      <c r="F263" t="s">
        <v>17</v>
      </c>
      <c r="G263" t="s">
        <v>743</v>
      </c>
      <c r="H263" t="s">
        <v>2723</v>
      </c>
      <c r="I263" t="s">
        <v>19</v>
      </c>
      <c r="J263" t="s">
        <v>2434</v>
      </c>
      <c r="K263" t="s">
        <v>108</v>
      </c>
      <c r="L263">
        <v>10009</v>
      </c>
      <c r="M263" t="s">
        <v>746</v>
      </c>
      <c r="N263" t="s">
        <v>33</v>
      </c>
      <c r="O263" t="s">
        <v>43</v>
      </c>
      <c r="P263" t="s">
        <v>747</v>
      </c>
      <c r="Q263">
        <f>_xlfn.XLOOKUP(Table3[[#This Row],[Product Name]],Sales!A:A,Sales!B:B)</f>
        <v>221.55</v>
      </c>
      <c r="R263">
        <f>_xlfn.XLOOKUP(Table3[[#This Row],[Product Name]],Sales!A:A,Sales!C:C)</f>
        <v>3</v>
      </c>
      <c r="S263">
        <f>_xlfn.XLOOKUP(Table3[[#This Row],[Product Name]],Sales!A:A,Sales!D:D)</f>
        <v>0</v>
      </c>
      <c r="T263">
        <f>_xlfn.XLOOKUP(Table3[[#This Row],[Product Name]],Sales!A:A,Sales!E:E)</f>
        <v>6.6464999999999996</v>
      </c>
    </row>
    <row r="264" spans="1:20" x14ac:dyDescent="0.3">
      <c r="A264">
        <v>261</v>
      </c>
      <c r="B264" t="s">
        <v>742</v>
      </c>
      <c r="C264">
        <v>1</v>
      </c>
      <c r="D264">
        <v>12</v>
      </c>
      <c r="E264">
        <v>2021</v>
      </c>
      <c r="F264" t="s">
        <v>17</v>
      </c>
      <c r="G264" t="s">
        <v>743</v>
      </c>
      <c r="H264" t="s">
        <v>2723</v>
      </c>
      <c r="I264" t="s">
        <v>19</v>
      </c>
      <c r="J264" t="s">
        <v>2434</v>
      </c>
      <c r="K264" t="s">
        <v>108</v>
      </c>
      <c r="L264">
        <v>10009</v>
      </c>
      <c r="M264" t="s">
        <v>748</v>
      </c>
      <c r="N264" t="s">
        <v>33</v>
      </c>
      <c r="O264" t="s">
        <v>58</v>
      </c>
      <c r="P264" t="s">
        <v>749</v>
      </c>
      <c r="Q264">
        <f>_xlfn.XLOOKUP(Table3[[#This Row],[Product Name]],Sales!A:A,Sales!B:B)</f>
        <v>17.52</v>
      </c>
      <c r="R264">
        <f>_xlfn.XLOOKUP(Table3[[#This Row],[Product Name]],Sales!A:A,Sales!C:C)</f>
        <v>5</v>
      </c>
      <c r="S264">
        <f>_xlfn.XLOOKUP(Table3[[#This Row],[Product Name]],Sales!A:A,Sales!D:D)</f>
        <v>0.2</v>
      </c>
      <c r="T264">
        <f>_xlfn.XLOOKUP(Table3[[#This Row],[Product Name]],Sales!A:A,Sales!E:E)</f>
        <v>6.1319999999999997</v>
      </c>
    </row>
    <row r="265" spans="1:20" x14ac:dyDescent="0.3">
      <c r="A265">
        <v>262</v>
      </c>
      <c r="B265" t="s">
        <v>750</v>
      </c>
      <c r="C265">
        <v>8</v>
      </c>
      <c r="D265">
        <v>6</v>
      </c>
      <c r="E265">
        <v>2021</v>
      </c>
      <c r="F265" t="s">
        <v>37</v>
      </c>
      <c r="G265" t="s">
        <v>751</v>
      </c>
      <c r="H265" t="s">
        <v>2724</v>
      </c>
      <c r="I265" t="s">
        <v>30</v>
      </c>
      <c r="J265" t="s">
        <v>2488</v>
      </c>
      <c r="K265" t="s">
        <v>79</v>
      </c>
      <c r="L265">
        <v>77506</v>
      </c>
      <c r="M265" t="s">
        <v>752</v>
      </c>
      <c r="N265" t="s">
        <v>33</v>
      </c>
      <c r="O265" t="s">
        <v>61</v>
      </c>
      <c r="P265" t="s">
        <v>753</v>
      </c>
      <c r="Q265">
        <f>_xlfn.XLOOKUP(Table3[[#This Row],[Product Name]],Sales!A:A,Sales!B:B)</f>
        <v>1.6240000000000001</v>
      </c>
      <c r="R265">
        <f>_xlfn.XLOOKUP(Table3[[#This Row],[Product Name]],Sales!A:A,Sales!C:C)</f>
        <v>2</v>
      </c>
      <c r="S265">
        <f>_xlfn.XLOOKUP(Table3[[#This Row],[Product Name]],Sales!A:A,Sales!D:D)</f>
        <v>0.8</v>
      </c>
      <c r="T265">
        <f>_xlfn.XLOOKUP(Table3[[#This Row],[Product Name]],Sales!A:A,Sales!E:E)</f>
        <v>-4.4660000000000002</v>
      </c>
    </row>
    <row r="266" spans="1:20" x14ac:dyDescent="0.3">
      <c r="A266">
        <v>263</v>
      </c>
      <c r="B266" t="s">
        <v>754</v>
      </c>
      <c r="C266">
        <v>19</v>
      </c>
      <c r="D266">
        <v>9</v>
      </c>
      <c r="E266">
        <v>2018</v>
      </c>
      <c r="F266" t="s">
        <v>17</v>
      </c>
      <c r="G266" t="s">
        <v>755</v>
      </c>
      <c r="H266" t="s">
        <v>2725</v>
      </c>
      <c r="I266" t="s">
        <v>30</v>
      </c>
      <c r="J266" t="s">
        <v>2426</v>
      </c>
      <c r="K266" t="s">
        <v>79</v>
      </c>
      <c r="L266">
        <v>77036</v>
      </c>
      <c r="M266" t="s">
        <v>514</v>
      </c>
      <c r="N266" t="s">
        <v>54</v>
      </c>
      <c r="O266" t="s">
        <v>515</v>
      </c>
      <c r="P266" t="s">
        <v>516</v>
      </c>
      <c r="Q266">
        <f>_xlfn.XLOOKUP(Table3[[#This Row],[Product Name]],Sales!A:A,Sales!B:B)</f>
        <v>8159.9520000000002</v>
      </c>
      <c r="R266">
        <f>_xlfn.XLOOKUP(Table3[[#This Row],[Product Name]],Sales!A:A,Sales!C:C)</f>
        <v>8</v>
      </c>
      <c r="S266">
        <f>_xlfn.XLOOKUP(Table3[[#This Row],[Product Name]],Sales!A:A,Sales!D:D)</f>
        <v>0.4</v>
      </c>
      <c r="T266">
        <f>_xlfn.XLOOKUP(Table3[[#This Row],[Product Name]],Sales!A:A,Sales!E:E)</f>
        <v>-1359.992</v>
      </c>
    </row>
    <row r="267" spans="1:20" x14ac:dyDescent="0.3">
      <c r="A267">
        <v>264</v>
      </c>
      <c r="B267" t="s">
        <v>754</v>
      </c>
      <c r="C267">
        <v>19</v>
      </c>
      <c r="D267">
        <v>9</v>
      </c>
      <c r="E267">
        <v>2018</v>
      </c>
      <c r="F267" t="s">
        <v>17</v>
      </c>
      <c r="G267" t="s">
        <v>755</v>
      </c>
      <c r="H267" t="s">
        <v>2725</v>
      </c>
      <c r="I267" t="s">
        <v>30</v>
      </c>
      <c r="J267" t="s">
        <v>2426</v>
      </c>
      <c r="K267" t="s">
        <v>79</v>
      </c>
      <c r="L267">
        <v>77036</v>
      </c>
      <c r="M267" t="s">
        <v>756</v>
      </c>
      <c r="N267" t="s">
        <v>54</v>
      </c>
      <c r="O267" t="s">
        <v>515</v>
      </c>
      <c r="P267" t="s">
        <v>757</v>
      </c>
      <c r="Q267">
        <f>_xlfn.XLOOKUP(Table3[[#This Row],[Product Name]],Sales!A:A,Sales!B:B)</f>
        <v>2519.9580000000001</v>
      </c>
      <c r="R267">
        <f>_xlfn.XLOOKUP(Table3[[#This Row],[Product Name]],Sales!A:A,Sales!C:C)</f>
        <v>7</v>
      </c>
      <c r="S267">
        <f>_xlfn.XLOOKUP(Table3[[#This Row],[Product Name]],Sales!A:A,Sales!D:D)</f>
        <v>0.4</v>
      </c>
      <c r="T267">
        <f>_xlfn.XLOOKUP(Table3[[#This Row],[Product Name]],Sales!A:A,Sales!E:E)</f>
        <v>-251.9958</v>
      </c>
    </row>
    <row r="268" spans="1:20" x14ac:dyDescent="0.3">
      <c r="A268">
        <v>265</v>
      </c>
      <c r="B268" t="s">
        <v>758</v>
      </c>
      <c r="C268">
        <v>6</v>
      </c>
      <c r="D268">
        <v>6</v>
      </c>
      <c r="E268">
        <v>2020</v>
      </c>
      <c r="F268" t="s">
        <v>37</v>
      </c>
      <c r="G268" t="s">
        <v>759</v>
      </c>
      <c r="H268" t="s">
        <v>2726</v>
      </c>
      <c r="I268" t="s">
        <v>19</v>
      </c>
      <c r="J268" t="s">
        <v>2436</v>
      </c>
      <c r="K268" t="s">
        <v>79</v>
      </c>
      <c r="L268">
        <v>60610</v>
      </c>
      <c r="M268" t="s">
        <v>760</v>
      </c>
      <c r="N268" t="s">
        <v>54</v>
      </c>
      <c r="O268" t="s">
        <v>55</v>
      </c>
      <c r="P268" t="s">
        <v>761</v>
      </c>
      <c r="Q268">
        <f>_xlfn.XLOOKUP(Table3[[#This Row],[Product Name]],Sales!A:A,Sales!B:B)</f>
        <v>328.22399999999999</v>
      </c>
      <c r="R268">
        <f>_xlfn.XLOOKUP(Table3[[#This Row],[Product Name]],Sales!A:A,Sales!C:C)</f>
        <v>4</v>
      </c>
      <c r="S268">
        <f>_xlfn.XLOOKUP(Table3[[#This Row],[Product Name]],Sales!A:A,Sales!D:D)</f>
        <v>0.2</v>
      </c>
      <c r="T268">
        <f>_xlfn.XLOOKUP(Table3[[#This Row],[Product Name]],Sales!A:A,Sales!E:E)</f>
        <v>28.7196</v>
      </c>
    </row>
    <row r="269" spans="1:20" x14ac:dyDescent="0.3">
      <c r="A269">
        <v>266</v>
      </c>
      <c r="B269" t="s">
        <v>762</v>
      </c>
      <c r="C269">
        <v>10</v>
      </c>
      <c r="D269">
        <v>11</v>
      </c>
      <c r="E269">
        <v>2019</v>
      </c>
      <c r="F269" t="s">
        <v>37</v>
      </c>
      <c r="G269" t="s">
        <v>763</v>
      </c>
      <c r="H269" t="s">
        <v>2727</v>
      </c>
      <c r="I269" t="s">
        <v>19</v>
      </c>
      <c r="J269" t="s">
        <v>2489</v>
      </c>
      <c r="K269" t="s">
        <v>31</v>
      </c>
      <c r="L269">
        <v>94513</v>
      </c>
      <c r="M269" t="s">
        <v>764</v>
      </c>
      <c r="N269" t="s">
        <v>54</v>
      </c>
      <c r="O269" t="s">
        <v>118</v>
      </c>
      <c r="P269" t="s">
        <v>765</v>
      </c>
      <c r="Q269">
        <f>_xlfn.XLOOKUP(Table3[[#This Row],[Product Name]],Sales!A:A,Sales!B:B)</f>
        <v>79.900000000000006</v>
      </c>
      <c r="R269">
        <f>_xlfn.XLOOKUP(Table3[[#This Row],[Product Name]],Sales!A:A,Sales!C:C)</f>
        <v>2</v>
      </c>
      <c r="S269">
        <f>_xlfn.XLOOKUP(Table3[[#This Row],[Product Name]],Sales!A:A,Sales!D:D)</f>
        <v>0</v>
      </c>
      <c r="T269">
        <f>_xlfn.XLOOKUP(Table3[[#This Row],[Product Name]],Sales!A:A,Sales!E:E)</f>
        <v>35.155999999999999</v>
      </c>
    </row>
    <row r="270" spans="1:20" x14ac:dyDescent="0.3">
      <c r="A270">
        <v>267</v>
      </c>
      <c r="B270" t="s">
        <v>766</v>
      </c>
      <c r="C270">
        <v>16</v>
      </c>
      <c r="D270">
        <v>6</v>
      </c>
      <c r="E270">
        <v>2021</v>
      </c>
      <c r="F270" t="s">
        <v>37</v>
      </c>
      <c r="G270" t="s">
        <v>767</v>
      </c>
      <c r="H270" t="s">
        <v>2728</v>
      </c>
      <c r="I270" t="s">
        <v>30</v>
      </c>
      <c r="J270" t="s">
        <v>2490</v>
      </c>
      <c r="K270" t="s">
        <v>20</v>
      </c>
      <c r="L270">
        <v>27514</v>
      </c>
      <c r="M270" t="s">
        <v>768</v>
      </c>
      <c r="N270" t="s">
        <v>33</v>
      </c>
      <c r="O270" t="s">
        <v>51</v>
      </c>
      <c r="P270" t="s">
        <v>769</v>
      </c>
      <c r="Q270">
        <f>_xlfn.XLOOKUP(Table3[[#This Row],[Product Name]],Sales!A:A,Sales!B:B)</f>
        <v>14.016</v>
      </c>
      <c r="R270">
        <f>_xlfn.XLOOKUP(Table3[[#This Row],[Product Name]],Sales!A:A,Sales!C:C)</f>
        <v>3</v>
      </c>
      <c r="S270">
        <f>_xlfn.XLOOKUP(Table3[[#This Row],[Product Name]],Sales!A:A,Sales!D:D)</f>
        <v>0.2</v>
      </c>
      <c r="T270">
        <f>_xlfn.XLOOKUP(Table3[[#This Row],[Product Name]],Sales!A:A,Sales!E:E)</f>
        <v>4.7304000000000004</v>
      </c>
    </row>
    <row r="271" spans="1:20" x14ac:dyDescent="0.3">
      <c r="A271">
        <v>268</v>
      </c>
      <c r="B271" t="s">
        <v>770</v>
      </c>
      <c r="C271">
        <v>22</v>
      </c>
      <c r="D271">
        <v>1</v>
      </c>
      <c r="E271">
        <v>2020</v>
      </c>
      <c r="F271" t="s">
        <v>37</v>
      </c>
      <c r="G271" t="s">
        <v>290</v>
      </c>
      <c r="H271" t="s">
        <v>2647</v>
      </c>
      <c r="I271" t="s">
        <v>19</v>
      </c>
      <c r="J271" t="s">
        <v>2491</v>
      </c>
      <c r="K271" t="s">
        <v>108</v>
      </c>
      <c r="L271">
        <v>7960</v>
      </c>
      <c r="M271" t="s">
        <v>771</v>
      </c>
      <c r="N271" t="s">
        <v>33</v>
      </c>
      <c r="O271" t="s">
        <v>199</v>
      </c>
      <c r="P271" t="s">
        <v>772</v>
      </c>
      <c r="Q271">
        <f>_xlfn.XLOOKUP(Table3[[#This Row],[Product Name]],Sales!A:A,Sales!B:B)</f>
        <v>7.56</v>
      </c>
      <c r="R271">
        <f>_xlfn.XLOOKUP(Table3[[#This Row],[Product Name]],Sales!A:A,Sales!C:C)</f>
        <v>6</v>
      </c>
      <c r="S271">
        <f>_xlfn.XLOOKUP(Table3[[#This Row],[Product Name]],Sales!A:A,Sales!D:D)</f>
        <v>0</v>
      </c>
      <c r="T271">
        <f>_xlfn.XLOOKUP(Table3[[#This Row],[Product Name]],Sales!A:A,Sales!E:E)</f>
        <v>0.3024</v>
      </c>
    </row>
    <row r="272" spans="1:20" x14ac:dyDescent="0.3">
      <c r="A272">
        <v>269</v>
      </c>
      <c r="B272" t="s">
        <v>773</v>
      </c>
      <c r="C272">
        <v>9</v>
      </c>
      <c r="D272">
        <v>12</v>
      </c>
      <c r="E272">
        <v>2021</v>
      </c>
      <c r="F272" t="s">
        <v>37</v>
      </c>
      <c r="G272" t="s">
        <v>774</v>
      </c>
      <c r="H272" t="s">
        <v>2729</v>
      </c>
      <c r="I272" t="s">
        <v>30</v>
      </c>
      <c r="J272" t="s">
        <v>2492</v>
      </c>
      <c r="K272" t="s">
        <v>108</v>
      </c>
      <c r="L272">
        <v>45231</v>
      </c>
      <c r="M272" t="s">
        <v>775</v>
      </c>
      <c r="N272" t="s">
        <v>33</v>
      </c>
      <c r="O272" t="s">
        <v>43</v>
      </c>
      <c r="P272" t="s">
        <v>776</v>
      </c>
      <c r="Q272">
        <f>_xlfn.XLOOKUP(Table3[[#This Row],[Product Name]],Sales!A:A,Sales!B:B)</f>
        <v>37.207999999999998</v>
      </c>
      <c r="R272">
        <f>_xlfn.XLOOKUP(Table3[[#This Row],[Product Name]],Sales!A:A,Sales!C:C)</f>
        <v>1</v>
      </c>
      <c r="S272">
        <f>_xlfn.XLOOKUP(Table3[[#This Row],[Product Name]],Sales!A:A,Sales!D:D)</f>
        <v>0.2</v>
      </c>
      <c r="T272">
        <f>_xlfn.XLOOKUP(Table3[[#This Row],[Product Name]],Sales!A:A,Sales!E:E)</f>
        <v>-7.4416000000000002</v>
      </c>
    </row>
    <row r="273" spans="1:20" x14ac:dyDescent="0.3">
      <c r="A273">
        <v>270</v>
      </c>
      <c r="B273" t="s">
        <v>773</v>
      </c>
      <c r="C273">
        <v>9</v>
      </c>
      <c r="D273">
        <v>12</v>
      </c>
      <c r="E273">
        <v>2021</v>
      </c>
      <c r="F273" t="s">
        <v>37</v>
      </c>
      <c r="G273" t="s">
        <v>774</v>
      </c>
      <c r="H273" t="s">
        <v>2729</v>
      </c>
      <c r="I273" t="s">
        <v>30</v>
      </c>
      <c r="J273" t="s">
        <v>2492</v>
      </c>
      <c r="K273" t="s">
        <v>108</v>
      </c>
      <c r="L273">
        <v>45231</v>
      </c>
      <c r="M273" t="s">
        <v>777</v>
      </c>
      <c r="N273" t="s">
        <v>33</v>
      </c>
      <c r="O273" t="s">
        <v>129</v>
      </c>
      <c r="P273" t="s">
        <v>778</v>
      </c>
      <c r="Q273">
        <f>_xlfn.XLOOKUP(Table3[[#This Row],[Product Name]],Sales!A:A,Sales!B:B)</f>
        <v>57.576000000000001</v>
      </c>
      <c r="R273">
        <f>_xlfn.XLOOKUP(Table3[[#This Row],[Product Name]],Sales!A:A,Sales!C:C)</f>
        <v>3</v>
      </c>
      <c r="S273">
        <f>_xlfn.XLOOKUP(Table3[[#This Row],[Product Name]],Sales!A:A,Sales!D:D)</f>
        <v>0.2</v>
      </c>
      <c r="T273">
        <f>_xlfn.XLOOKUP(Table3[[#This Row],[Product Name]],Sales!A:A,Sales!E:E)</f>
        <v>21.591000000000001</v>
      </c>
    </row>
    <row r="274" spans="1:20" x14ac:dyDescent="0.3">
      <c r="A274">
        <v>271</v>
      </c>
      <c r="B274" t="s">
        <v>779</v>
      </c>
      <c r="C274">
        <v>28</v>
      </c>
      <c r="D274">
        <v>12</v>
      </c>
      <c r="E274">
        <v>2021</v>
      </c>
      <c r="F274" t="s">
        <v>17</v>
      </c>
      <c r="G274" t="s">
        <v>780</v>
      </c>
      <c r="H274" t="s">
        <v>2730</v>
      </c>
      <c r="I274" t="s">
        <v>30</v>
      </c>
      <c r="J274" t="s">
        <v>2422</v>
      </c>
      <c r="K274" t="s">
        <v>31</v>
      </c>
      <c r="L274">
        <v>94110</v>
      </c>
      <c r="M274" t="s">
        <v>781</v>
      </c>
      <c r="N274" t="s">
        <v>33</v>
      </c>
      <c r="O274" t="s">
        <v>43</v>
      </c>
      <c r="P274" t="s">
        <v>782</v>
      </c>
      <c r="Q274">
        <f>_xlfn.XLOOKUP(Table3[[#This Row],[Product Name]],Sales!A:A,Sales!B:B)</f>
        <v>725.84</v>
      </c>
      <c r="R274">
        <f>_xlfn.XLOOKUP(Table3[[#This Row],[Product Name]],Sales!A:A,Sales!C:C)</f>
        <v>4</v>
      </c>
      <c r="S274">
        <f>_xlfn.XLOOKUP(Table3[[#This Row],[Product Name]],Sales!A:A,Sales!D:D)</f>
        <v>0</v>
      </c>
      <c r="T274">
        <f>_xlfn.XLOOKUP(Table3[[#This Row],[Product Name]],Sales!A:A,Sales!E:E)</f>
        <v>210.49359999999999</v>
      </c>
    </row>
    <row r="275" spans="1:20" x14ac:dyDescent="0.3">
      <c r="A275">
        <v>272</v>
      </c>
      <c r="B275" t="s">
        <v>783</v>
      </c>
      <c r="C275">
        <v>30</v>
      </c>
      <c r="D275">
        <v>7</v>
      </c>
      <c r="E275">
        <v>2019</v>
      </c>
      <c r="F275" t="s">
        <v>142</v>
      </c>
      <c r="G275" t="s">
        <v>455</v>
      </c>
      <c r="H275" t="s">
        <v>2676</v>
      </c>
      <c r="I275" t="s">
        <v>19</v>
      </c>
      <c r="J275" t="s">
        <v>2422</v>
      </c>
      <c r="K275" t="s">
        <v>31</v>
      </c>
      <c r="L275">
        <v>94109</v>
      </c>
      <c r="M275" t="s">
        <v>784</v>
      </c>
      <c r="N275" t="s">
        <v>54</v>
      </c>
      <c r="O275" t="s">
        <v>118</v>
      </c>
      <c r="P275" t="s">
        <v>785</v>
      </c>
      <c r="Q275">
        <f>_xlfn.XLOOKUP(Table3[[#This Row],[Product Name]],Sales!A:A,Sales!B:B)</f>
        <v>209.93</v>
      </c>
      <c r="R275">
        <f>_xlfn.XLOOKUP(Table3[[#This Row],[Product Name]],Sales!A:A,Sales!C:C)</f>
        <v>7</v>
      </c>
      <c r="S275">
        <f>_xlfn.XLOOKUP(Table3[[#This Row],[Product Name]],Sales!A:A,Sales!D:D)</f>
        <v>0</v>
      </c>
      <c r="T275">
        <f>_xlfn.XLOOKUP(Table3[[#This Row],[Product Name]],Sales!A:A,Sales!E:E)</f>
        <v>92.369200000000006</v>
      </c>
    </row>
    <row r="276" spans="1:20" x14ac:dyDescent="0.3">
      <c r="A276">
        <v>273</v>
      </c>
      <c r="B276" t="s">
        <v>783</v>
      </c>
      <c r="C276">
        <v>30</v>
      </c>
      <c r="D276">
        <v>7</v>
      </c>
      <c r="E276">
        <v>2019</v>
      </c>
      <c r="F276" t="s">
        <v>142</v>
      </c>
      <c r="G276" t="s">
        <v>455</v>
      </c>
      <c r="H276" t="s">
        <v>2676</v>
      </c>
      <c r="I276" t="s">
        <v>19</v>
      </c>
      <c r="J276" t="s">
        <v>2422</v>
      </c>
      <c r="K276" t="s">
        <v>31</v>
      </c>
      <c r="L276">
        <v>94109</v>
      </c>
      <c r="M276" t="s">
        <v>786</v>
      </c>
      <c r="N276" t="s">
        <v>22</v>
      </c>
      <c r="O276" t="s">
        <v>48</v>
      </c>
      <c r="P276" t="s">
        <v>787</v>
      </c>
      <c r="Q276">
        <f>_xlfn.XLOOKUP(Table3[[#This Row],[Product Name]],Sales!A:A,Sales!B:B)</f>
        <v>5.28</v>
      </c>
      <c r="R276">
        <f>_xlfn.XLOOKUP(Table3[[#This Row],[Product Name]],Sales!A:A,Sales!C:C)</f>
        <v>3</v>
      </c>
      <c r="S276">
        <f>_xlfn.XLOOKUP(Table3[[#This Row],[Product Name]],Sales!A:A,Sales!D:D)</f>
        <v>0</v>
      </c>
      <c r="T276">
        <f>_xlfn.XLOOKUP(Table3[[#This Row],[Product Name]],Sales!A:A,Sales!E:E)</f>
        <v>2.3231999999999999</v>
      </c>
    </row>
    <row r="277" spans="1:20" x14ac:dyDescent="0.3">
      <c r="A277">
        <v>274</v>
      </c>
      <c r="B277" t="s">
        <v>783</v>
      </c>
      <c r="C277">
        <v>30</v>
      </c>
      <c r="D277">
        <v>7</v>
      </c>
      <c r="E277">
        <v>2019</v>
      </c>
      <c r="F277" t="s">
        <v>142</v>
      </c>
      <c r="G277" t="s">
        <v>455</v>
      </c>
      <c r="H277" t="s">
        <v>2676</v>
      </c>
      <c r="I277" t="s">
        <v>19</v>
      </c>
      <c r="J277" t="s">
        <v>2422</v>
      </c>
      <c r="K277" t="s">
        <v>31</v>
      </c>
      <c r="L277">
        <v>94109</v>
      </c>
      <c r="M277" t="s">
        <v>788</v>
      </c>
      <c r="N277" t="s">
        <v>33</v>
      </c>
      <c r="O277" t="s">
        <v>58</v>
      </c>
      <c r="P277" t="s">
        <v>789</v>
      </c>
      <c r="Q277">
        <f>_xlfn.XLOOKUP(Table3[[#This Row],[Product Name]],Sales!A:A,Sales!B:B)</f>
        <v>10.92</v>
      </c>
      <c r="R277">
        <f>_xlfn.XLOOKUP(Table3[[#This Row],[Product Name]],Sales!A:A,Sales!C:C)</f>
        <v>3</v>
      </c>
      <c r="S277">
        <f>_xlfn.XLOOKUP(Table3[[#This Row],[Product Name]],Sales!A:A,Sales!D:D)</f>
        <v>0.2</v>
      </c>
      <c r="T277">
        <f>_xlfn.XLOOKUP(Table3[[#This Row],[Product Name]],Sales!A:A,Sales!E:E)</f>
        <v>4.0949999999999998</v>
      </c>
    </row>
    <row r="278" spans="1:20" x14ac:dyDescent="0.3">
      <c r="A278">
        <v>275</v>
      </c>
      <c r="B278" t="s">
        <v>790</v>
      </c>
      <c r="C278">
        <v>16</v>
      </c>
      <c r="D278">
        <v>9</v>
      </c>
      <c r="E278">
        <v>2021</v>
      </c>
      <c r="F278" t="s">
        <v>142</v>
      </c>
      <c r="G278" t="s">
        <v>791</v>
      </c>
      <c r="H278" t="s">
        <v>2731</v>
      </c>
      <c r="I278" t="s">
        <v>30</v>
      </c>
      <c r="J278" t="s">
        <v>2493</v>
      </c>
      <c r="K278" t="s">
        <v>31</v>
      </c>
      <c r="L278">
        <v>90301</v>
      </c>
      <c r="M278" t="s">
        <v>792</v>
      </c>
      <c r="N278" t="s">
        <v>33</v>
      </c>
      <c r="O278" t="s">
        <v>70</v>
      </c>
      <c r="P278" t="s">
        <v>793</v>
      </c>
      <c r="Q278">
        <f>_xlfn.XLOOKUP(Table3[[#This Row],[Product Name]],Sales!A:A,Sales!B:B)</f>
        <v>8.82</v>
      </c>
      <c r="R278">
        <f>_xlfn.XLOOKUP(Table3[[#This Row],[Product Name]],Sales!A:A,Sales!C:C)</f>
        <v>2</v>
      </c>
      <c r="S278">
        <f>_xlfn.XLOOKUP(Table3[[#This Row],[Product Name]],Sales!A:A,Sales!D:D)</f>
        <v>0</v>
      </c>
      <c r="T278">
        <f>_xlfn.XLOOKUP(Table3[[#This Row],[Product Name]],Sales!A:A,Sales!E:E)</f>
        <v>4.0571999999999999</v>
      </c>
    </row>
    <row r="279" spans="1:20" x14ac:dyDescent="0.3">
      <c r="A279">
        <v>276</v>
      </c>
      <c r="B279" t="s">
        <v>790</v>
      </c>
      <c r="C279">
        <v>16</v>
      </c>
      <c r="D279">
        <v>9</v>
      </c>
      <c r="E279">
        <v>2021</v>
      </c>
      <c r="F279" t="s">
        <v>142</v>
      </c>
      <c r="G279" t="s">
        <v>791</v>
      </c>
      <c r="H279" t="s">
        <v>2731</v>
      </c>
      <c r="I279" t="s">
        <v>30</v>
      </c>
      <c r="J279" t="s">
        <v>2493</v>
      </c>
      <c r="K279" t="s">
        <v>31</v>
      </c>
      <c r="L279">
        <v>90301</v>
      </c>
      <c r="M279" t="s">
        <v>794</v>
      </c>
      <c r="N279" t="s">
        <v>33</v>
      </c>
      <c r="O279" t="s">
        <v>51</v>
      </c>
      <c r="P279" t="s">
        <v>795</v>
      </c>
      <c r="Q279">
        <f>_xlfn.XLOOKUP(Table3[[#This Row],[Product Name]],Sales!A:A,Sales!B:B)</f>
        <v>5.98</v>
      </c>
      <c r="R279">
        <f>_xlfn.XLOOKUP(Table3[[#This Row],[Product Name]],Sales!A:A,Sales!C:C)</f>
        <v>1</v>
      </c>
      <c r="S279">
        <f>_xlfn.XLOOKUP(Table3[[#This Row],[Product Name]],Sales!A:A,Sales!D:D)</f>
        <v>0</v>
      </c>
      <c r="T279">
        <f>_xlfn.XLOOKUP(Table3[[#This Row],[Product Name]],Sales!A:A,Sales!E:E)</f>
        <v>1.5548</v>
      </c>
    </row>
    <row r="280" spans="1:20" x14ac:dyDescent="0.3">
      <c r="A280">
        <v>277</v>
      </c>
      <c r="B280" t="s">
        <v>796</v>
      </c>
      <c r="C280">
        <v>13</v>
      </c>
      <c r="D280">
        <v>10</v>
      </c>
      <c r="E280">
        <v>2021</v>
      </c>
      <c r="F280" t="s">
        <v>37</v>
      </c>
      <c r="G280" t="s">
        <v>797</v>
      </c>
      <c r="H280" t="s">
        <v>2732</v>
      </c>
      <c r="I280" t="s">
        <v>30</v>
      </c>
      <c r="J280" t="s">
        <v>2424</v>
      </c>
      <c r="K280" t="s">
        <v>108</v>
      </c>
      <c r="L280">
        <v>19140</v>
      </c>
      <c r="M280" t="s">
        <v>798</v>
      </c>
      <c r="N280" t="s">
        <v>33</v>
      </c>
      <c r="O280" t="s">
        <v>70</v>
      </c>
      <c r="P280" t="s">
        <v>799</v>
      </c>
      <c r="Q280">
        <f>_xlfn.XLOOKUP(Table3[[#This Row],[Product Name]],Sales!A:A,Sales!B:B)</f>
        <v>11.648</v>
      </c>
      <c r="R280">
        <f>_xlfn.XLOOKUP(Table3[[#This Row],[Product Name]],Sales!A:A,Sales!C:C)</f>
        <v>2</v>
      </c>
      <c r="S280">
        <f>_xlfn.XLOOKUP(Table3[[#This Row],[Product Name]],Sales!A:A,Sales!D:D)</f>
        <v>0.2</v>
      </c>
      <c r="T280">
        <f>_xlfn.XLOOKUP(Table3[[#This Row],[Product Name]],Sales!A:A,Sales!E:E)</f>
        <v>4.0768000000000004</v>
      </c>
    </row>
    <row r="281" spans="1:20" x14ac:dyDescent="0.3">
      <c r="A281">
        <v>278</v>
      </c>
      <c r="B281" t="s">
        <v>796</v>
      </c>
      <c r="C281">
        <v>13</v>
      </c>
      <c r="D281">
        <v>10</v>
      </c>
      <c r="E281">
        <v>2021</v>
      </c>
      <c r="F281" t="s">
        <v>37</v>
      </c>
      <c r="G281" t="s">
        <v>797</v>
      </c>
      <c r="H281" t="s">
        <v>2732</v>
      </c>
      <c r="I281" t="s">
        <v>30</v>
      </c>
      <c r="J281" t="s">
        <v>2424</v>
      </c>
      <c r="K281" t="s">
        <v>108</v>
      </c>
      <c r="L281">
        <v>19140</v>
      </c>
      <c r="M281" t="s">
        <v>800</v>
      </c>
      <c r="N281" t="s">
        <v>33</v>
      </c>
      <c r="O281" t="s">
        <v>70</v>
      </c>
      <c r="P281" t="s">
        <v>801</v>
      </c>
      <c r="Q281">
        <f>_xlfn.XLOOKUP(Table3[[#This Row],[Product Name]],Sales!A:A,Sales!B:B)</f>
        <v>18.175999999999998</v>
      </c>
      <c r="R281">
        <f>_xlfn.XLOOKUP(Table3[[#This Row],[Product Name]],Sales!A:A,Sales!C:C)</f>
        <v>4</v>
      </c>
      <c r="S281">
        <f>_xlfn.XLOOKUP(Table3[[#This Row],[Product Name]],Sales!A:A,Sales!D:D)</f>
        <v>0.2</v>
      </c>
      <c r="T281">
        <f>_xlfn.XLOOKUP(Table3[[#This Row],[Product Name]],Sales!A:A,Sales!E:E)</f>
        <v>5.9071999999999996</v>
      </c>
    </row>
    <row r="282" spans="1:20" x14ac:dyDescent="0.3">
      <c r="A282">
        <v>279</v>
      </c>
      <c r="B282" t="s">
        <v>796</v>
      </c>
      <c r="C282">
        <v>13</v>
      </c>
      <c r="D282">
        <v>10</v>
      </c>
      <c r="E282">
        <v>2021</v>
      </c>
      <c r="F282" t="s">
        <v>37</v>
      </c>
      <c r="G282" t="s">
        <v>797</v>
      </c>
      <c r="H282" t="s">
        <v>2732</v>
      </c>
      <c r="I282" t="s">
        <v>30</v>
      </c>
      <c r="J282" t="s">
        <v>2424</v>
      </c>
      <c r="K282" t="s">
        <v>108</v>
      </c>
      <c r="L282">
        <v>19140</v>
      </c>
      <c r="M282" t="s">
        <v>802</v>
      </c>
      <c r="N282" t="s">
        <v>33</v>
      </c>
      <c r="O282" t="s">
        <v>43</v>
      </c>
      <c r="P282" t="s">
        <v>803</v>
      </c>
      <c r="Q282">
        <f>_xlfn.XLOOKUP(Table3[[#This Row],[Product Name]],Sales!A:A,Sales!B:B)</f>
        <v>59.712000000000003</v>
      </c>
      <c r="R282">
        <f>_xlfn.XLOOKUP(Table3[[#This Row],[Product Name]],Sales!A:A,Sales!C:C)</f>
        <v>6</v>
      </c>
      <c r="S282">
        <f>_xlfn.XLOOKUP(Table3[[#This Row],[Product Name]],Sales!A:A,Sales!D:D)</f>
        <v>0.2</v>
      </c>
      <c r="T282">
        <f>_xlfn.XLOOKUP(Table3[[#This Row],[Product Name]],Sales!A:A,Sales!E:E)</f>
        <v>5.9711999999999996</v>
      </c>
    </row>
    <row r="283" spans="1:20" x14ac:dyDescent="0.3">
      <c r="A283">
        <v>280</v>
      </c>
      <c r="B283" t="s">
        <v>796</v>
      </c>
      <c r="C283">
        <v>13</v>
      </c>
      <c r="D283">
        <v>10</v>
      </c>
      <c r="E283">
        <v>2021</v>
      </c>
      <c r="F283" t="s">
        <v>37</v>
      </c>
      <c r="G283" t="s">
        <v>797</v>
      </c>
      <c r="H283" t="s">
        <v>2732</v>
      </c>
      <c r="I283" t="s">
        <v>30</v>
      </c>
      <c r="J283" t="s">
        <v>2424</v>
      </c>
      <c r="K283" t="s">
        <v>108</v>
      </c>
      <c r="L283">
        <v>19140</v>
      </c>
      <c r="M283" t="s">
        <v>804</v>
      </c>
      <c r="N283" t="s">
        <v>33</v>
      </c>
      <c r="O283" t="s">
        <v>34</v>
      </c>
      <c r="P283" t="s">
        <v>805</v>
      </c>
      <c r="Q283">
        <f>_xlfn.XLOOKUP(Table3[[#This Row],[Product Name]],Sales!A:A,Sales!B:B)</f>
        <v>24.84</v>
      </c>
      <c r="R283">
        <f>_xlfn.XLOOKUP(Table3[[#This Row],[Product Name]],Sales!A:A,Sales!C:C)</f>
        <v>3</v>
      </c>
      <c r="S283">
        <f>_xlfn.XLOOKUP(Table3[[#This Row],[Product Name]],Sales!A:A,Sales!D:D)</f>
        <v>0.2</v>
      </c>
      <c r="T283">
        <f>_xlfn.XLOOKUP(Table3[[#This Row],[Product Name]],Sales!A:A,Sales!E:E)</f>
        <v>8.6940000000000008</v>
      </c>
    </row>
    <row r="284" spans="1:20" x14ac:dyDescent="0.3">
      <c r="A284">
        <v>281</v>
      </c>
      <c r="B284" t="s">
        <v>806</v>
      </c>
      <c r="C284">
        <v>26</v>
      </c>
      <c r="D284">
        <v>9</v>
      </c>
      <c r="E284">
        <v>2019</v>
      </c>
      <c r="F284" t="s">
        <v>17</v>
      </c>
      <c r="G284" t="s">
        <v>389</v>
      </c>
      <c r="H284" t="s">
        <v>2666</v>
      </c>
      <c r="I284" t="s">
        <v>19</v>
      </c>
      <c r="J284" t="s">
        <v>2426</v>
      </c>
      <c r="K284" t="s">
        <v>79</v>
      </c>
      <c r="L284">
        <v>77070</v>
      </c>
      <c r="M284" t="s">
        <v>807</v>
      </c>
      <c r="N284" t="s">
        <v>33</v>
      </c>
      <c r="O284" t="s">
        <v>58</v>
      </c>
      <c r="P284" t="s">
        <v>808</v>
      </c>
      <c r="Q284">
        <f>_xlfn.XLOOKUP(Table3[[#This Row],[Product Name]],Sales!A:A,Sales!B:B)</f>
        <v>2.08</v>
      </c>
      <c r="R284">
        <f>_xlfn.XLOOKUP(Table3[[#This Row],[Product Name]],Sales!A:A,Sales!C:C)</f>
        <v>5</v>
      </c>
      <c r="S284">
        <f>_xlfn.XLOOKUP(Table3[[#This Row],[Product Name]],Sales!A:A,Sales!D:D)</f>
        <v>0.8</v>
      </c>
      <c r="T284">
        <f>_xlfn.XLOOKUP(Table3[[#This Row],[Product Name]],Sales!A:A,Sales!E:E)</f>
        <v>-3.4319999999999999</v>
      </c>
    </row>
    <row r="285" spans="1:20" x14ac:dyDescent="0.3">
      <c r="A285">
        <v>282</v>
      </c>
      <c r="B285" t="s">
        <v>806</v>
      </c>
      <c r="C285">
        <v>26</v>
      </c>
      <c r="D285">
        <v>9</v>
      </c>
      <c r="E285">
        <v>2019</v>
      </c>
      <c r="F285" t="s">
        <v>17</v>
      </c>
      <c r="G285" t="s">
        <v>389</v>
      </c>
      <c r="H285" t="s">
        <v>2666</v>
      </c>
      <c r="I285" t="s">
        <v>19</v>
      </c>
      <c r="J285" t="s">
        <v>2426</v>
      </c>
      <c r="K285" t="s">
        <v>79</v>
      </c>
      <c r="L285">
        <v>77070</v>
      </c>
      <c r="M285" t="s">
        <v>809</v>
      </c>
      <c r="N285" t="s">
        <v>54</v>
      </c>
      <c r="O285" t="s">
        <v>55</v>
      </c>
      <c r="P285" t="s">
        <v>810</v>
      </c>
      <c r="Q285">
        <f>_xlfn.XLOOKUP(Table3[[#This Row],[Product Name]],Sales!A:A,Sales!B:B)</f>
        <v>1114.4000000000001</v>
      </c>
      <c r="R285">
        <f>_xlfn.XLOOKUP(Table3[[#This Row],[Product Name]],Sales!A:A,Sales!C:C)</f>
        <v>7</v>
      </c>
      <c r="S285">
        <f>_xlfn.XLOOKUP(Table3[[#This Row],[Product Name]],Sales!A:A,Sales!D:D)</f>
        <v>0.2</v>
      </c>
      <c r="T285">
        <f>_xlfn.XLOOKUP(Table3[[#This Row],[Product Name]],Sales!A:A,Sales!E:E)</f>
        <v>376.11</v>
      </c>
    </row>
    <row r="286" spans="1:20" x14ac:dyDescent="0.3">
      <c r="A286">
        <v>283</v>
      </c>
      <c r="B286" t="s">
        <v>811</v>
      </c>
      <c r="C286">
        <v>2</v>
      </c>
      <c r="D286">
        <v>11</v>
      </c>
      <c r="E286">
        <v>2019</v>
      </c>
      <c r="F286" t="s">
        <v>37</v>
      </c>
      <c r="G286" t="s">
        <v>812</v>
      </c>
      <c r="H286" t="s">
        <v>2733</v>
      </c>
      <c r="I286" t="s">
        <v>19</v>
      </c>
      <c r="J286" t="s">
        <v>2415</v>
      </c>
      <c r="K286" t="s">
        <v>31</v>
      </c>
      <c r="L286">
        <v>90004</v>
      </c>
      <c r="M286" t="s">
        <v>813</v>
      </c>
      <c r="N286" t="s">
        <v>22</v>
      </c>
      <c r="O286" t="s">
        <v>40</v>
      </c>
      <c r="P286" t="s">
        <v>814</v>
      </c>
      <c r="Q286">
        <f>_xlfn.XLOOKUP(Table3[[#This Row],[Product Name]],Sales!A:A,Sales!B:B)</f>
        <v>1038.8399999999999</v>
      </c>
      <c r="R286">
        <f>_xlfn.XLOOKUP(Table3[[#This Row],[Product Name]],Sales!A:A,Sales!C:C)</f>
        <v>5</v>
      </c>
      <c r="S286">
        <f>_xlfn.XLOOKUP(Table3[[#This Row],[Product Name]],Sales!A:A,Sales!D:D)</f>
        <v>0.2</v>
      </c>
      <c r="T286">
        <f>_xlfn.XLOOKUP(Table3[[#This Row],[Product Name]],Sales!A:A,Sales!E:E)</f>
        <v>51.942</v>
      </c>
    </row>
    <row r="287" spans="1:20" x14ac:dyDescent="0.3">
      <c r="A287">
        <v>284</v>
      </c>
      <c r="B287" t="s">
        <v>815</v>
      </c>
      <c r="C287">
        <v>26</v>
      </c>
      <c r="D287">
        <v>9</v>
      </c>
      <c r="E287">
        <v>2019</v>
      </c>
      <c r="F287" t="s">
        <v>37</v>
      </c>
      <c r="G287" t="s">
        <v>121</v>
      </c>
      <c r="H287" t="s">
        <v>2623</v>
      </c>
      <c r="I287" t="s">
        <v>19</v>
      </c>
      <c r="J287" t="s">
        <v>2446</v>
      </c>
      <c r="K287" t="s">
        <v>31</v>
      </c>
      <c r="L287">
        <v>97206</v>
      </c>
      <c r="M287" t="s">
        <v>816</v>
      </c>
      <c r="N287" t="s">
        <v>33</v>
      </c>
      <c r="O287" t="s">
        <v>70</v>
      </c>
      <c r="P287" t="s">
        <v>140</v>
      </c>
      <c r="Q287">
        <f>_xlfn.XLOOKUP(Table3[[#This Row],[Product Name]],Sales!A:A,Sales!B:B)</f>
        <v>29.472000000000001</v>
      </c>
      <c r="R287">
        <f>_xlfn.XLOOKUP(Table3[[#This Row],[Product Name]],Sales!A:A,Sales!C:C)</f>
        <v>3</v>
      </c>
      <c r="S287">
        <f>_xlfn.XLOOKUP(Table3[[#This Row],[Product Name]],Sales!A:A,Sales!D:D)</f>
        <v>0.2</v>
      </c>
      <c r="T287">
        <f>_xlfn.XLOOKUP(Table3[[#This Row],[Product Name]],Sales!A:A,Sales!E:E)</f>
        <v>9.9467999999999996</v>
      </c>
    </row>
    <row r="288" spans="1:20" x14ac:dyDescent="0.3">
      <c r="A288">
        <v>285</v>
      </c>
      <c r="B288" t="s">
        <v>815</v>
      </c>
      <c r="C288">
        <v>26</v>
      </c>
      <c r="D288">
        <v>9</v>
      </c>
      <c r="E288">
        <v>2019</v>
      </c>
      <c r="F288" t="s">
        <v>37</v>
      </c>
      <c r="G288" t="s">
        <v>121</v>
      </c>
      <c r="H288" t="s">
        <v>2623</v>
      </c>
      <c r="I288" t="s">
        <v>19</v>
      </c>
      <c r="J288" t="s">
        <v>2446</v>
      </c>
      <c r="K288" t="s">
        <v>31</v>
      </c>
      <c r="L288">
        <v>97206</v>
      </c>
      <c r="M288" t="s">
        <v>817</v>
      </c>
      <c r="N288" t="s">
        <v>54</v>
      </c>
      <c r="O288" t="s">
        <v>118</v>
      </c>
      <c r="P288" t="s">
        <v>818</v>
      </c>
      <c r="Q288">
        <f>_xlfn.XLOOKUP(Table3[[#This Row],[Product Name]],Sales!A:A,Sales!B:B)</f>
        <v>239.8</v>
      </c>
      <c r="R288">
        <f>_xlfn.XLOOKUP(Table3[[#This Row],[Product Name]],Sales!A:A,Sales!C:C)</f>
        <v>5</v>
      </c>
      <c r="S288">
        <f>_xlfn.XLOOKUP(Table3[[#This Row],[Product Name]],Sales!A:A,Sales!D:D)</f>
        <v>0.2</v>
      </c>
      <c r="T288">
        <f>_xlfn.XLOOKUP(Table3[[#This Row],[Product Name]],Sales!A:A,Sales!E:E)</f>
        <v>47.96</v>
      </c>
    </row>
    <row r="289" spans="1:20" x14ac:dyDescent="0.3">
      <c r="A289">
        <v>286</v>
      </c>
      <c r="B289" t="s">
        <v>815</v>
      </c>
      <c r="C289">
        <v>26</v>
      </c>
      <c r="D289">
        <v>9</v>
      </c>
      <c r="E289">
        <v>2019</v>
      </c>
      <c r="F289" t="s">
        <v>37</v>
      </c>
      <c r="G289" t="s">
        <v>121</v>
      </c>
      <c r="H289" t="s">
        <v>2623</v>
      </c>
      <c r="I289" t="s">
        <v>19</v>
      </c>
      <c r="J289" t="s">
        <v>2446</v>
      </c>
      <c r="K289" t="s">
        <v>31</v>
      </c>
      <c r="L289">
        <v>97206</v>
      </c>
      <c r="M289" t="s">
        <v>819</v>
      </c>
      <c r="N289" t="s">
        <v>33</v>
      </c>
      <c r="O289" t="s">
        <v>70</v>
      </c>
      <c r="P289" t="s">
        <v>820</v>
      </c>
      <c r="Q289">
        <f>_xlfn.XLOOKUP(Table3[[#This Row],[Product Name]],Sales!A:A,Sales!B:B)</f>
        <v>31.103999999999999</v>
      </c>
      <c r="R289">
        <f>_xlfn.XLOOKUP(Table3[[#This Row],[Product Name]],Sales!A:A,Sales!C:C)</f>
        <v>6</v>
      </c>
      <c r="S289">
        <f>_xlfn.XLOOKUP(Table3[[#This Row],[Product Name]],Sales!A:A,Sales!D:D)</f>
        <v>0.2</v>
      </c>
      <c r="T289">
        <f>_xlfn.XLOOKUP(Table3[[#This Row],[Product Name]],Sales!A:A,Sales!E:E)</f>
        <v>10.8864</v>
      </c>
    </row>
    <row r="290" spans="1:20" x14ac:dyDescent="0.3">
      <c r="A290">
        <v>287</v>
      </c>
      <c r="B290" t="s">
        <v>821</v>
      </c>
      <c r="C290">
        <v>18</v>
      </c>
      <c r="D290">
        <v>12</v>
      </c>
      <c r="E290">
        <v>2020</v>
      </c>
      <c r="F290" t="s">
        <v>17</v>
      </c>
      <c r="G290" t="s">
        <v>822</v>
      </c>
      <c r="H290" t="s">
        <v>2734</v>
      </c>
      <c r="I290" t="s">
        <v>30</v>
      </c>
      <c r="J290" t="s">
        <v>2494</v>
      </c>
      <c r="K290" t="s">
        <v>20</v>
      </c>
      <c r="L290">
        <v>33319</v>
      </c>
      <c r="M290" t="s">
        <v>823</v>
      </c>
      <c r="N290" t="s">
        <v>33</v>
      </c>
      <c r="O290" t="s">
        <v>58</v>
      </c>
      <c r="P290" t="s">
        <v>824</v>
      </c>
      <c r="Q290">
        <f>_xlfn.XLOOKUP(Table3[[#This Row],[Product Name]],Sales!A:A,Sales!B:B)</f>
        <v>254.05799999999999</v>
      </c>
      <c r="R290">
        <f>_xlfn.XLOOKUP(Table3[[#This Row],[Product Name]],Sales!A:A,Sales!C:C)</f>
        <v>7</v>
      </c>
      <c r="S290">
        <f>_xlfn.XLOOKUP(Table3[[#This Row],[Product Name]],Sales!A:A,Sales!D:D)</f>
        <v>0.7</v>
      </c>
      <c r="T290">
        <f>_xlfn.XLOOKUP(Table3[[#This Row],[Product Name]],Sales!A:A,Sales!E:E)</f>
        <v>-169.37200000000001</v>
      </c>
    </row>
    <row r="291" spans="1:20" x14ac:dyDescent="0.3">
      <c r="A291">
        <v>288</v>
      </c>
      <c r="B291" t="s">
        <v>821</v>
      </c>
      <c r="C291">
        <v>18</v>
      </c>
      <c r="D291">
        <v>12</v>
      </c>
      <c r="E291">
        <v>2020</v>
      </c>
      <c r="F291" t="s">
        <v>17</v>
      </c>
      <c r="G291" t="s">
        <v>822</v>
      </c>
      <c r="H291" t="s">
        <v>2734</v>
      </c>
      <c r="I291" t="s">
        <v>30</v>
      </c>
      <c r="J291" t="s">
        <v>2494</v>
      </c>
      <c r="K291" t="s">
        <v>20</v>
      </c>
      <c r="L291">
        <v>33319</v>
      </c>
      <c r="M291" t="s">
        <v>543</v>
      </c>
      <c r="N291" t="s">
        <v>33</v>
      </c>
      <c r="O291" t="s">
        <v>61</v>
      </c>
      <c r="P291" t="s">
        <v>544</v>
      </c>
      <c r="Q291">
        <f>_xlfn.XLOOKUP(Table3[[#This Row],[Product Name]],Sales!A:A,Sales!B:B)</f>
        <v>97.263999999999996</v>
      </c>
      <c r="R291">
        <f>_xlfn.XLOOKUP(Table3[[#This Row],[Product Name]],Sales!A:A,Sales!C:C)</f>
        <v>4</v>
      </c>
      <c r="S291">
        <f>_xlfn.XLOOKUP(Table3[[#This Row],[Product Name]],Sales!A:A,Sales!D:D)</f>
        <v>0.8</v>
      </c>
      <c r="T291">
        <f>_xlfn.XLOOKUP(Table3[[#This Row],[Product Name]],Sales!A:A,Sales!E:E)</f>
        <v>-243.16</v>
      </c>
    </row>
    <row r="292" spans="1:20" x14ac:dyDescent="0.3">
      <c r="A292">
        <v>289</v>
      </c>
      <c r="B292" t="s">
        <v>821</v>
      </c>
      <c r="C292">
        <v>18</v>
      </c>
      <c r="D292">
        <v>12</v>
      </c>
      <c r="E292">
        <v>2020</v>
      </c>
      <c r="F292" t="s">
        <v>17</v>
      </c>
      <c r="G292" t="s">
        <v>822</v>
      </c>
      <c r="H292" t="s">
        <v>2734</v>
      </c>
      <c r="I292" t="s">
        <v>30</v>
      </c>
      <c r="J292" t="s">
        <v>2494</v>
      </c>
      <c r="K292" t="s">
        <v>20</v>
      </c>
      <c r="L292">
        <v>33319</v>
      </c>
      <c r="M292" t="s">
        <v>825</v>
      </c>
      <c r="N292" t="s">
        <v>33</v>
      </c>
      <c r="O292" t="s">
        <v>438</v>
      </c>
      <c r="P292" t="s">
        <v>826</v>
      </c>
      <c r="Q292">
        <f>_xlfn.XLOOKUP(Table3[[#This Row],[Product Name]],Sales!A:A,Sales!B:B)</f>
        <v>961.48</v>
      </c>
      <c r="R292">
        <f>_xlfn.XLOOKUP(Table3[[#This Row],[Product Name]],Sales!A:A,Sales!C:C)</f>
        <v>5</v>
      </c>
      <c r="S292">
        <f>_xlfn.XLOOKUP(Table3[[#This Row],[Product Name]],Sales!A:A,Sales!D:D)</f>
        <v>0.2</v>
      </c>
      <c r="T292">
        <f>_xlfn.XLOOKUP(Table3[[#This Row],[Product Name]],Sales!A:A,Sales!E:E)</f>
        <v>-204.31450000000001</v>
      </c>
    </row>
    <row r="293" spans="1:20" x14ac:dyDescent="0.3">
      <c r="A293">
        <v>290</v>
      </c>
      <c r="B293" t="s">
        <v>827</v>
      </c>
      <c r="C293">
        <v>20</v>
      </c>
      <c r="D293">
        <v>11</v>
      </c>
      <c r="E293">
        <v>2020</v>
      </c>
      <c r="F293" t="s">
        <v>17</v>
      </c>
      <c r="G293" t="s">
        <v>828</v>
      </c>
      <c r="H293" t="s">
        <v>2735</v>
      </c>
      <c r="I293" t="s">
        <v>78</v>
      </c>
      <c r="J293" t="s">
        <v>2452</v>
      </c>
      <c r="K293" t="s">
        <v>108</v>
      </c>
      <c r="L293">
        <v>43229</v>
      </c>
      <c r="M293" t="s">
        <v>829</v>
      </c>
      <c r="N293" t="s">
        <v>33</v>
      </c>
      <c r="O293" t="s">
        <v>199</v>
      </c>
      <c r="P293" t="s">
        <v>830</v>
      </c>
      <c r="Q293">
        <f>_xlfn.XLOOKUP(Table3[[#This Row],[Product Name]],Sales!A:A,Sales!B:B)</f>
        <v>19.096</v>
      </c>
      <c r="R293">
        <f>_xlfn.XLOOKUP(Table3[[#This Row],[Product Name]],Sales!A:A,Sales!C:C)</f>
        <v>7</v>
      </c>
      <c r="S293">
        <f>_xlfn.XLOOKUP(Table3[[#This Row],[Product Name]],Sales!A:A,Sales!D:D)</f>
        <v>0.2</v>
      </c>
      <c r="T293">
        <f>_xlfn.XLOOKUP(Table3[[#This Row],[Product Name]],Sales!A:A,Sales!E:E)</f>
        <v>6.6836000000000002</v>
      </c>
    </row>
    <row r="294" spans="1:20" x14ac:dyDescent="0.3">
      <c r="A294">
        <v>291</v>
      </c>
      <c r="B294" t="s">
        <v>827</v>
      </c>
      <c r="C294">
        <v>20</v>
      </c>
      <c r="D294">
        <v>11</v>
      </c>
      <c r="E294">
        <v>2020</v>
      </c>
      <c r="F294" t="s">
        <v>17</v>
      </c>
      <c r="G294" t="s">
        <v>828</v>
      </c>
      <c r="H294" t="s">
        <v>2735</v>
      </c>
      <c r="I294" t="s">
        <v>78</v>
      </c>
      <c r="J294" t="s">
        <v>2452</v>
      </c>
      <c r="K294" t="s">
        <v>108</v>
      </c>
      <c r="L294">
        <v>43229</v>
      </c>
      <c r="M294" t="s">
        <v>831</v>
      </c>
      <c r="N294" t="s">
        <v>33</v>
      </c>
      <c r="O294" t="s">
        <v>34</v>
      </c>
      <c r="P294" t="s">
        <v>832</v>
      </c>
      <c r="Q294">
        <f>_xlfn.XLOOKUP(Table3[[#This Row],[Product Name]],Sales!A:A,Sales!B:B)</f>
        <v>18.495999999999999</v>
      </c>
      <c r="R294">
        <f>_xlfn.XLOOKUP(Table3[[#This Row],[Product Name]],Sales!A:A,Sales!C:C)</f>
        <v>8</v>
      </c>
      <c r="S294">
        <f>_xlfn.XLOOKUP(Table3[[#This Row],[Product Name]],Sales!A:A,Sales!D:D)</f>
        <v>0.2</v>
      </c>
      <c r="T294">
        <f>_xlfn.XLOOKUP(Table3[[#This Row],[Product Name]],Sales!A:A,Sales!E:E)</f>
        <v>6.2423999999999999</v>
      </c>
    </row>
    <row r="295" spans="1:20" x14ac:dyDescent="0.3">
      <c r="A295">
        <v>292</v>
      </c>
      <c r="B295" t="s">
        <v>827</v>
      </c>
      <c r="C295">
        <v>20</v>
      </c>
      <c r="D295">
        <v>11</v>
      </c>
      <c r="E295">
        <v>2020</v>
      </c>
      <c r="F295" t="s">
        <v>17</v>
      </c>
      <c r="G295" t="s">
        <v>828</v>
      </c>
      <c r="H295" t="s">
        <v>2735</v>
      </c>
      <c r="I295" t="s">
        <v>78</v>
      </c>
      <c r="J295" t="s">
        <v>2452</v>
      </c>
      <c r="K295" t="s">
        <v>108</v>
      </c>
      <c r="L295">
        <v>43229</v>
      </c>
      <c r="M295" t="s">
        <v>833</v>
      </c>
      <c r="N295" t="s">
        <v>54</v>
      </c>
      <c r="O295" t="s">
        <v>118</v>
      </c>
      <c r="P295" t="s">
        <v>834</v>
      </c>
      <c r="Q295">
        <f>_xlfn.XLOOKUP(Table3[[#This Row],[Product Name]],Sales!A:A,Sales!B:B)</f>
        <v>255.98400000000001</v>
      </c>
      <c r="R295">
        <f>_xlfn.XLOOKUP(Table3[[#This Row],[Product Name]],Sales!A:A,Sales!C:C)</f>
        <v>2</v>
      </c>
      <c r="S295">
        <f>_xlfn.XLOOKUP(Table3[[#This Row],[Product Name]],Sales!A:A,Sales!D:D)</f>
        <v>0.2</v>
      </c>
      <c r="T295">
        <f>_xlfn.XLOOKUP(Table3[[#This Row],[Product Name]],Sales!A:A,Sales!E:E)</f>
        <v>54.396599999999999</v>
      </c>
    </row>
    <row r="296" spans="1:20" x14ac:dyDescent="0.3">
      <c r="A296">
        <v>293</v>
      </c>
      <c r="B296" t="s">
        <v>827</v>
      </c>
      <c r="C296">
        <v>20</v>
      </c>
      <c r="D296">
        <v>11</v>
      </c>
      <c r="E296">
        <v>2020</v>
      </c>
      <c r="F296" t="s">
        <v>17</v>
      </c>
      <c r="G296" t="s">
        <v>828</v>
      </c>
      <c r="H296" t="s">
        <v>2735</v>
      </c>
      <c r="I296" t="s">
        <v>78</v>
      </c>
      <c r="J296" t="s">
        <v>2452</v>
      </c>
      <c r="K296" t="s">
        <v>108</v>
      </c>
      <c r="L296">
        <v>43229</v>
      </c>
      <c r="M296" t="s">
        <v>835</v>
      </c>
      <c r="N296" t="s">
        <v>22</v>
      </c>
      <c r="O296" t="s">
        <v>23</v>
      </c>
      <c r="P296" t="s">
        <v>836</v>
      </c>
      <c r="Q296">
        <f>_xlfn.XLOOKUP(Table3[[#This Row],[Product Name]],Sales!A:A,Sales!B:B)</f>
        <v>86.97</v>
      </c>
      <c r="R296">
        <f>_xlfn.XLOOKUP(Table3[[#This Row],[Product Name]],Sales!A:A,Sales!C:C)</f>
        <v>3</v>
      </c>
      <c r="S296">
        <f>_xlfn.XLOOKUP(Table3[[#This Row],[Product Name]],Sales!A:A,Sales!D:D)</f>
        <v>0.5</v>
      </c>
      <c r="T296">
        <f>_xlfn.XLOOKUP(Table3[[#This Row],[Product Name]],Sales!A:A,Sales!E:E)</f>
        <v>-48.703200000000002</v>
      </c>
    </row>
    <row r="297" spans="1:20" x14ac:dyDescent="0.3">
      <c r="A297">
        <v>294</v>
      </c>
      <c r="B297" t="s">
        <v>837</v>
      </c>
      <c r="C297">
        <v>26</v>
      </c>
      <c r="D297">
        <v>12</v>
      </c>
      <c r="E297">
        <v>2018</v>
      </c>
      <c r="F297" t="s">
        <v>142</v>
      </c>
      <c r="G297" t="s">
        <v>838</v>
      </c>
      <c r="H297" t="s">
        <v>2736</v>
      </c>
      <c r="I297" t="s">
        <v>30</v>
      </c>
      <c r="J297" t="s">
        <v>2495</v>
      </c>
      <c r="K297" t="s">
        <v>31</v>
      </c>
      <c r="L297">
        <v>80906</v>
      </c>
      <c r="M297" t="s">
        <v>839</v>
      </c>
      <c r="N297" t="s">
        <v>22</v>
      </c>
      <c r="O297" t="s">
        <v>48</v>
      </c>
      <c r="P297" t="s">
        <v>840</v>
      </c>
      <c r="Q297">
        <f>_xlfn.XLOOKUP(Table3[[#This Row],[Product Name]],Sales!A:A,Sales!B:B)</f>
        <v>300.416</v>
      </c>
      <c r="R297">
        <f>_xlfn.XLOOKUP(Table3[[#This Row],[Product Name]],Sales!A:A,Sales!C:C)</f>
        <v>8</v>
      </c>
      <c r="S297">
        <f>_xlfn.XLOOKUP(Table3[[#This Row],[Product Name]],Sales!A:A,Sales!D:D)</f>
        <v>0.2</v>
      </c>
      <c r="T297">
        <f>_xlfn.XLOOKUP(Table3[[#This Row],[Product Name]],Sales!A:A,Sales!E:E)</f>
        <v>78.859200000000001</v>
      </c>
    </row>
    <row r="298" spans="1:20" x14ac:dyDescent="0.3">
      <c r="A298">
        <v>295</v>
      </c>
      <c r="B298" t="s">
        <v>837</v>
      </c>
      <c r="C298">
        <v>26</v>
      </c>
      <c r="D298">
        <v>12</v>
      </c>
      <c r="E298">
        <v>2018</v>
      </c>
      <c r="F298" t="s">
        <v>142</v>
      </c>
      <c r="G298" t="s">
        <v>838</v>
      </c>
      <c r="H298" t="s">
        <v>2736</v>
      </c>
      <c r="I298" t="s">
        <v>30</v>
      </c>
      <c r="J298" t="s">
        <v>2495</v>
      </c>
      <c r="K298" t="s">
        <v>31</v>
      </c>
      <c r="L298">
        <v>80906</v>
      </c>
      <c r="M298" t="s">
        <v>841</v>
      </c>
      <c r="N298" t="s">
        <v>22</v>
      </c>
      <c r="O298" t="s">
        <v>26</v>
      </c>
      <c r="P298" t="s">
        <v>842</v>
      </c>
      <c r="Q298">
        <f>_xlfn.XLOOKUP(Table3[[#This Row],[Product Name]],Sales!A:A,Sales!B:B)</f>
        <v>230.352</v>
      </c>
      <c r="R298">
        <f>_xlfn.XLOOKUP(Table3[[#This Row],[Product Name]],Sales!A:A,Sales!C:C)</f>
        <v>3</v>
      </c>
      <c r="S298">
        <f>_xlfn.XLOOKUP(Table3[[#This Row],[Product Name]],Sales!A:A,Sales!D:D)</f>
        <v>0.2</v>
      </c>
      <c r="T298">
        <f>_xlfn.XLOOKUP(Table3[[#This Row],[Product Name]],Sales!A:A,Sales!E:E)</f>
        <v>20.155799999999999</v>
      </c>
    </row>
    <row r="299" spans="1:20" x14ac:dyDescent="0.3">
      <c r="A299">
        <v>296</v>
      </c>
      <c r="B299" t="s">
        <v>837</v>
      </c>
      <c r="C299">
        <v>26</v>
      </c>
      <c r="D299">
        <v>12</v>
      </c>
      <c r="E299">
        <v>2018</v>
      </c>
      <c r="F299" t="s">
        <v>142</v>
      </c>
      <c r="G299" t="s">
        <v>838</v>
      </c>
      <c r="H299" t="s">
        <v>2736</v>
      </c>
      <c r="I299" t="s">
        <v>30</v>
      </c>
      <c r="J299" t="s">
        <v>2495</v>
      </c>
      <c r="K299" t="s">
        <v>31</v>
      </c>
      <c r="L299">
        <v>80906</v>
      </c>
      <c r="M299" t="s">
        <v>843</v>
      </c>
      <c r="N299" t="s">
        <v>22</v>
      </c>
      <c r="O299" t="s">
        <v>48</v>
      </c>
      <c r="P299" t="s">
        <v>844</v>
      </c>
      <c r="Q299">
        <f>_xlfn.XLOOKUP(Table3[[#This Row],[Product Name]],Sales!A:A,Sales!B:B)</f>
        <v>218.352</v>
      </c>
      <c r="R299">
        <f>_xlfn.XLOOKUP(Table3[[#This Row],[Product Name]],Sales!A:A,Sales!C:C)</f>
        <v>3</v>
      </c>
      <c r="S299">
        <f>_xlfn.XLOOKUP(Table3[[#This Row],[Product Name]],Sales!A:A,Sales!D:D)</f>
        <v>0.2</v>
      </c>
      <c r="T299">
        <f>_xlfn.XLOOKUP(Table3[[#This Row],[Product Name]],Sales!A:A,Sales!E:E)</f>
        <v>-24.564599999999999</v>
      </c>
    </row>
    <row r="300" spans="1:20" x14ac:dyDescent="0.3">
      <c r="A300">
        <v>297</v>
      </c>
      <c r="B300" t="s">
        <v>837</v>
      </c>
      <c r="C300">
        <v>26</v>
      </c>
      <c r="D300">
        <v>12</v>
      </c>
      <c r="E300">
        <v>2018</v>
      </c>
      <c r="F300" t="s">
        <v>142</v>
      </c>
      <c r="G300" t="s">
        <v>838</v>
      </c>
      <c r="H300" t="s">
        <v>2736</v>
      </c>
      <c r="I300" t="s">
        <v>30</v>
      </c>
      <c r="J300" t="s">
        <v>2495</v>
      </c>
      <c r="K300" t="s">
        <v>31</v>
      </c>
      <c r="L300">
        <v>80906</v>
      </c>
      <c r="M300" t="s">
        <v>845</v>
      </c>
      <c r="N300" t="s">
        <v>33</v>
      </c>
      <c r="O300" t="s">
        <v>58</v>
      </c>
      <c r="P300" t="s">
        <v>846</v>
      </c>
      <c r="Q300">
        <f>_xlfn.XLOOKUP(Table3[[#This Row],[Product Name]],Sales!A:A,Sales!B:B)</f>
        <v>78.599999999999994</v>
      </c>
      <c r="R300">
        <f>_xlfn.XLOOKUP(Table3[[#This Row],[Product Name]],Sales!A:A,Sales!C:C)</f>
        <v>5</v>
      </c>
      <c r="S300">
        <f>_xlfn.XLOOKUP(Table3[[#This Row],[Product Name]],Sales!A:A,Sales!D:D)</f>
        <v>0.7</v>
      </c>
      <c r="T300">
        <f>_xlfn.XLOOKUP(Table3[[#This Row],[Product Name]],Sales!A:A,Sales!E:E)</f>
        <v>-62.88</v>
      </c>
    </row>
    <row r="301" spans="1:20" x14ac:dyDescent="0.3">
      <c r="A301">
        <v>298</v>
      </c>
      <c r="B301" t="s">
        <v>837</v>
      </c>
      <c r="C301">
        <v>26</v>
      </c>
      <c r="D301">
        <v>12</v>
      </c>
      <c r="E301">
        <v>2018</v>
      </c>
      <c r="F301" t="s">
        <v>142</v>
      </c>
      <c r="G301" t="s">
        <v>838</v>
      </c>
      <c r="H301" t="s">
        <v>2736</v>
      </c>
      <c r="I301" t="s">
        <v>30</v>
      </c>
      <c r="J301" t="s">
        <v>2495</v>
      </c>
      <c r="K301" t="s">
        <v>31</v>
      </c>
      <c r="L301">
        <v>80906</v>
      </c>
      <c r="M301" t="s">
        <v>847</v>
      </c>
      <c r="N301" t="s">
        <v>33</v>
      </c>
      <c r="O301" t="s">
        <v>199</v>
      </c>
      <c r="P301" t="s">
        <v>848</v>
      </c>
      <c r="Q301">
        <f>_xlfn.XLOOKUP(Table3[[#This Row],[Product Name]],Sales!A:A,Sales!B:B)</f>
        <v>27.552</v>
      </c>
      <c r="R301">
        <f>_xlfn.XLOOKUP(Table3[[#This Row],[Product Name]],Sales!A:A,Sales!C:C)</f>
        <v>3</v>
      </c>
      <c r="S301">
        <f>_xlfn.XLOOKUP(Table3[[#This Row],[Product Name]],Sales!A:A,Sales!D:D)</f>
        <v>0.2</v>
      </c>
      <c r="T301">
        <f>_xlfn.XLOOKUP(Table3[[#This Row],[Product Name]],Sales!A:A,Sales!E:E)</f>
        <v>9.2988</v>
      </c>
    </row>
    <row r="302" spans="1:20" x14ac:dyDescent="0.3">
      <c r="A302">
        <v>299</v>
      </c>
      <c r="B302" t="s">
        <v>849</v>
      </c>
      <c r="C302">
        <v>28</v>
      </c>
      <c r="D302">
        <v>10</v>
      </c>
      <c r="E302">
        <v>2020</v>
      </c>
      <c r="F302" t="s">
        <v>37</v>
      </c>
      <c r="G302" t="s">
        <v>441</v>
      </c>
      <c r="H302" t="s">
        <v>2673</v>
      </c>
      <c r="I302" t="s">
        <v>30</v>
      </c>
      <c r="J302" t="s">
        <v>2496</v>
      </c>
      <c r="K302" t="s">
        <v>108</v>
      </c>
      <c r="L302">
        <v>7109</v>
      </c>
      <c r="M302" t="s">
        <v>850</v>
      </c>
      <c r="N302" t="s">
        <v>33</v>
      </c>
      <c r="O302" t="s">
        <v>70</v>
      </c>
      <c r="P302" t="s">
        <v>851</v>
      </c>
      <c r="Q302">
        <f>_xlfn.XLOOKUP(Table3[[#This Row],[Product Name]],Sales!A:A,Sales!B:B)</f>
        <v>32.4</v>
      </c>
      <c r="R302">
        <f>_xlfn.XLOOKUP(Table3[[#This Row],[Product Name]],Sales!A:A,Sales!C:C)</f>
        <v>5</v>
      </c>
      <c r="S302">
        <f>_xlfn.XLOOKUP(Table3[[#This Row],[Product Name]],Sales!A:A,Sales!D:D)</f>
        <v>0</v>
      </c>
      <c r="T302">
        <f>_xlfn.XLOOKUP(Table3[[#This Row],[Product Name]],Sales!A:A,Sales!E:E)</f>
        <v>15.552</v>
      </c>
    </row>
    <row r="303" spans="1:20" x14ac:dyDescent="0.3">
      <c r="A303">
        <v>300</v>
      </c>
      <c r="B303" t="s">
        <v>849</v>
      </c>
      <c r="C303">
        <v>28</v>
      </c>
      <c r="D303">
        <v>10</v>
      </c>
      <c r="E303">
        <v>2020</v>
      </c>
      <c r="F303" t="s">
        <v>37</v>
      </c>
      <c r="G303" t="s">
        <v>441</v>
      </c>
      <c r="H303" t="s">
        <v>2673</v>
      </c>
      <c r="I303" t="s">
        <v>30</v>
      </c>
      <c r="J303" t="s">
        <v>2496</v>
      </c>
      <c r="K303" t="s">
        <v>108</v>
      </c>
      <c r="L303">
        <v>7109</v>
      </c>
      <c r="M303" t="s">
        <v>852</v>
      </c>
      <c r="N303" t="s">
        <v>33</v>
      </c>
      <c r="O303" t="s">
        <v>43</v>
      </c>
      <c r="P303" t="s">
        <v>853</v>
      </c>
      <c r="Q303">
        <f>_xlfn.XLOOKUP(Table3[[#This Row],[Product Name]],Sales!A:A,Sales!B:B)</f>
        <v>1082.48</v>
      </c>
      <c r="R303">
        <f>_xlfn.XLOOKUP(Table3[[#This Row],[Product Name]],Sales!A:A,Sales!C:C)</f>
        <v>8</v>
      </c>
      <c r="S303">
        <f>_xlfn.XLOOKUP(Table3[[#This Row],[Product Name]],Sales!A:A,Sales!D:D)</f>
        <v>0</v>
      </c>
      <c r="T303">
        <f>_xlfn.XLOOKUP(Table3[[#This Row],[Product Name]],Sales!A:A,Sales!E:E)</f>
        <v>10.8248</v>
      </c>
    </row>
    <row r="304" spans="1:20" x14ac:dyDescent="0.3">
      <c r="A304">
        <v>300</v>
      </c>
      <c r="B304" t="s">
        <v>849</v>
      </c>
      <c r="C304">
        <v>28</v>
      </c>
      <c r="D304">
        <v>10</v>
      </c>
      <c r="E304">
        <v>2020</v>
      </c>
      <c r="F304" t="s">
        <v>37</v>
      </c>
      <c r="G304" t="s">
        <v>441</v>
      </c>
      <c r="H304" t="s">
        <v>2673</v>
      </c>
      <c r="I304" t="s">
        <v>30</v>
      </c>
      <c r="J304" t="s">
        <v>2496</v>
      </c>
      <c r="K304" t="s">
        <v>108</v>
      </c>
      <c r="L304">
        <v>7109</v>
      </c>
      <c r="M304" t="s">
        <v>852</v>
      </c>
      <c r="N304" t="s">
        <v>33</v>
      </c>
      <c r="O304" t="s">
        <v>43</v>
      </c>
      <c r="P304" t="s">
        <v>853</v>
      </c>
      <c r="Q304">
        <f>_xlfn.XLOOKUP(Table3[[#This Row],[Product Name]],Sales!A:A,Sales!B:B)</f>
        <v>1082.48</v>
      </c>
      <c r="R304">
        <f>_xlfn.XLOOKUP(Table3[[#This Row],[Product Name]],Sales!A:A,Sales!C:C)</f>
        <v>8</v>
      </c>
      <c r="S304">
        <f>_xlfn.XLOOKUP(Table3[[#This Row],[Product Name]],Sales!A:A,Sales!D:D)</f>
        <v>0</v>
      </c>
      <c r="T304">
        <f>_xlfn.XLOOKUP(Table3[[#This Row],[Product Name]],Sales!A:A,Sales!E:E)</f>
        <v>10.8248</v>
      </c>
    </row>
    <row r="305" spans="1:20" x14ac:dyDescent="0.3">
      <c r="A305">
        <v>301</v>
      </c>
      <c r="B305" t="s">
        <v>849</v>
      </c>
      <c r="C305">
        <v>28</v>
      </c>
      <c r="D305">
        <v>10</v>
      </c>
      <c r="E305">
        <v>2020</v>
      </c>
      <c r="F305" t="s">
        <v>37</v>
      </c>
      <c r="G305" t="s">
        <v>441</v>
      </c>
      <c r="H305" t="s">
        <v>2673</v>
      </c>
      <c r="I305" t="s">
        <v>30</v>
      </c>
      <c r="J305" t="s">
        <v>2496</v>
      </c>
      <c r="K305" t="s">
        <v>108</v>
      </c>
      <c r="L305">
        <v>7109</v>
      </c>
      <c r="M305" t="s">
        <v>854</v>
      </c>
      <c r="N305" t="s">
        <v>33</v>
      </c>
      <c r="O305" t="s">
        <v>70</v>
      </c>
      <c r="P305" t="s">
        <v>855</v>
      </c>
      <c r="Q305">
        <f>_xlfn.XLOOKUP(Table3[[#This Row],[Product Name]],Sales!A:A,Sales!B:B)</f>
        <v>56.91</v>
      </c>
      <c r="R305">
        <f>_xlfn.XLOOKUP(Table3[[#This Row],[Product Name]],Sales!A:A,Sales!C:C)</f>
        <v>3</v>
      </c>
      <c r="S305">
        <f>_xlfn.XLOOKUP(Table3[[#This Row],[Product Name]],Sales!A:A,Sales!D:D)</f>
        <v>0</v>
      </c>
      <c r="T305">
        <f>_xlfn.XLOOKUP(Table3[[#This Row],[Product Name]],Sales!A:A,Sales!E:E)</f>
        <v>27.316800000000001</v>
      </c>
    </row>
    <row r="306" spans="1:20" x14ac:dyDescent="0.3">
      <c r="A306">
        <v>302</v>
      </c>
      <c r="B306" t="s">
        <v>849</v>
      </c>
      <c r="C306">
        <v>28</v>
      </c>
      <c r="D306">
        <v>10</v>
      </c>
      <c r="E306">
        <v>2020</v>
      </c>
      <c r="F306" t="s">
        <v>37</v>
      </c>
      <c r="G306" t="s">
        <v>441</v>
      </c>
      <c r="H306" t="s">
        <v>2673</v>
      </c>
      <c r="I306" t="s">
        <v>30</v>
      </c>
      <c r="J306" t="s">
        <v>2496</v>
      </c>
      <c r="K306" t="s">
        <v>108</v>
      </c>
      <c r="L306">
        <v>7109</v>
      </c>
      <c r="M306" t="s">
        <v>856</v>
      </c>
      <c r="N306" t="s">
        <v>22</v>
      </c>
      <c r="O306" t="s">
        <v>48</v>
      </c>
      <c r="P306" t="s">
        <v>857</v>
      </c>
      <c r="Q306">
        <f>_xlfn.XLOOKUP(Table3[[#This Row],[Product Name]],Sales!A:A,Sales!B:B)</f>
        <v>77.599999999999994</v>
      </c>
      <c r="R306">
        <f>_xlfn.XLOOKUP(Table3[[#This Row],[Product Name]],Sales!A:A,Sales!C:C)</f>
        <v>4</v>
      </c>
      <c r="S306">
        <f>_xlfn.XLOOKUP(Table3[[#This Row],[Product Name]],Sales!A:A,Sales!D:D)</f>
        <v>0</v>
      </c>
      <c r="T306">
        <f>_xlfn.XLOOKUP(Table3[[#This Row],[Product Name]],Sales!A:A,Sales!E:E)</f>
        <v>38.024000000000001</v>
      </c>
    </row>
    <row r="307" spans="1:20" x14ac:dyDescent="0.3">
      <c r="A307">
        <v>303</v>
      </c>
      <c r="B307" t="s">
        <v>849</v>
      </c>
      <c r="C307">
        <v>28</v>
      </c>
      <c r="D307">
        <v>10</v>
      </c>
      <c r="E307">
        <v>2020</v>
      </c>
      <c r="F307" t="s">
        <v>37</v>
      </c>
      <c r="G307" t="s">
        <v>441</v>
      </c>
      <c r="H307" t="s">
        <v>2673</v>
      </c>
      <c r="I307" t="s">
        <v>30</v>
      </c>
      <c r="J307" t="s">
        <v>2496</v>
      </c>
      <c r="K307" t="s">
        <v>108</v>
      </c>
      <c r="L307">
        <v>7109</v>
      </c>
      <c r="M307" t="s">
        <v>858</v>
      </c>
      <c r="N307" t="s">
        <v>33</v>
      </c>
      <c r="O307" t="s">
        <v>58</v>
      </c>
      <c r="P307" t="s">
        <v>859</v>
      </c>
      <c r="Q307">
        <f>_xlfn.XLOOKUP(Table3[[#This Row],[Product Name]],Sales!A:A,Sales!B:B)</f>
        <v>14.28</v>
      </c>
      <c r="R307">
        <f>_xlfn.XLOOKUP(Table3[[#This Row],[Product Name]],Sales!A:A,Sales!C:C)</f>
        <v>1</v>
      </c>
      <c r="S307">
        <f>_xlfn.XLOOKUP(Table3[[#This Row],[Product Name]],Sales!A:A,Sales!D:D)</f>
        <v>0</v>
      </c>
      <c r="T307">
        <f>_xlfn.XLOOKUP(Table3[[#This Row],[Product Name]],Sales!A:A,Sales!E:E)</f>
        <v>6.5688000000000004</v>
      </c>
    </row>
    <row r="308" spans="1:20" x14ac:dyDescent="0.3">
      <c r="A308">
        <v>304</v>
      </c>
      <c r="B308" t="s">
        <v>860</v>
      </c>
      <c r="C308">
        <v>19</v>
      </c>
      <c r="D308">
        <v>11</v>
      </c>
      <c r="E308">
        <v>2021</v>
      </c>
      <c r="F308" t="s">
        <v>37</v>
      </c>
      <c r="G308" t="s">
        <v>654</v>
      </c>
      <c r="H308" t="s">
        <v>2711</v>
      </c>
      <c r="I308" t="s">
        <v>19</v>
      </c>
      <c r="J308" t="s">
        <v>2436</v>
      </c>
      <c r="K308" t="s">
        <v>79</v>
      </c>
      <c r="L308">
        <v>60623</v>
      </c>
      <c r="M308" t="s">
        <v>861</v>
      </c>
      <c r="N308" t="s">
        <v>22</v>
      </c>
      <c r="O308" t="s">
        <v>40</v>
      </c>
      <c r="P308" t="s">
        <v>862</v>
      </c>
      <c r="Q308">
        <f>_xlfn.XLOOKUP(Table3[[#This Row],[Product Name]],Sales!A:A,Sales!B:B)</f>
        <v>219.07499999999999</v>
      </c>
      <c r="R308">
        <f>_xlfn.XLOOKUP(Table3[[#This Row],[Product Name]],Sales!A:A,Sales!C:C)</f>
        <v>3</v>
      </c>
      <c r="S308">
        <f>_xlfn.XLOOKUP(Table3[[#This Row],[Product Name]],Sales!A:A,Sales!D:D)</f>
        <v>0.5</v>
      </c>
      <c r="T308">
        <f>_xlfn.XLOOKUP(Table3[[#This Row],[Product Name]],Sales!A:A,Sales!E:E)</f>
        <v>-131.44499999999999</v>
      </c>
    </row>
    <row r="309" spans="1:20" x14ac:dyDescent="0.3">
      <c r="A309">
        <v>305</v>
      </c>
      <c r="B309" t="s">
        <v>863</v>
      </c>
      <c r="C309">
        <v>4</v>
      </c>
      <c r="D309">
        <v>5</v>
      </c>
      <c r="E309">
        <v>2019</v>
      </c>
      <c r="F309" t="s">
        <v>17</v>
      </c>
      <c r="G309" t="s">
        <v>864</v>
      </c>
      <c r="H309" t="s">
        <v>2737</v>
      </c>
      <c r="I309" t="s">
        <v>30</v>
      </c>
      <c r="J309" t="s">
        <v>2434</v>
      </c>
      <c r="K309" t="s">
        <v>108</v>
      </c>
      <c r="L309">
        <v>10024</v>
      </c>
      <c r="M309" t="s">
        <v>865</v>
      </c>
      <c r="N309" t="s">
        <v>22</v>
      </c>
      <c r="O309" t="s">
        <v>48</v>
      </c>
      <c r="P309" t="s">
        <v>866</v>
      </c>
      <c r="Q309">
        <f>_xlfn.XLOOKUP(Table3[[#This Row],[Product Name]],Sales!A:A,Sales!B:B)</f>
        <v>26.8</v>
      </c>
      <c r="R309">
        <f>_xlfn.XLOOKUP(Table3[[#This Row],[Product Name]],Sales!A:A,Sales!C:C)</f>
        <v>2</v>
      </c>
      <c r="S309">
        <f>_xlfn.XLOOKUP(Table3[[#This Row],[Product Name]],Sales!A:A,Sales!D:D)</f>
        <v>0</v>
      </c>
      <c r="T309">
        <f>_xlfn.XLOOKUP(Table3[[#This Row],[Product Name]],Sales!A:A,Sales!E:E)</f>
        <v>12.864000000000001</v>
      </c>
    </row>
    <row r="310" spans="1:20" x14ac:dyDescent="0.3">
      <c r="A310">
        <v>306</v>
      </c>
      <c r="B310" t="s">
        <v>867</v>
      </c>
      <c r="C310">
        <v>30</v>
      </c>
      <c r="D310">
        <v>12</v>
      </c>
      <c r="E310">
        <v>2018</v>
      </c>
      <c r="F310" t="s">
        <v>37</v>
      </c>
      <c r="G310" t="s">
        <v>257</v>
      </c>
      <c r="H310" t="s">
        <v>2642</v>
      </c>
      <c r="I310" t="s">
        <v>30</v>
      </c>
      <c r="J310" t="s">
        <v>2497</v>
      </c>
      <c r="K310" t="s">
        <v>79</v>
      </c>
      <c r="L310">
        <v>48180</v>
      </c>
      <c r="M310" t="s">
        <v>868</v>
      </c>
      <c r="N310" t="s">
        <v>33</v>
      </c>
      <c r="O310" t="s">
        <v>51</v>
      </c>
      <c r="P310" t="s">
        <v>869</v>
      </c>
      <c r="Q310">
        <f>_xlfn.XLOOKUP(Table3[[#This Row],[Product Name]],Sales!A:A,Sales!B:B)</f>
        <v>9.84</v>
      </c>
      <c r="R310">
        <f>_xlfn.XLOOKUP(Table3[[#This Row],[Product Name]],Sales!A:A,Sales!C:C)</f>
        <v>3</v>
      </c>
      <c r="S310">
        <f>_xlfn.XLOOKUP(Table3[[#This Row],[Product Name]],Sales!A:A,Sales!D:D)</f>
        <v>0</v>
      </c>
      <c r="T310">
        <f>_xlfn.XLOOKUP(Table3[[#This Row],[Product Name]],Sales!A:A,Sales!E:E)</f>
        <v>2.8536000000000001</v>
      </c>
    </row>
    <row r="311" spans="1:20" x14ac:dyDescent="0.3">
      <c r="A311">
        <v>307</v>
      </c>
      <c r="B311" t="s">
        <v>870</v>
      </c>
      <c r="C311">
        <v>1</v>
      </c>
      <c r="D311">
        <v>6</v>
      </c>
      <c r="E311">
        <v>2018</v>
      </c>
      <c r="F311" t="s">
        <v>37</v>
      </c>
      <c r="G311" t="s">
        <v>871</v>
      </c>
      <c r="H311" t="s">
        <v>2738</v>
      </c>
      <c r="I311" t="s">
        <v>78</v>
      </c>
      <c r="J311" t="s">
        <v>2498</v>
      </c>
      <c r="K311" t="s">
        <v>108</v>
      </c>
      <c r="L311">
        <v>8701</v>
      </c>
      <c r="M311" t="s">
        <v>872</v>
      </c>
      <c r="N311" t="s">
        <v>33</v>
      </c>
      <c r="O311" t="s">
        <v>58</v>
      </c>
      <c r="P311" t="s">
        <v>873</v>
      </c>
      <c r="Q311">
        <f>_xlfn.XLOOKUP(Table3[[#This Row],[Product Name]],Sales!A:A,Sales!B:B)</f>
        <v>45.48</v>
      </c>
      <c r="R311">
        <f>_xlfn.XLOOKUP(Table3[[#This Row],[Product Name]],Sales!A:A,Sales!C:C)</f>
        <v>3</v>
      </c>
      <c r="S311">
        <f>_xlfn.XLOOKUP(Table3[[#This Row],[Product Name]],Sales!A:A,Sales!D:D)</f>
        <v>0</v>
      </c>
      <c r="T311">
        <f>_xlfn.XLOOKUP(Table3[[#This Row],[Product Name]],Sales!A:A,Sales!E:E)</f>
        <v>20.9208</v>
      </c>
    </row>
    <row r="312" spans="1:20" x14ac:dyDescent="0.3">
      <c r="A312">
        <v>308</v>
      </c>
      <c r="B312" t="s">
        <v>870</v>
      </c>
      <c r="C312">
        <v>1</v>
      </c>
      <c r="D312">
        <v>6</v>
      </c>
      <c r="E312">
        <v>2018</v>
      </c>
      <c r="F312" t="s">
        <v>37</v>
      </c>
      <c r="G312" t="s">
        <v>871</v>
      </c>
      <c r="H312" t="s">
        <v>2738</v>
      </c>
      <c r="I312" t="s">
        <v>78</v>
      </c>
      <c r="J312" t="s">
        <v>2498</v>
      </c>
      <c r="K312" t="s">
        <v>108</v>
      </c>
      <c r="L312">
        <v>8701</v>
      </c>
      <c r="M312" t="s">
        <v>874</v>
      </c>
      <c r="N312" t="s">
        <v>33</v>
      </c>
      <c r="O312" t="s">
        <v>51</v>
      </c>
      <c r="P312" t="s">
        <v>875</v>
      </c>
      <c r="Q312">
        <f>_xlfn.XLOOKUP(Table3[[#This Row],[Product Name]],Sales!A:A,Sales!B:B)</f>
        <v>289.2</v>
      </c>
      <c r="R312">
        <f>_xlfn.XLOOKUP(Table3[[#This Row],[Product Name]],Sales!A:A,Sales!C:C)</f>
        <v>6</v>
      </c>
      <c r="S312">
        <f>_xlfn.XLOOKUP(Table3[[#This Row],[Product Name]],Sales!A:A,Sales!D:D)</f>
        <v>0</v>
      </c>
      <c r="T312">
        <f>_xlfn.XLOOKUP(Table3[[#This Row],[Product Name]],Sales!A:A,Sales!E:E)</f>
        <v>83.867999999999995</v>
      </c>
    </row>
    <row r="313" spans="1:20" x14ac:dyDescent="0.3">
      <c r="A313">
        <v>309</v>
      </c>
      <c r="B313" t="s">
        <v>876</v>
      </c>
      <c r="C313">
        <v>15</v>
      </c>
      <c r="D313">
        <v>4</v>
      </c>
      <c r="E313">
        <v>2021</v>
      </c>
      <c r="F313" t="s">
        <v>142</v>
      </c>
      <c r="G313" t="s">
        <v>877</v>
      </c>
      <c r="H313" t="s">
        <v>2739</v>
      </c>
      <c r="I313" t="s">
        <v>19</v>
      </c>
      <c r="J313" t="s">
        <v>2499</v>
      </c>
      <c r="K313" t="s">
        <v>20</v>
      </c>
      <c r="L313">
        <v>22204</v>
      </c>
      <c r="M313" t="s">
        <v>878</v>
      </c>
      <c r="N313" t="s">
        <v>33</v>
      </c>
      <c r="O313" t="s">
        <v>51</v>
      </c>
      <c r="P313" t="s">
        <v>879</v>
      </c>
      <c r="Q313">
        <f>_xlfn.XLOOKUP(Table3[[#This Row],[Product Name]],Sales!A:A,Sales!B:B)</f>
        <v>4.8899999999999997</v>
      </c>
      <c r="R313">
        <f>_xlfn.XLOOKUP(Table3[[#This Row],[Product Name]],Sales!A:A,Sales!C:C)</f>
        <v>1</v>
      </c>
      <c r="S313">
        <f>_xlfn.XLOOKUP(Table3[[#This Row],[Product Name]],Sales!A:A,Sales!D:D)</f>
        <v>0</v>
      </c>
      <c r="T313">
        <f>_xlfn.XLOOKUP(Table3[[#This Row],[Product Name]],Sales!A:A,Sales!E:E)</f>
        <v>2.0049000000000001</v>
      </c>
    </row>
    <row r="314" spans="1:20" x14ac:dyDescent="0.3">
      <c r="A314">
        <v>310</v>
      </c>
      <c r="B314" t="s">
        <v>880</v>
      </c>
      <c r="C314">
        <v>12</v>
      </c>
      <c r="D314">
        <v>9</v>
      </c>
      <c r="E314">
        <v>2020</v>
      </c>
      <c r="F314" t="s">
        <v>17</v>
      </c>
      <c r="G314" t="s">
        <v>881</v>
      </c>
      <c r="H314" t="s">
        <v>2740</v>
      </c>
      <c r="I314" t="s">
        <v>30</v>
      </c>
      <c r="J314" t="s">
        <v>2500</v>
      </c>
      <c r="K314" t="s">
        <v>31</v>
      </c>
      <c r="L314">
        <v>80004</v>
      </c>
      <c r="M314" t="s">
        <v>882</v>
      </c>
      <c r="N314" t="s">
        <v>22</v>
      </c>
      <c r="O314" t="s">
        <v>48</v>
      </c>
      <c r="P314" t="s">
        <v>883</v>
      </c>
      <c r="Q314">
        <f>_xlfn.XLOOKUP(Table3[[#This Row],[Product Name]],Sales!A:A,Sales!B:B)</f>
        <v>15.135999999999999</v>
      </c>
      <c r="R314">
        <f>_xlfn.XLOOKUP(Table3[[#This Row],[Product Name]],Sales!A:A,Sales!C:C)</f>
        <v>4</v>
      </c>
      <c r="S314">
        <f>_xlfn.XLOOKUP(Table3[[#This Row],[Product Name]],Sales!A:A,Sales!D:D)</f>
        <v>0.2</v>
      </c>
      <c r="T314">
        <f>_xlfn.XLOOKUP(Table3[[#This Row],[Product Name]],Sales!A:A,Sales!E:E)</f>
        <v>3.5948000000000002</v>
      </c>
    </row>
    <row r="315" spans="1:20" x14ac:dyDescent="0.3">
      <c r="A315">
        <v>311</v>
      </c>
      <c r="B315" t="s">
        <v>880</v>
      </c>
      <c r="C315">
        <v>12</v>
      </c>
      <c r="D315">
        <v>9</v>
      </c>
      <c r="E315">
        <v>2020</v>
      </c>
      <c r="F315" t="s">
        <v>17</v>
      </c>
      <c r="G315" t="s">
        <v>881</v>
      </c>
      <c r="H315" t="s">
        <v>2740</v>
      </c>
      <c r="I315" t="s">
        <v>30</v>
      </c>
      <c r="J315" t="s">
        <v>2500</v>
      </c>
      <c r="K315" t="s">
        <v>31</v>
      </c>
      <c r="L315">
        <v>80004</v>
      </c>
      <c r="M315" t="s">
        <v>884</v>
      </c>
      <c r="N315" t="s">
        <v>22</v>
      </c>
      <c r="O315" t="s">
        <v>26</v>
      </c>
      <c r="P315" t="s">
        <v>885</v>
      </c>
      <c r="Q315">
        <f>_xlfn.XLOOKUP(Table3[[#This Row],[Product Name]],Sales!A:A,Sales!B:B)</f>
        <v>466.76799999999997</v>
      </c>
      <c r="R315">
        <f>_xlfn.XLOOKUP(Table3[[#This Row],[Product Name]],Sales!A:A,Sales!C:C)</f>
        <v>2</v>
      </c>
      <c r="S315">
        <f>_xlfn.XLOOKUP(Table3[[#This Row],[Product Name]],Sales!A:A,Sales!D:D)</f>
        <v>0.2</v>
      </c>
      <c r="T315">
        <f>_xlfn.XLOOKUP(Table3[[#This Row],[Product Name]],Sales!A:A,Sales!E:E)</f>
        <v>52.511400000000002</v>
      </c>
    </row>
    <row r="316" spans="1:20" x14ac:dyDescent="0.3">
      <c r="A316">
        <v>312</v>
      </c>
      <c r="B316" t="s">
        <v>880</v>
      </c>
      <c r="C316">
        <v>12</v>
      </c>
      <c r="D316">
        <v>9</v>
      </c>
      <c r="E316">
        <v>2020</v>
      </c>
      <c r="F316" t="s">
        <v>17</v>
      </c>
      <c r="G316" t="s">
        <v>881</v>
      </c>
      <c r="H316" t="s">
        <v>2740</v>
      </c>
      <c r="I316" t="s">
        <v>30</v>
      </c>
      <c r="J316" t="s">
        <v>2500</v>
      </c>
      <c r="K316" t="s">
        <v>31</v>
      </c>
      <c r="L316">
        <v>80004</v>
      </c>
      <c r="M316" t="s">
        <v>886</v>
      </c>
      <c r="N316" t="s">
        <v>22</v>
      </c>
      <c r="O316" t="s">
        <v>48</v>
      </c>
      <c r="P316" t="s">
        <v>887</v>
      </c>
      <c r="Q316">
        <f>_xlfn.XLOOKUP(Table3[[#This Row],[Product Name]],Sales!A:A,Sales!B:B)</f>
        <v>15.231999999999999</v>
      </c>
      <c r="R316">
        <f>_xlfn.XLOOKUP(Table3[[#This Row],[Product Name]],Sales!A:A,Sales!C:C)</f>
        <v>1</v>
      </c>
      <c r="S316">
        <f>_xlfn.XLOOKUP(Table3[[#This Row],[Product Name]],Sales!A:A,Sales!D:D)</f>
        <v>0.2</v>
      </c>
      <c r="T316">
        <f>_xlfn.XLOOKUP(Table3[[#This Row],[Product Name]],Sales!A:A,Sales!E:E)</f>
        <v>1.7136</v>
      </c>
    </row>
    <row r="317" spans="1:20" x14ac:dyDescent="0.3">
      <c r="A317">
        <v>313</v>
      </c>
      <c r="B317" t="s">
        <v>880</v>
      </c>
      <c r="C317">
        <v>12</v>
      </c>
      <c r="D317">
        <v>9</v>
      </c>
      <c r="E317">
        <v>2020</v>
      </c>
      <c r="F317" t="s">
        <v>17</v>
      </c>
      <c r="G317" t="s">
        <v>881</v>
      </c>
      <c r="H317" t="s">
        <v>2740</v>
      </c>
      <c r="I317" t="s">
        <v>30</v>
      </c>
      <c r="J317" t="s">
        <v>2500</v>
      </c>
      <c r="K317" t="s">
        <v>31</v>
      </c>
      <c r="L317">
        <v>80004</v>
      </c>
      <c r="M317" t="s">
        <v>888</v>
      </c>
      <c r="N317" t="s">
        <v>33</v>
      </c>
      <c r="O317" t="s">
        <v>34</v>
      </c>
      <c r="P317" t="s">
        <v>889</v>
      </c>
      <c r="Q317">
        <f>_xlfn.XLOOKUP(Table3[[#This Row],[Product Name]],Sales!A:A,Sales!B:B)</f>
        <v>6.2640000000000002</v>
      </c>
      <c r="R317">
        <f>_xlfn.XLOOKUP(Table3[[#This Row],[Product Name]],Sales!A:A,Sales!C:C)</f>
        <v>3</v>
      </c>
      <c r="S317">
        <f>_xlfn.XLOOKUP(Table3[[#This Row],[Product Name]],Sales!A:A,Sales!D:D)</f>
        <v>0.2</v>
      </c>
      <c r="T317">
        <f>_xlfn.XLOOKUP(Table3[[#This Row],[Product Name]],Sales!A:A,Sales!E:E)</f>
        <v>2.0358000000000001</v>
      </c>
    </row>
    <row r="318" spans="1:20" x14ac:dyDescent="0.3">
      <c r="A318">
        <v>314</v>
      </c>
      <c r="B318" t="s">
        <v>890</v>
      </c>
      <c r="C318">
        <v>27</v>
      </c>
      <c r="D318">
        <v>9</v>
      </c>
      <c r="E318">
        <v>2018</v>
      </c>
      <c r="F318" t="s">
        <v>37</v>
      </c>
      <c r="G318" t="s">
        <v>891</v>
      </c>
      <c r="H318" t="s">
        <v>2741</v>
      </c>
      <c r="I318" t="s">
        <v>30</v>
      </c>
      <c r="J318" t="s">
        <v>2501</v>
      </c>
      <c r="K318" t="s">
        <v>108</v>
      </c>
      <c r="L318">
        <v>7601</v>
      </c>
      <c r="M318" t="s">
        <v>892</v>
      </c>
      <c r="N318" t="s">
        <v>22</v>
      </c>
      <c r="O318" t="s">
        <v>48</v>
      </c>
      <c r="P318" t="s">
        <v>893</v>
      </c>
      <c r="Q318">
        <f>_xlfn.XLOOKUP(Table3[[#This Row],[Product Name]],Sales!A:A,Sales!B:B)</f>
        <v>87.54</v>
      </c>
      <c r="R318">
        <f>_xlfn.XLOOKUP(Table3[[#This Row],[Product Name]],Sales!A:A,Sales!C:C)</f>
        <v>3</v>
      </c>
      <c r="S318">
        <f>_xlfn.XLOOKUP(Table3[[#This Row],[Product Name]],Sales!A:A,Sales!D:D)</f>
        <v>0</v>
      </c>
      <c r="T318">
        <f>_xlfn.XLOOKUP(Table3[[#This Row],[Product Name]],Sales!A:A,Sales!E:E)</f>
        <v>37.642200000000003</v>
      </c>
    </row>
    <row r="319" spans="1:20" x14ac:dyDescent="0.3">
      <c r="A319">
        <v>315</v>
      </c>
      <c r="B319" t="s">
        <v>894</v>
      </c>
      <c r="C319">
        <v>9</v>
      </c>
      <c r="D319">
        <v>8</v>
      </c>
      <c r="E319">
        <v>2018</v>
      </c>
      <c r="F319" t="s">
        <v>37</v>
      </c>
      <c r="G319" t="s">
        <v>895</v>
      </c>
      <c r="H319" t="s">
        <v>2742</v>
      </c>
      <c r="I319" t="s">
        <v>30</v>
      </c>
      <c r="J319" t="s">
        <v>2502</v>
      </c>
      <c r="K319" t="s">
        <v>20</v>
      </c>
      <c r="L319">
        <v>33710</v>
      </c>
      <c r="M319" t="s">
        <v>896</v>
      </c>
      <c r="N319" t="s">
        <v>54</v>
      </c>
      <c r="O319" t="s">
        <v>55</v>
      </c>
      <c r="P319" t="s">
        <v>897</v>
      </c>
      <c r="Q319">
        <f>_xlfn.XLOOKUP(Table3[[#This Row],[Product Name]],Sales!A:A,Sales!B:B)</f>
        <v>178.38399999999999</v>
      </c>
      <c r="R319">
        <f>_xlfn.XLOOKUP(Table3[[#This Row],[Product Name]],Sales!A:A,Sales!C:C)</f>
        <v>2</v>
      </c>
      <c r="S319">
        <f>_xlfn.XLOOKUP(Table3[[#This Row],[Product Name]],Sales!A:A,Sales!D:D)</f>
        <v>0.2</v>
      </c>
      <c r="T319">
        <f>_xlfn.XLOOKUP(Table3[[#This Row],[Product Name]],Sales!A:A,Sales!E:E)</f>
        <v>22.297999999999998</v>
      </c>
    </row>
    <row r="320" spans="1:20" x14ac:dyDescent="0.3">
      <c r="A320">
        <v>316</v>
      </c>
      <c r="B320" t="s">
        <v>894</v>
      </c>
      <c r="C320">
        <v>9</v>
      </c>
      <c r="D320">
        <v>8</v>
      </c>
      <c r="E320">
        <v>2018</v>
      </c>
      <c r="F320" t="s">
        <v>37</v>
      </c>
      <c r="G320" t="s">
        <v>895</v>
      </c>
      <c r="H320" t="s">
        <v>2742</v>
      </c>
      <c r="I320" t="s">
        <v>30</v>
      </c>
      <c r="J320" t="s">
        <v>2502</v>
      </c>
      <c r="K320" t="s">
        <v>20</v>
      </c>
      <c r="L320">
        <v>33710</v>
      </c>
      <c r="M320" t="s">
        <v>898</v>
      </c>
      <c r="N320" t="s">
        <v>33</v>
      </c>
      <c r="O320" t="s">
        <v>70</v>
      </c>
      <c r="P320" t="s">
        <v>899</v>
      </c>
      <c r="Q320">
        <f>_xlfn.XLOOKUP(Table3[[#This Row],[Product Name]],Sales!A:A,Sales!B:B)</f>
        <v>15.552</v>
      </c>
      <c r="R320">
        <f>_xlfn.XLOOKUP(Table3[[#This Row],[Product Name]],Sales!A:A,Sales!C:C)</f>
        <v>3</v>
      </c>
      <c r="S320">
        <f>_xlfn.XLOOKUP(Table3[[#This Row],[Product Name]],Sales!A:A,Sales!D:D)</f>
        <v>0.2</v>
      </c>
      <c r="T320">
        <f>_xlfn.XLOOKUP(Table3[[#This Row],[Product Name]],Sales!A:A,Sales!E:E)</f>
        <v>5.4432</v>
      </c>
    </row>
    <row r="321" spans="1:20" x14ac:dyDescent="0.3">
      <c r="A321">
        <v>317</v>
      </c>
      <c r="B321" t="s">
        <v>900</v>
      </c>
      <c r="C321">
        <v>28</v>
      </c>
      <c r="D321">
        <v>12</v>
      </c>
      <c r="E321">
        <v>2018</v>
      </c>
      <c r="F321" t="s">
        <v>142</v>
      </c>
      <c r="G321" t="s">
        <v>901</v>
      </c>
      <c r="H321" t="s">
        <v>2743</v>
      </c>
      <c r="I321" t="s">
        <v>30</v>
      </c>
      <c r="J321" t="s">
        <v>2424</v>
      </c>
      <c r="K321" t="s">
        <v>108</v>
      </c>
      <c r="L321">
        <v>19143</v>
      </c>
      <c r="M321" t="s">
        <v>902</v>
      </c>
      <c r="N321" t="s">
        <v>33</v>
      </c>
      <c r="O321" t="s">
        <v>51</v>
      </c>
      <c r="P321" t="s">
        <v>903</v>
      </c>
      <c r="Q321">
        <f>_xlfn.XLOOKUP(Table3[[#This Row],[Product Name]],Sales!A:A,Sales!B:B)</f>
        <v>99.135999999999996</v>
      </c>
      <c r="R321">
        <f>_xlfn.XLOOKUP(Table3[[#This Row],[Product Name]],Sales!A:A,Sales!C:C)</f>
        <v>4</v>
      </c>
      <c r="S321">
        <f>_xlfn.XLOOKUP(Table3[[#This Row],[Product Name]],Sales!A:A,Sales!D:D)</f>
        <v>0.2</v>
      </c>
      <c r="T321">
        <f>_xlfn.XLOOKUP(Table3[[#This Row],[Product Name]],Sales!A:A,Sales!E:E)</f>
        <v>8.6744000000000003</v>
      </c>
    </row>
    <row r="322" spans="1:20" x14ac:dyDescent="0.3">
      <c r="A322">
        <v>318</v>
      </c>
      <c r="B322" t="s">
        <v>904</v>
      </c>
      <c r="C322">
        <v>4</v>
      </c>
      <c r="D322">
        <v>11</v>
      </c>
      <c r="E322">
        <v>2018</v>
      </c>
      <c r="F322" t="s">
        <v>37</v>
      </c>
      <c r="G322" t="s">
        <v>905</v>
      </c>
      <c r="H322" t="s">
        <v>2744</v>
      </c>
      <c r="I322" t="s">
        <v>78</v>
      </c>
      <c r="J322" t="s">
        <v>2434</v>
      </c>
      <c r="K322" t="s">
        <v>108</v>
      </c>
      <c r="L322">
        <v>10024</v>
      </c>
      <c r="M322" t="s">
        <v>906</v>
      </c>
      <c r="N322" t="s">
        <v>22</v>
      </c>
      <c r="O322" t="s">
        <v>26</v>
      </c>
      <c r="P322" t="s">
        <v>907</v>
      </c>
      <c r="Q322">
        <f>_xlfn.XLOOKUP(Table3[[#This Row],[Product Name]],Sales!A:A,Sales!B:B)</f>
        <v>135.88200000000001</v>
      </c>
      <c r="R322">
        <f>_xlfn.XLOOKUP(Table3[[#This Row],[Product Name]],Sales!A:A,Sales!C:C)</f>
        <v>1</v>
      </c>
      <c r="S322">
        <f>_xlfn.XLOOKUP(Table3[[#This Row],[Product Name]],Sales!A:A,Sales!D:D)</f>
        <v>0.1</v>
      </c>
      <c r="T322">
        <f>_xlfn.XLOOKUP(Table3[[#This Row],[Product Name]],Sales!A:A,Sales!E:E)</f>
        <v>24.1568</v>
      </c>
    </row>
    <row r="323" spans="1:20" x14ac:dyDescent="0.3">
      <c r="A323">
        <v>319</v>
      </c>
      <c r="B323" t="s">
        <v>904</v>
      </c>
      <c r="C323">
        <v>4</v>
      </c>
      <c r="D323">
        <v>11</v>
      </c>
      <c r="E323">
        <v>2018</v>
      </c>
      <c r="F323" t="s">
        <v>37</v>
      </c>
      <c r="G323" t="s">
        <v>905</v>
      </c>
      <c r="H323" t="s">
        <v>2744</v>
      </c>
      <c r="I323" t="s">
        <v>78</v>
      </c>
      <c r="J323" t="s">
        <v>2434</v>
      </c>
      <c r="K323" t="s">
        <v>108</v>
      </c>
      <c r="L323">
        <v>10024</v>
      </c>
      <c r="M323" t="s">
        <v>908</v>
      </c>
      <c r="N323" t="s">
        <v>54</v>
      </c>
      <c r="O323" t="s">
        <v>515</v>
      </c>
      <c r="P323" t="s">
        <v>909</v>
      </c>
      <c r="Q323">
        <f>_xlfn.XLOOKUP(Table3[[#This Row],[Product Name]],Sales!A:A,Sales!B:B)</f>
        <v>3991.98</v>
      </c>
      <c r="R323">
        <f>_xlfn.XLOOKUP(Table3[[#This Row],[Product Name]],Sales!A:A,Sales!C:C)</f>
        <v>2</v>
      </c>
      <c r="S323">
        <f>_xlfn.XLOOKUP(Table3[[#This Row],[Product Name]],Sales!A:A,Sales!D:D)</f>
        <v>0</v>
      </c>
      <c r="T323">
        <f>_xlfn.XLOOKUP(Table3[[#This Row],[Product Name]],Sales!A:A,Sales!E:E)</f>
        <v>1995.99</v>
      </c>
    </row>
    <row r="324" spans="1:20" x14ac:dyDescent="0.3">
      <c r="A324">
        <v>320</v>
      </c>
      <c r="B324" t="s">
        <v>904</v>
      </c>
      <c r="C324">
        <v>4</v>
      </c>
      <c r="D324">
        <v>11</v>
      </c>
      <c r="E324">
        <v>2018</v>
      </c>
      <c r="F324" t="s">
        <v>37</v>
      </c>
      <c r="G324" t="s">
        <v>905</v>
      </c>
      <c r="H324" t="s">
        <v>2744</v>
      </c>
      <c r="I324" t="s">
        <v>78</v>
      </c>
      <c r="J324" t="s">
        <v>2434</v>
      </c>
      <c r="K324" t="s">
        <v>108</v>
      </c>
      <c r="L324">
        <v>10024</v>
      </c>
      <c r="M324" t="s">
        <v>160</v>
      </c>
      <c r="N324" t="s">
        <v>54</v>
      </c>
      <c r="O324" t="s">
        <v>55</v>
      </c>
      <c r="P324" t="s">
        <v>161</v>
      </c>
      <c r="Q324">
        <f>_xlfn.XLOOKUP(Table3[[#This Row],[Product Name]],Sales!A:A,Sales!B:B)</f>
        <v>147.16800000000001</v>
      </c>
      <c r="R324">
        <f>_xlfn.XLOOKUP(Table3[[#This Row],[Product Name]],Sales!A:A,Sales!C:C)</f>
        <v>4</v>
      </c>
      <c r="S324">
        <f>_xlfn.XLOOKUP(Table3[[#This Row],[Product Name]],Sales!A:A,Sales!D:D)</f>
        <v>0.2</v>
      </c>
      <c r="T324">
        <f>_xlfn.XLOOKUP(Table3[[#This Row],[Product Name]],Sales!A:A,Sales!E:E)</f>
        <v>16.5564</v>
      </c>
    </row>
    <row r="325" spans="1:20" x14ac:dyDescent="0.3">
      <c r="A325">
        <v>321</v>
      </c>
      <c r="B325" t="s">
        <v>904</v>
      </c>
      <c r="C325">
        <v>4</v>
      </c>
      <c r="D325">
        <v>11</v>
      </c>
      <c r="E325">
        <v>2018</v>
      </c>
      <c r="F325" t="s">
        <v>37</v>
      </c>
      <c r="G325" t="s">
        <v>905</v>
      </c>
      <c r="H325" t="s">
        <v>2744</v>
      </c>
      <c r="I325" t="s">
        <v>78</v>
      </c>
      <c r="J325" t="s">
        <v>2434</v>
      </c>
      <c r="K325" t="s">
        <v>108</v>
      </c>
      <c r="L325">
        <v>10024</v>
      </c>
      <c r="M325" t="s">
        <v>910</v>
      </c>
      <c r="N325" t="s">
        <v>54</v>
      </c>
      <c r="O325" t="s">
        <v>118</v>
      </c>
      <c r="P325" t="s">
        <v>911</v>
      </c>
      <c r="Q325">
        <f>_xlfn.XLOOKUP(Table3[[#This Row],[Product Name]],Sales!A:A,Sales!B:B)</f>
        <v>360</v>
      </c>
      <c r="R325">
        <f>_xlfn.XLOOKUP(Table3[[#This Row],[Product Name]],Sales!A:A,Sales!C:C)</f>
        <v>4</v>
      </c>
      <c r="S325">
        <f>_xlfn.XLOOKUP(Table3[[#This Row],[Product Name]],Sales!A:A,Sales!D:D)</f>
        <v>0</v>
      </c>
      <c r="T325">
        <f>_xlfn.XLOOKUP(Table3[[#This Row],[Product Name]],Sales!A:A,Sales!E:E)</f>
        <v>129.6</v>
      </c>
    </row>
    <row r="326" spans="1:20" x14ac:dyDescent="0.3">
      <c r="A326">
        <v>322</v>
      </c>
      <c r="B326" t="s">
        <v>904</v>
      </c>
      <c r="C326">
        <v>4</v>
      </c>
      <c r="D326">
        <v>11</v>
      </c>
      <c r="E326">
        <v>2018</v>
      </c>
      <c r="F326" t="s">
        <v>37</v>
      </c>
      <c r="G326" t="s">
        <v>905</v>
      </c>
      <c r="H326" t="s">
        <v>2744</v>
      </c>
      <c r="I326" t="s">
        <v>78</v>
      </c>
      <c r="J326" t="s">
        <v>2434</v>
      </c>
      <c r="K326" t="s">
        <v>108</v>
      </c>
      <c r="L326">
        <v>10024</v>
      </c>
      <c r="M326" t="s">
        <v>410</v>
      </c>
      <c r="N326" t="s">
        <v>33</v>
      </c>
      <c r="O326" t="s">
        <v>43</v>
      </c>
      <c r="P326" t="s">
        <v>411</v>
      </c>
      <c r="Q326">
        <f>_xlfn.XLOOKUP(Table3[[#This Row],[Product Name]],Sales!A:A,Sales!B:B)</f>
        <v>243.99199999999999</v>
      </c>
      <c r="R326">
        <f>_xlfn.XLOOKUP(Table3[[#This Row],[Product Name]],Sales!A:A,Sales!C:C)</f>
        <v>7</v>
      </c>
      <c r="S326">
        <f>_xlfn.XLOOKUP(Table3[[#This Row],[Product Name]],Sales!A:A,Sales!D:D)</f>
        <v>0.2</v>
      </c>
      <c r="T326">
        <f>_xlfn.XLOOKUP(Table3[[#This Row],[Product Name]],Sales!A:A,Sales!E:E)</f>
        <v>30.498999999999999</v>
      </c>
    </row>
    <row r="327" spans="1:20" x14ac:dyDescent="0.3">
      <c r="A327">
        <v>323</v>
      </c>
      <c r="B327" t="s">
        <v>912</v>
      </c>
      <c r="C327">
        <v>19</v>
      </c>
      <c r="D327">
        <v>9</v>
      </c>
      <c r="E327">
        <v>2018</v>
      </c>
      <c r="F327" t="s">
        <v>37</v>
      </c>
      <c r="G327" t="s">
        <v>913</v>
      </c>
      <c r="H327" t="s">
        <v>2745</v>
      </c>
      <c r="I327" t="s">
        <v>30</v>
      </c>
      <c r="J327" t="s">
        <v>2503</v>
      </c>
      <c r="K327" t="s">
        <v>31</v>
      </c>
      <c r="L327">
        <v>90805</v>
      </c>
      <c r="M327" t="s">
        <v>914</v>
      </c>
      <c r="N327" t="s">
        <v>33</v>
      </c>
      <c r="O327" t="s">
        <v>199</v>
      </c>
      <c r="P327" t="s">
        <v>915</v>
      </c>
      <c r="Q327">
        <f>_xlfn.XLOOKUP(Table3[[#This Row],[Product Name]],Sales!A:A,Sales!B:B)</f>
        <v>7.16</v>
      </c>
      <c r="R327">
        <f>_xlfn.XLOOKUP(Table3[[#This Row],[Product Name]],Sales!A:A,Sales!C:C)</f>
        <v>2</v>
      </c>
      <c r="S327">
        <f>_xlfn.XLOOKUP(Table3[[#This Row],[Product Name]],Sales!A:A,Sales!D:D)</f>
        <v>0</v>
      </c>
      <c r="T327">
        <f>_xlfn.XLOOKUP(Table3[[#This Row],[Product Name]],Sales!A:A,Sales!E:E)</f>
        <v>3.58</v>
      </c>
    </row>
    <row r="328" spans="1:20" x14ac:dyDescent="0.3">
      <c r="A328">
        <v>324</v>
      </c>
      <c r="B328" t="s">
        <v>916</v>
      </c>
      <c r="C328">
        <v>23</v>
      </c>
      <c r="D328">
        <v>4</v>
      </c>
      <c r="E328">
        <v>2020</v>
      </c>
      <c r="F328" t="s">
        <v>37</v>
      </c>
      <c r="G328" t="s">
        <v>917</v>
      </c>
      <c r="H328" t="s">
        <v>2746</v>
      </c>
      <c r="I328" t="s">
        <v>30</v>
      </c>
      <c r="J328" t="s">
        <v>2504</v>
      </c>
      <c r="K328" t="s">
        <v>31</v>
      </c>
      <c r="L328">
        <v>92345</v>
      </c>
      <c r="M328" t="s">
        <v>845</v>
      </c>
      <c r="N328" t="s">
        <v>33</v>
      </c>
      <c r="O328" t="s">
        <v>58</v>
      </c>
      <c r="P328" t="s">
        <v>846</v>
      </c>
      <c r="Q328">
        <f>_xlfn.XLOOKUP(Table3[[#This Row],[Product Name]],Sales!A:A,Sales!B:B)</f>
        <v>78.599999999999994</v>
      </c>
      <c r="R328">
        <f>_xlfn.XLOOKUP(Table3[[#This Row],[Product Name]],Sales!A:A,Sales!C:C)</f>
        <v>5</v>
      </c>
      <c r="S328">
        <f>_xlfn.XLOOKUP(Table3[[#This Row],[Product Name]],Sales!A:A,Sales!D:D)</f>
        <v>0.7</v>
      </c>
      <c r="T328">
        <f>_xlfn.XLOOKUP(Table3[[#This Row],[Product Name]],Sales!A:A,Sales!E:E)</f>
        <v>-62.88</v>
      </c>
    </row>
    <row r="329" spans="1:20" x14ac:dyDescent="0.3">
      <c r="A329">
        <v>325</v>
      </c>
      <c r="B329" t="s">
        <v>916</v>
      </c>
      <c r="C329">
        <v>23</v>
      </c>
      <c r="D329">
        <v>4</v>
      </c>
      <c r="E329">
        <v>2020</v>
      </c>
      <c r="F329" t="s">
        <v>37</v>
      </c>
      <c r="G329" t="s">
        <v>917</v>
      </c>
      <c r="H329" t="s">
        <v>2746</v>
      </c>
      <c r="I329" t="s">
        <v>30</v>
      </c>
      <c r="J329" t="s">
        <v>2504</v>
      </c>
      <c r="K329" t="s">
        <v>31</v>
      </c>
      <c r="L329">
        <v>92345</v>
      </c>
      <c r="M329" t="s">
        <v>918</v>
      </c>
      <c r="N329" t="s">
        <v>54</v>
      </c>
      <c r="O329" t="s">
        <v>118</v>
      </c>
      <c r="P329" t="s">
        <v>919</v>
      </c>
      <c r="Q329">
        <f>_xlfn.XLOOKUP(Table3[[#This Row],[Product Name]],Sales!A:A,Sales!B:B)</f>
        <v>99.99</v>
      </c>
      <c r="R329">
        <f>_xlfn.XLOOKUP(Table3[[#This Row],[Product Name]],Sales!A:A,Sales!C:C)</f>
        <v>1</v>
      </c>
      <c r="S329">
        <f>_xlfn.XLOOKUP(Table3[[#This Row],[Product Name]],Sales!A:A,Sales!D:D)</f>
        <v>0</v>
      </c>
      <c r="T329">
        <f>_xlfn.XLOOKUP(Table3[[#This Row],[Product Name]],Sales!A:A,Sales!E:E)</f>
        <v>34.996499999999997</v>
      </c>
    </row>
    <row r="330" spans="1:20" x14ac:dyDescent="0.3">
      <c r="A330">
        <v>326</v>
      </c>
      <c r="B330" t="s">
        <v>920</v>
      </c>
      <c r="C330">
        <v>3</v>
      </c>
      <c r="D330">
        <v>11</v>
      </c>
      <c r="E330">
        <v>2021</v>
      </c>
      <c r="F330" t="s">
        <v>17</v>
      </c>
      <c r="G330" t="s">
        <v>921</v>
      </c>
      <c r="H330" t="s">
        <v>2747</v>
      </c>
      <c r="I330" t="s">
        <v>30</v>
      </c>
      <c r="J330" t="s">
        <v>2505</v>
      </c>
      <c r="K330" t="s">
        <v>20</v>
      </c>
      <c r="L330">
        <v>37130</v>
      </c>
      <c r="M330" t="s">
        <v>922</v>
      </c>
      <c r="N330" t="s">
        <v>22</v>
      </c>
      <c r="O330" t="s">
        <v>48</v>
      </c>
      <c r="P330" t="s">
        <v>923</v>
      </c>
      <c r="Q330">
        <f>_xlfn.XLOOKUP(Table3[[#This Row],[Product Name]],Sales!A:A,Sales!B:B)</f>
        <v>15.992000000000001</v>
      </c>
      <c r="R330">
        <f>_xlfn.XLOOKUP(Table3[[#This Row],[Product Name]],Sales!A:A,Sales!C:C)</f>
        <v>1</v>
      </c>
      <c r="S330">
        <f>_xlfn.XLOOKUP(Table3[[#This Row],[Product Name]],Sales!A:A,Sales!D:D)</f>
        <v>0.2</v>
      </c>
      <c r="T330">
        <f>_xlfn.XLOOKUP(Table3[[#This Row],[Product Name]],Sales!A:A,Sales!E:E)</f>
        <v>0.99950000000000006</v>
      </c>
    </row>
    <row r="331" spans="1:20" x14ac:dyDescent="0.3">
      <c r="A331">
        <v>327</v>
      </c>
      <c r="B331" t="s">
        <v>924</v>
      </c>
      <c r="C331">
        <v>30</v>
      </c>
      <c r="D331">
        <v>8</v>
      </c>
      <c r="E331">
        <v>2020</v>
      </c>
      <c r="F331" t="s">
        <v>142</v>
      </c>
      <c r="G331" t="s">
        <v>925</v>
      </c>
      <c r="H331" t="s">
        <v>2748</v>
      </c>
      <c r="I331" t="s">
        <v>19</v>
      </c>
      <c r="J331" t="s">
        <v>2424</v>
      </c>
      <c r="K331" t="s">
        <v>108</v>
      </c>
      <c r="L331">
        <v>19143</v>
      </c>
      <c r="M331" t="s">
        <v>926</v>
      </c>
      <c r="N331" t="s">
        <v>54</v>
      </c>
      <c r="O331" t="s">
        <v>55</v>
      </c>
      <c r="P331" t="s">
        <v>927</v>
      </c>
      <c r="Q331">
        <f>_xlfn.XLOOKUP(Table3[[#This Row],[Product Name]],Sales!A:A,Sales!B:B)</f>
        <v>290.89800000000002</v>
      </c>
      <c r="R331">
        <f>_xlfn.XLOOKUP(Table3[[#This Row],[Product Name]],Sales!A:A,Sales!C:C)</f>
        <v>3</v>
      </c>
      <c r="S331">
        <f>_xlfn.XLOOKUP(Table3[[#This Row],[Product Name]],Sales!A:A,Sales!D:D)</f>
        <v>0.4</v>
      </c>
      <c r="T331">
        <f>_xlfn.XLOOKUP(Table3[[#This Row],[Product Name]],Sales!A:A,Sales!E:E)</f>
        <v>-67.876199999999997</v>
      </c>
    </row>
    <row r="332" spans="1:20" x14ac:dyDescent="0.3">
      <c r="A332">
        <v>328</v>
      </c>
      <c r="B332" t="s">
        <v>924</v>
      </c>
      <c r="C332">
        <v>30</v>
      </c>
      <c r="D332">
        <v>8</v>
      </c>
      <c r="E332">
        <v>2020</v>
      </c>
      <c r="F332" t="s">
        <v>142</v>
      </c>
      <c r="G332" t="s">
        <v>925</v>
      </c>
      <c r="H332" t="s">
        <v>2748</v>
      </c>
      <c r="I332" t="s">
        <v>19</v>
      </c>
      <c r="J332" t="s">
        <v>2424</v>
      </c>
      <c r="K332" t="s">
        <v>108</v>
      </c>
      <c r="L332">
        <v>19143</v>
      </c>
      <c r="M332" t="s">
        <v>928</v>
      </c>
      <c r="N332" t="s">
        <v>33</v>
      </c>
      <c r="O332" t="s">
        <v>43</v>
      </c>
      <c r="P332" t="s">
        <v>929</v>
      </c>
      <c r="Q332">
        <f>_xlfn.XLOOKUP(Table3[[#This Row],[Product Name]],Sales!A:A,Sales!B:B)</f>
        <v>54.223999999999997</v>
      </c>
      <c r="R332">
        <f>_xlfn.XLOOKUP(Table3[[#This Row],[Product Name]],Sales!A:A,Sales!C:C)</f>
        <v>2</v>
      </c>
      <c r="S332">
        <f>_xlfn.XLOOKUP(Table3[[#This Row],[Product Name]],Sales!A:A,Sales!D:D)</f>
        <v>0.2</v>
      </c>
      <c r="T332">
        <f>_xlfn.XLOOKUP(Table3[[#This Row],[Product Name]],Sales!A:A,Sales!E:E)</f>
        <v>3.3889999999999998</v>
      </c>
    </row>
    <row r="333" spans="1:20" x14ac:dyDescent="0.3">
      <c r="A333">
        <v>329</v>
      </c>
      <c r="B333" t="s">
        <v>924</v>
      </c>
      <c r="C333">
        <v>30</v>
      </c>
      <c r="D333">
        <v>8</v>
      </c>
      <c r="E333">
        <v>2020</v>
      </c>
      <c r="F333" t="s">
        <v>142</v>
      </c>
      <c r="G333" t="s">
        <v>925</v>
      </c>
      <c r="H333" t="s">
        <v>2748</v>
      </c>
      <c r="I333" t="s">
        <v>19</v>
      </c>
      <c r="J333" t="s">
        <v>2424</v>
      </c>
      <c r="K333" t="s">
        <v>108</v>
      </c>
      <c r="L333">
        <v>19143</v>
      </c>
      <c r="M333" t="s">
        <v>930</v>
      </c>
      <c r="N333" t="s">
        <v>22</v>
      </c>
      <c r="O333" t="s">
        <v>26</v>
      </c>
      <c r="P333" t="s">
        <v>931</v>
      </c>
      <c r="Q333">
        <f>_xlfn.XLOOKUP(Table3[[#This Row],[Product Name]],Sales!A:A,Sales!B:B)</f>
        <v>786.74400000000003</v>
      </c>
      <c r="R333">
        <f>_xlfn.XLOOKUP(Table3[[#This Row],[Product Name]],Sales!A:A,Sales!C:C)</f>
        <v>4</v>
      </c>
      <c r="S333">
        <f>_xlfn.XLOOKUP(Table3[[#This Row],[Product Name]],Sales!A:A,Sales!D:D)</f>
        <v>0.3</v>
      </c>
      <c r="T333">
        <f>_xlfn.XLOOKUP(Table3[[#This Row],[Product Name]],Sales!A:A,Sales!E:E)</f>
        <v>-258.5016</v>
      </c>
    </row>
    <row r="334" spans="1:20" x14ac:dyDescent="0.3">
      <c r="A334">
        <v>330</v>
      </c>
      <c r="B334" t="s">
        <v>924</v>
      </c>
      <c r="C334">
        <v>30</v>
      </c>
      <c r="D334">
        <v>8</v>
      </c>
      <c r="E334">
        <v>2020</v>
      </c>
      <c r="F334" t="s">
        <v>142</v>
      </c>
      <c r="G334" t="s">
        <v>925</v>
      </c>
      <c r="H334" t="s">
        <v>2748</v>
      </c>
      <c r="I334" t="s">
        <v>19</v>
      </c>
      <c r="J334" t="s">
        <v>2424</v>
      </c>
      <c r="K334" t="s">
        <v>108</v>
      </c>
      <c r="L334">
        <v>19143</v>
      </c>
      <c r="M334" t="s">
        <v>932</v>
      </c>
      <c r="N334" t="s">
        <v>33</v>
      </c>
      <c r="O334" t="s">
        <v>34</v>
      </c>
      <c r="P334" t="s">
        <v>933</v>
      </c>
      <c r="Q334">
        <f>_xlfn.XLOOKUP(Table3[[#This Row],[Product Name]],Sales!A:A,Sales!B:B)</f>
        <v>100.24</v>
      </c>
      <c r="R334">
        <f>_xlfn.XLOOKUP(Table3[[#This Row],[Product Name]],Sales!A:A,Sales!C:C)</f>
        <v>10</v>
      </c>
      <c r="S334">
        <f>_xlfn.XLOOKUP(Table3[[#This Row],[Product Name]],Sales!A:A,Sales!D:D)</f>
        <v>0.2</v>
      </c>
      <c r="T334">
        <f>_xlfn.XLOOKUP(Table3[[#This Row],[Product Name]],Sales!A:A,Sales!E:E)</f>
        <v>33.831000000000003</v>
      </c>
    </row>
    <row r="335" spans="1:20" x14ac:dyDescent="0.3">
      <c r="A335">
        <v>331</v>
      </c>
      <c r="B335" t="s">
        <v>924</v>
      </c>
      <c r="C335">
        <v>30</v>
      </c>
      <c r="D335">
        <v>8</v>
      </c>
      <c r="E335">
        <v>2020</v>
      </c>
      <c r="F335" t="s">
        <v>142</v>
      </c>
      <c r="G335" t="s">
        <v>925</v>
      </c>
      <c r="H335" t="s">
        <v>2748</v>
      </c>
      <c r="I335" t="s">
        <v>19</v>
      </c>
      <c r="J335" t="s">
        <v>2424</v>
      </c>
      <c r="K335" t="s">
        <v>108</v>
      </c>
      <c r="L335">
        <v>19143</v>
      </c>
      <c r="M335" t="s">
        <v>934</v>
      </c>
      <c r="N335" t="s">
        <v>33</v>
      </c>
      <c r="O335" t="s">
        <v>58</v>
      </c>
      <c r="P335" t="s">
        <v>935</v>
      </c>
      <c r="Q335">
        <f>_xlfn.XLOOKUP(Table3[[#This Row],[Product Name]],Sales!A:A,Sales!B:B)</f>
        <v>37.764000000000003</v>
      </c>
      <c r="R335">
        <f>_xlfn.XLOOKUP(Table3[[#This Row],[Product Name]],Sales!A:A,Sales!C:C)</f>
        <v>6</v>
      </c>
      <c r="S335">
        <f>_xlfn.XLOOKUP(Table3[[#This Row],[Product Name]],Sales!A:A,Sales!D:D)</f>
        <v>0.7</v>
      </c>
      <c r="T335">
        <f>_xlfn.XLOOKUP(Table3[[#This Row],[Product Name]],Sales!A:A,Sales!E:E)</f>
        <v>-27.6936</v>
      </c>
    </row>
    <row r="336" spans="1:20" x14ac:dyDescent="0.3">
      <c r="A336">
        <v>332</v>
      </c>
      <c r="B336" t="s">
        <v>936</v>
      </c>
      <c r="C336">
        <v>25</v>
      </c>
      <c r="D336">
        <v>4</v>
      </c>
      <c r="E336">
        <v>2020</v>
      </c>
      <c r="F336" t="s">
        <v>17</v>
      </c>
      <c r="G336" t="s">
        <v>937</v>
      </c>
      <c r="H336" t="s">
        <v>2749</v>
      </c>
      <c r="I336" t="s">
        <v>19</v>
      </c>
      <c r="J336" t="s">
        <v>2424</v>
      </c>
      <c r="K336" t="s">
        <v>108</v>
      </c>
      <c r="L336">
        <v>19134</v>
      </c>
      <c r="M336" t="s">
        <v>938</v>
      </c>
      <c r="N336" t="s">
        <v>54</v>
      </c>
      <c r="O336" t="s">
        <v>55</v>
      </c>
      <c r="P336" t="s">
        <v>939</v>
      </c>
      <c r="Q336">
        <f>_xlfn.XLOOKUP(Table3[[#This Row],[Product Name]],Sales!A:A,Sales!B:B)</f>
        <v>82.8</v>
      </c>
      <c r="R336">
        <f>_xlfn.XLOOKUP(Table3[[#This Row],[Product Name]],Sales!A:A,Sales!C:C)</f>
        <v>2</v>
      </c>
      <c r="S336">
        <f>_xlfn.XLOOKUP(Table3[[#This Row],[Product Name]],Sales!A:A,Sales!D:D)</f>
        <v>0.4</v>
      </c>
      <c r="T336">
        <f>_xlfn.XLOOKUP(Table3[[#This Row],[Product Name]],Sales!A:A,Sales!E:E)</f>
        <v>-20.7</v>
      </c>
    </row>
    <row r="337" spans="1:20" x14ac:dyDescent="0.3">
      <c r="A337">
        <v>333</v>
      </c>
      <c r="B337" t="s">
        <v>936</v>
      </c>
      <c r="C337">
        <v>25</v>
      </c>
      <c r="D337">
        <v>4</v>
      </c>
      <c r="E337">
        <v>2020</v>
      </c>
      <c r="F337" t="s">
        <v>17</v>
      </c>
      <c r="G337" t="s">
        <v>937</v>
      </c>
      <c r="H337" t="s">
        <v>2749</v>
      </c>
      <c r="I337" t="s">
        <v>19</v>
      </c>
      <c r="J337" t="s">
        <v>2424</v>
      </c>
      <c r="K337" t="s">
        <v>108</v>
      </c>
      <c r="L337">
        <v>19134</v>
      </c>
      <c r="M337" t="s">
        <v>940</v>
      </c>
      <c r="N337" t="s">
        <v>33</v>
      </c>
      <c r="O337" t="s">
        <v>58</v>
      </c>
      <c r="P337" t="s">
        <v>941</v>
      </c>
      <c r="Q337">
        <f>_xlfn.XLOOKUP(Table3[[#This Row],[Product Name]],Sales!A:A,Sales!B:B)</f>
        <v>20.724</v>
      </c>
      <c r="R337">
        <f>_xlfn.XLOOKUP(Table3[[#This Row],[Product Name]],Sales!A:A,Sales!C:C)</f>
        <v>2</v>
      </c>
      <c r="S337">
        <f>_xlfn.XLOOKUP(Table3[[#This Row],[Product Name]],Sales!A:A,Sales!D:D)</f>
        <v>0.7</v>
      </c>
      <c r="T337">
        <f>_xlfn.XLOOKUP(Table3[[#This Row],[Product Name]],Sales!A:A,Sales!E:E)</f>
        <v>-13.816000000000001</v>
      </c>
    </row>
    <row r="338" spans="1:20" x14ac:dyDescent="0.3">
      <c r="A338">
        <v>334</v>
      </c>
      <c r="B338" t="s">
        <v>936</v>
      </c>
      <c r="C338">
        <v>25</v>
      </c>
      <c r="D338">
        <v>4</v>
      </c>
      <c r="E338">
        <v>2020</v>
      </c>
      <c r="F338" t="s">
        <v>17</v>
      </c>
      <c r="G338" t="s">
        <v>937</v>
      </c>
      <c r="H338" t="s">
        <v>2749</v>
      </c>
      <c r="I338" t="s">
        <v>19</v>
      </c>
      <c r="J338" t="s">
        <v>2424</v>
      </c>
      <c r="K338" t="s">
        <v>108</v>
      </c>
      <c r="L338">
        <v>19134</v>
      </c>
      <c r="M338" t="s">
        <v>942</v>
      </c>
      <c r="N338" t="s">
        <v>33</v>
      </c>
      <c r="O338" t="s">
        <v>58</v>
      </c>
      <c r="P338" t="s">
        <v>943</v>
      </c>
      <c r="Q338">
        <f>_xlfn.XLOOKUP(Table3[[#This Row],[Product Name]],Sales!A:A,Sales!B:B)</f>
        <v>4.8959999999999999</v>
      </c>
      <c r="R338">
        <f>_xlfn.XLOOKUP(Table3[[#This Row],[Product Name]],Sales!A:A,Sales!C:C)</f>
        <v>3</v>
      </c>
      <c r="S338">
        <f>_xlfn.XLOOKUP(Table3[[#This Row],[Product Name]],Sales!A:A,Sales!D:D)</f>
        <v>0.7</v>
      </c>
      <c r="T338">
        <f>_xlfn.XLOOKUP(Table3[[#This Row],[Product Name]],Sales!A:A,Sales!E:E)</f>
        <v>-3.4272</v>
      </c>
    </row>
    <row r="339" spans="1:20" x14ac:dyDescent="0.3">
      <c r="A339">
        <v>335</v>
      </c>
      <c r="B339" t="s">
        <v>944</v>
      </c>
      <c r="C339">
        <v>1</v>
      </c>
      <c r="D339">
        <v>9</v>
      </c>
      <c r="E339">
        <v>2019</v>
      </c>
      <c r="F339" t="s">
        <v>17</v>
      </c>
      <c r="G339" t="s">
        <v>945</v>
      </c>
      <c r="H339" t="s">
        <v>2750</v>
      </c>
      <c r="I339" t="s">
        <v>19</v>
      </c>
      <c r="J339" t="s">
        <v>2415</v>
      </c>
      <c r="K339" t="s">
        <v>31</v>
      </c>
      <c r="L339">
        <v>90045</v>
      </c>
      <c r="M339" t="s">
        <v>946</v>
      </c>
      <c r="N339" t="s">
        <v>33</v>
      </c>
      <c r="O339" t="s">
        <v>58</v>
      </c>
      <c r="P339" t="s">
        <v>947</v>
      </c>
      <c r="Q339">
        <f>_xlfn.XLOOKUP(Table3[[#This Row],[Product Name]],Sales!A:A,Sales!B:B)</f>
        <v>4.7519999999999998</v>
      </c>
      <c r="R339">
        <f>_xlfn.XLOOKUP(Table3[[#This Row],[Product Name]],Sales!A:A,Sales!C:C)</f>
        <v>1</v>
      </c>
      <c r="S339">
        <f>_xlfn.XLOOKUP(Table3[[#This Row],[Product Name]],Sales!A:A,Sales!D:D)</f>
        <v>0.2</v>
      </c>
      <c r="T339">
        <f>_xlfn.XLOOKUP(Table3[[#This Row],[Product Name]],Sales!A:A,Sales!E:E)</f>
        <v>1.6037999999999999</v>
      </c>
    </row>
    <row r="340" spans="1:20" x14ac:dyDescent="0.3">
      <c r="A340">
        <v>336</v>
      </c>
      <c r="B340" t="s">
        <v>944</v>
      </c>
      <c r="C340">
        <v>1</v>
      </c>
      <c r="D340">
        <v>9</v>
      </c>
      <c r="E340">
        <v>2019</v>
      </c>
      <c r="F340" t="s">
        <v>17</v>
      </c>
      <c r="G340" t="s">
        <v>945</v>
      </c>
      <c r="H340" t="s">
        <v>2750</v>
      </c>
      <c r="I340" t="s">
        <v>19</v>
      </c>
      <c r="J340" t="s">
        <v>2415</v>
      </c>
      <c r="K340" t="s">
        <v>31</v>
      </c>
      <c r="L340">
        <v>90045</v>
      </c>
      <c r="M340" t="s">
        <v>948</v>
      </c>
      <c r="N340" t="s">
        <v>54</v>
      </c>
      <c r="O340" t="s">
        <v>949</v>
      </c>
      <c r="P340" t="s">
        <v>950</v>
      </c>
      <c r="Q340">
        <f>_xlfn.XLOOKUP(Table3[[#This Row],[Product Name]],Sales!A:A,Sales!B:B)</f>
        <v>959.98400000000004</v>
      </c>
      <c r="R340">
        <f>_xlfn.XLOOKUP(Table3[[#This Row],[Product Name]],Sales!A:A,Sales!C:C)</f>
        <v>2</v>
      </c>
      <c r="S340">
        <f>_xlfn.XLOOKUP(Table3[[#This Row],[Product Name]],Sales!A:A,Sales!D:D)</f>
        <v>0.2</v>
      </c>
      <c r="T340">
        <f>_xlfn.XLOOKUP(Table3[[#This Row],[Product Name]],Sales!A:A,Sales!E:E)</f>
        <v>335.99439999999998</v>
      </c>
    </row>
    <row r="341" spans="1:20" x14ac:dyDescent="0.3">
      <c r="A341">
        <v>337</v>
      </c>
      <c r="B341" t="s">
        <v>944</v>
      </c>
      <c r="C341">
        <v>1</v>
      </c>
      <c r="D341">
        <v>9</v>
      </c>
      <c r="E341">
        <v>2019</v>
      </c>
      <c r="F341" t="s">
        <v>17</v>
      </c>
      <c r="G341" t="s">
        <v>945</v>
      </c>
      <c r="H341" t="s">
        <v>2750</v>
      </c>
      <c r="I341" t="s">
        <v>19</v>
      </c>
      <c r="J341" t="s">
        <v>2415</v>
      </c>
      <c r="K341" t="s">
        <v>31</v>
      </c>
      <c r="L341">
        <v>90045</v>
      </c>
      <c r="M341" t="s">
        <v>951</v>
      </c>
      <c r="N341" t="s">
        <v>33</v>
      </c>
      <c r="O341" t="s">
        <v>58</v>
      </c>
      <c r="P341" t="s">
        <v>952</v>
      </c>
      <c r="Q341">
        <f>_xlfn.XLOOKUP(Table3[[#This Row],[Product Name]],Sales!A:A,Sales!B:B)</f>
        <v>14.368</v>
      </c>
      <c r="R341">
        <f>_xlfn.XLOOKUP(Table3[[#This Row],[Product Name]],Sales!A:A,Sales!C:C)</f>
        <v>4</v>
      </c>
      <c r="S341">
        <f>_xlfn.XLOOKUP(Table3[[#This Row],[Product Name]],Sales!A:A,Sales!D:D)</f>
        <v>0.2</v>
      </c>
      <c r="T341">
        <f>_xlfn.XLOOKUP(Table3[[#This Row],[Product Name]],Sales!A:A,Sales!E:E)</f>
        <v>4.49</v>
      </c>
    </row>
    <row r="342" spans="1:20" x14ac:dyDescent="0.3">
      <c r="A342">
        <v>338</v>
      </c>
      <c r="B342" t="s">
        <v>953</v>
      </c>
      <c r="C342">
        <v>12</v>
      </c>
      <c r="D342">
        <v>7</v>
      </c>
      <c r="E342">
        <v>2018</v>
      </c>
      <c r="F342" t="s">
        <v>37</v>
      </c>
      <c r="G342" t="s">
        <v>954</v>
      </c>
      <c r="H342" t="s">
        <v>2751</v>
      </c>
      <c r="I342" t="s">
        <v>30</v>
      </c>
      <c r="J342" t="s">
        <v>2422</v>
      </c>
      <c r="K342" t="s">
        <v>31</v>
      </c>
      <c r="L342">
        <v>94122</v>
      </c>
      <c r="M342" t="s">
        <v>955</v>
      </c>
      <c r="N342" t="s">
        <v>33</v>
      </c>
      <c r="O342" t="s">
        <v>58</v>
      </c>
      <c r="P342" t="s">
        <v>956</v>
      </c>
      <c r="Q342">
        <f>_xlfn.XLOOKUP(Table3[[#This Row],[Product Name]],Sales!A:A,Sales!B:B)</f>
        <v>7.7119999999999997</v>
      </c>
      <c r="R342">
        <f>_xlfn.XLOOKUP(Table3[[#This Row],[Product Name]],Sales!A:A,Sales!C:C)</f>
        <v>2</v>
      </c>
      <c r="S342">
        <f>_xlfn.XLOOKUP(Table3[[#This Row],[Product Name]],Sales!A:A,Sales!D:D)</f>
        <v>0.2</v>
      </c>
      <c r="T342">
        <f>_xlfn.XLOOKUP(Table3[[#This Row],[Product Name]],Sales!A:A,Sales!E:E)</f>
        <v>2.7955999999999999</v>
      </c>
    </row>
    <row r="343" spans="1:20" x14ac:dyDescent="0.3">
      <c r="A343">
        <v>339</v>
      </c>
      <c r="B343" t="s">
        <v>953</v>
      </c>
      <c r="C343">
        <v>12</v>
      </c>
      <c r="D343">
        <v>7</v>
      </c>
      <c r="E343">
        <v>2018</v>
      </c>
      <c r="F343" t="s">
        <v>37</v>
      </c>
      <c r="G343" t="s">
        <v>954</v>
      </c>
      <c r="H343" t="s">
        <v>2751</v>
      </c>
      <c r="I343" t="s">
        <v>30</v>
      </c>
      <c r="J343" t="s">
        <v>2422</v>
      </c>
      <c r="K343" t="s">
        <v>31</v>
      </c>
      <c r="L343">
        <v>94122</v>
      </c>
      <c r="M343" t="s">
        <v>957</v>
      </c>
      <c r="N343" t="s">
        <v>22</v>
      </c>
      <c r="O343" t="s">
        <v>40</v>
      </c>
      <c r="P343" t="s">
        <v>958</v>
      </c>
      <c r="Q343">
        <f>_xlfn.XLOOKUP(Table3[[#This Row],[Product Name]],Sales!A:A,Sales!B:B)</f>
        <v>698.35199999999998</v>
      </c>
      <c r="R343">
        <f>_xlfn.XLOOKUP(Table3[[#This Row],[Product Name]],Sales!A:A,Sales!C:C)</f>
        <v>3</v>
      </c>
      <c r="S343">
        <f>_xlfn.XLOOKUP(Table3[[#This Row],[Product Name]],Sales!A:A,Sales!D:D)</f>
        <v>0.2</v>
      </c>
      <c r="T343">
        <f>_xlfn.XLOOKUP(Table3[[#This Row],[Product Name]],Sales!A:A,Sales!E:E)</f>
        <v>-17.4588</v>
      </c>
    </row>
    <row r="344" spans="1:20" x14ac:dyDescent="0.3">
      <c r="A344">
        <v>340</v>
      </c>
      <c r="B344" t="s">
        <v>959</v>
      </c>
      <c r="C344">
        <v>22</v>
      </c>
      <c r="D344">
        <v>6</v>
      </c>
      <c r="E344">
        <v>2019</v>
      </c>
      <c r="F344" t="s">
        <v>17</v>
      </c>
      <c r="G344" t="s">
        <v>701</v>
      </c>
      <c r="H344" t="s">
        <v>2717</v>
      </c>
      <c r="I344" t="s">
        <v>19</v>
      </c>
      <c r="J344" t="s">
        <v>2506</v>
      </c>
      <c r="K344" t="s">
        <v>31</v>
      </c>
      <c r="L344">
        <v>84041</v>
      </c>
      <c r="M344" t="s">
        <v>960</v>
      </c>
      <c r="N344" t="s">
        <v>33</v>
      </c>
      <c r="O344" t="s">
        <v>199</v>
      </c>
      <c r="P344" t="s">
        <v>961</v>
      </c>
      <c r="Q344">
        <f>_xlfn.XLOOKUP(Table3[[#This Row],[Product Name]],Sales!A:A,Sales!B:B)</f>
        <v>4.96</v>
      </c>
      <c r="R344">
        <f>_xlfn.XLOOKUP(Table3[[#This Row],[Product Name]],Sales!A:A,Sales!C:C)</f>
        <v>4</v>
      </c>
      <c r="S344">
        <f>_xlfn.XLOOKUP(Table3[[#This Row],[Product Name]],Sales!A:A,Sales!D:D)</f>
        <v>0</v>
      </c>
      <c r="T344">
        <f>_xlfn.XLOOKUP(Table3[[#This Row],[Product Name]],Sales!A:A,Sales!E:E)</f>
        <v>2.3311999999999999</v>
      </c>
    </row>
    <row r="345" spans="1:20" x14ac:dyDescent="0.3">
      <c r="A345">
        <v>341</v>
      </c>
      <c r="B345" t="s">
        <v>962</v>
      </c>
      <c r="C345">
        <v>13</v>
      </c>
      <c r="D345">
        <v>4</v>
      </c>
      <c r="E345">
        <v>2018</v>
      </c>
      <c r="F345" t="s">
        <v>17</v>
      </c>
      <c r="G345" t="s">
        <v>441</v>
      </c>
      <c r="H345" t="s">
        <v>2673</v>
      </c>
      <c r="I345" t="s">
        <v>30</v>
      </c>
      <c r="J345" t="s">
        <v>2424</v>
      </c>
      <c r="K345" t="s">
        <v>108</v>
      </c>
      <c r="L345">
        <v>19140</v>
      </c>
      <c r="M345" t="s">
        <v>963</v>
      </c>
      <c r="N345" t="s">
        <v>33</v>
      </c>
      <c r="O345" t="s">
        <v>51</v>
      </c>
      <c r="P345" t="s">
        <v>964</v>
      </c>
      <c r="Q345">
        <f>_xlfn.XLOOKUP(Table3[[#This Row],[Product Name]],Sales!A:A,Sales!B:B)</f>
        <v>17.856000000000002</v>
      </c>
      <c r="R345">
        <f>_xlfn.XLOOKUP(Table3[[#This Row],[Product Name]],Sales!A:A,Sales!C:C)</f>
        <v>4</v>
      </c>
      <c r="S345">
        <f>_xlfn.XLOOKUP(Table3[[#This Row],[Product Name]],Sales!A:A,Sales!D:D)</f>
        <v>0.2</v>
      </c>
      <c r="T345">
        <f>_xlfn.XLOOKUP(Table3[[#This Row],[Product Name]],Sales!A:A,Sales!E:E)</f>
        <v>1.1160000000000001</v>
      </c>
    </row>
    <row r="346" spans="1:20" x14ac:dyDescent="0.3">
      <c r="A346">
        <v>342</v>
      </c>
      <c r="B346" t="s">
        <v>962</v>
      </c>
      <c r="C346">
        <v>13</v>
      </c>
      <c r="D346">
        <v>4</v>
      </c>
      <c r="E346">
        <v>2018</v>
      </c>
      <c r="F346" t="s">
        <v>17</v>
      </c>
      <c r="G346" t="s">
        <v>441</v>
      </c>
      <c r="H346" t="s">
        <v>2673</v>
      </c>
      <c r="I346" t="s">
        <v>30</v>
      </c>
      <c r="J346" t="s">
        <v>2424</v>
      </c>
      <c r="K346" t="s">
        <v>108</v>
      </c>
      <c r="L346">
        <v>19140</v>
      </c>
      <c r="M346" t="s">
        <v>74</v>
      </c>
      <c r="N346" t="s">
        <v>33</v>
      </c>
      <c r="O346" t="s">
        <v>58</v>
      </c>
      <c r="P346" t="s">
        <v>75</v>
      </c>
      <c r="Q346">
        <f>_xlfn.XLOOKUP(Table3[[#This Row],[Product Name]],Sales!A:A,Sales!B:B)</f>
        <v>407.976</v>
      </c>
      <c r="R346">
        <f>_xlfn.XLOOKUP(Table3[[#This Row],[Product Name]],Sales!A:A,Sales!C:C)</f>
        <v>3</v>
      </c>
      <c r="S346">
        <f>_xlfn.XLOOKUP(Table3[[#This Row],[Product Name]],Sales!A:A,Sales!D:D)</f>
        <v>0.2</v>
      </c>
      <c r="T346">
        <f>_xlfn.XLOOKUP(Table3[[#This Row],[Product Name]],Sales!A:A,Sales!E:E)</f>
        <v>132.59219999999999</v>
      </c>
    </row>
    <row r="347" spans="1:20" x14ac:dyDescent="0.3">
      <c r="A347">
        <v>343</v>
      </c>
      <c r="B347" t="s">
        <v>962</v>
      </c>
      <c r="C347">
        <v>13</v>
      </c>
      <c r="D347">
        <v>4</v>
      </c>
      <c r="E347">
        <v>2018</v>
      </c>
      <c r="F347" t="s">
        <v>17</v>
      </c>
      <c r="G347" t="s">
        <v>441</v>
      </c>
      <c r="H347" t="s">
        <v>2673</v>
      </c>
      <c r="I347" t="s">
        <v>30</v>
      </c>
      <c r="J347" t="s">
        <v>2424</v>
      </c>
      <c r="K347" t="s">
        <v>108</v>
      </c>
      <c r="L347">
        <v>19140</v>
      </c>
      <c r="M347" t="s">
        <v>423</v>
      </c>
      <c r="N347" t="s">
        <v>33</v>
      </c>
      <c r="O347" t="s">
        <v>199</v>
      </c>
      <c r="P347" t="s">
        <v>424</v>
      </c>
      <c r="Q347">
        <f>_xlfn.XLOOKUP(Table3[[#This Row],[Product Name]],Sales!A:A,Sales!B:B)</f>
        <v>21.456</v>
      </c>
      <c r="R347">
        <f>_xlfn.XLOOKUP(Table3[[#This Row],[Product Name]],Sales!A:A,Sales!C:C)</f>
        <v>9</v>
      </c>
      <c r="S347">
        <f>_xlfn.XLOOKUP(Table3[[#This Row],[Product Name]],Sales!A:A,Sales!D:D)</f>
        <v>0.2</v>
      </c>
      <c r="T347">
        <f>_xlfn.XLOOKUP(Table3[[#This Row],[Product Name]],Sales!A:A,Sales!E:E)</f>
        <v>6.9732000000000003</v>
      </c>
    </row>
    <row r="348" spans="1:20" x14ac:dyDescent="0.3">
      <c r="A348">
        <v>344</v>
      </c>
      <c r="B348" t="s">
        <v>962</v>
      </c>
      <c r="C348">
        <v>13</v>
      </c>
      <c r="D348">
        <v>4</v>
      </c>
      <c r="E348">
        <v>2018</v>
      </c>
      <c r="F348" t="s">
        <v>17</v>
      </c>
      <c r="G348" t="s">
        <v>441</v>
      </c>
      <c r="H348" t="s">
        <v>2673</v>
      </c>
      <c r="I348" t="s">
        <v>30</v>
      </c>
      <c r="J348" t="s">
        <v>2424</v>
      </c>
      <c r="K348" t="s">
        <v>108</v>
      </c>
      <c r="L348">
        <v>19140</v>
      </c>
      <c r="M348" t="s">
        <v>965</v>
      </c>
      <c r="N348" t="s">
        <v>54</v>
      </c>
      <c r="O348" t="s">
        <v>55</v>
      </c>
      <c r="P348" t="s">
        <v>966</v>
      </c>
      <c r="Q348">
        <f>_xlfn.XLOOKUP(Table3[[#This Row],[Product Name]],Sales!A:A,Sales!B:B)</f>
        <v>71.927999999999997</v>
      </c>
      <c r="R348">
        <f>_xlfn.XLOOKUP(Table3[[#This Row],[Product Name]],Sales!A:A,Sales!C:C)</f>
        <v>12</v>
      </c>
      <c r="S348">
        <f>_xlfn.XLOOKUP(Table3[[#This Row],[Product Name]],Sales!A:A,Sales!D:D)</f>
        <v>0.4</v>
      </c>
      <c r="T348">
        <f>_xlfn.XLOOKUP(Table3[[#This Row],[Product Name]],Sales!A:A,Sales!E:E)</f>
        <v>8.3916000000000004</v>
      </c>
    </row>
    <row r="349" spans="1:20" x14ac:dyDescent="0.3">
      <c r="A349">
        <v>345</v>
      </c>
      <c r="B349" t="s">
        <v>967</v>
      </c>
      <c r="C349">
        <v>20</v>
      </c>
      <c r="D349">
        <v>12</v>
      </c>
      <c r="E349">
        <v>2019</v>
      </c>
      <c r="F349" t="s">
        <v>37</v>
      </c>
      <c r="G349" t="s">
        <v>528</v>
      </c>
      <c r="H349" t="s">
        <v>2689</v>
      </c>
      <c r="I349" t="s">
        <v>19</v>
      </c>
      <c r="J349" t="s">
        <v>2507</v>
      </c>
      <c r="K349" t="s">
        <v>79</v>
      </c>
      <c r="L349">
        <v>78745</v>
      </c>
      <c r="M349" t="s">
        <v>90</v>
      </c>
      <c r="N349" t="s">
        <v>33</v>
      </c>
      <c r="O349" t="s">
        <v>43</v>
      </c>
      <c r="P349" t="s">
        <v>91</v>
      </c>
      <c r="Q349">
        <f>_xlfn.XLOOKUP(Table3[[#This Row],[Product Name]],Sales!A:A,Sales!B:B)</f>
        <v>55.5</v>
      </c>
      <c r="R349">
        <f>_xlfn.XLOOKUP(Table3[[#This Row],[Product Name]],Sales!A:A,Sales!C:C)</f>
        <v>2</v>
      </c>
      <c r="S349">
        <f>_xlfn.XLOOKUP(Table3[[#This Row],[Product Name]],Sales!A:A,Sales!D:D)</f>
        <v>0</v>
      </c>
      <c r="T349">
        <f>_xlfn.XLOOKUP(Table3[[#This Row],[Product Name]],Sales!A:A,Sales!E:E)</f>
        <v>9.99</v>
      </c>
    </row>
    <row r="350" spans="1:20" x14ac:dyDescent="0.3">
      <c r="A350">
        <v>346</v>
      </c>
      <c r="B350" t="s">
        <v>968</v>
      </c>
      <c r="C350">
        <v>15</v>
      </c>
      <c r="D350">
        <v>6</v>
      </c>
      <c r="E350">
        <v>2021</v>
      </c>
      <c r="F350" t="s">
        <v>37</v>
      </c>
      <c r="G350" t="s">
        <v>969</v>
      </c>
      <c r="H350" t="s">
        <v>2752</v>
      </c>
      <c r="I350" t="s">
        <v>19</v>
      </c>
      <c r="J350" t="s">
        <v>2422</v>
      </c>
      <c r="K350" t="s">
        <v>31</v>
      </c>
      <c r="L350">
        <v>94122</v>
      </c>
      <c r="M350" t="s">
        <v>419</v>
      </c>
      <c r="N350" t="s">
        <v>54</v>
      </c>
      <c r="O350" t="s">
        <v>55</v>
      </c>
      <c r="P350" t="s">
        <v>420</v>
      </c>
      <c r="Q350">
        <f>_xlfn.XLOOKUP(Table3[[#This Row],[Product Name]],Sales!A:A,Sales!B:B)</f>
        <v>59.97</v>
      </c>
      <c r="R350">
        <f>_xlfn.XLOOKUP(Table3[[#This Row],[Product Name]],Sales!A:A,Sales!C:C)</f>
        <v>5</v>
      </c>
      <c r="S350">
        <f>_xlfn.XLOOKUP(Table3[[#This Row],[Product Name]],Sales!A:A,Sales!D:D)</f>
        <v>0.4</v>
      </c>
      <c r="T350">
        <f>_xlfn.XLOOKUP(Table3[[#This Row],[Product Name]],Sales!A:A,Sales!E:E)</f>
        <v>-11.994</v>
      </c>
    </row>
    <row r="351" spans="1:20" x14ac:dyDescent="0.3">
      <c r="A351">
        <v>347</v>
      </c>
      <c r="B351" t="s">
        <v>970</v>
      </c>
      <c r="C351">
        <v>8</v>
      </c>
      <c r="D351">
        <v>7</v>
      </c>
      <c r="E351">
        <v>2021</v>
      </c>
      <c r="F351" t="s">
        <v>37</v>
      </c>
      <c r="G351" t="s">
        <v>971</v>
      </c>
      <c r="H351" t="s">
        <v>2753</v>
      </c>
      <c r="I351" t="s">
        <v>19</v>
      </c>
      <c r="J351" t="s">
        <v>2508</v>
      </c>
      <c r="K351" t="s">
        <v>108</v>
      </c>
      <c r="L351">
        <v>1852</v>
      </c>
      <c r="M351" t="s">
        <v>596</v>
      </c>
      <c r="N351" t="s">
        <v>33</v>
      </c>
      <c r="O351" t="s">
        <v>51</v>
      </c>
      <c r="P351" t="s">
        <v>597</v>
      </c>
      <c r="Q351">
        <f>_xlfn.XLOOKUP(Table3[[#This Row],[Product Name]],Sales!A:A,Sales!B:B)</f>
        <v>6.048</v>
      </c>
      <c r="R351">
        <f>_xlfn.XLOOKUP(Table3[[#This Row],[Product Name]],Sales!A:A,Sales!C:C)</f>
        <v>3</v>
      </c>
      <c r="S351">
        <f>_xlfn.XLOOKUP(Table3[[#This Row],[Product Name]],Sales!A:A,Sales!D:D)</f>
        <v>0.2</v>
      </c>
      <c r="T351">
        <f>_xlfn.XLOOKUP(Table3[[#This Row],[Product Name]],Sales!A:A,Sales!E:E)</f>
        <v>1.5875999999999999</v>
      </c>
    </row>
    <row r="352" spans="1:20" x14ac:dyDescent="0.3">
      <c r="A352">
        <v>348</v>
      </c>
      <c r="B352" t="s">
        <v>970</v>
      </c>
      <c r="C352">
        <v>8</v>
      </c>
      <c r="D352">
        <v>7</v>
      </c>
      <c r="E352">
        <v>2021</v>
      </c>
      <c r="F352" t="s">
        <v>37</v>
      </c>
      <c r="G352" t="s">
        <v>971</v>
      </c>
      <c r="H352" t="s">
        <v>2753</v>
      </c>
      <c r="I352" t="s">
        <v>19</v>
      </c>
      <c r="J352" t="s">
        <v>2508</v>
      </c>
      <c r="K352" t="s">
        <v>108</v>
      </c>
      <c r="L352">
        <v>1852</v>
      </c>
      <c r="M352" t="s">
        <v>139</v>
      </c>
      <c r="N352" t="s">
        <v>33</v>
      </c>
      <c r="O352" t="s">
        <v>70</v>
      </c>
      <c r="P352" t="s">
        <v>140</v>
      </c>
      <c r="Q352">
        <f>_xlfn.XLOOKUP(Table3[[#This Row],[Product Name]],Sales!A:A,Sales!B:B)</f>
        <v>29.472000000000001</v>
      </c>
      <c r="R352">
        <f>_xlfn.XLOOKUP(Table3[[#This Row],[Product Name]],Sales!A:A,Sales!C:C)</f>
        <v>3</v>
      </c>
      <c r="S352">
        <f>_xlfn.XLOOKUP(Table3[[#This Row],[Product Name]],Sales!A:A,Sales!D:D)</f>
        <v>0.2</v>
      </c>
      <c r="T352">
        <f>_xlfn.XLOOKUP(Table3[[#This Row],[Product Name]],Sales!A:A,Sales!E:E)</f>
        <v>9.9467999999999996</v>
      </c>
    </row>
    <row r="353" spans="1:20" x14ac:dyDescent="0.3">
      <c r="A353">
        <v>349</v>
      </c>
      <c r="B353" t="s">
        <v>970</v>
      </c>
      <c r="C353">
        <v>8</v>
      </c>
      <c r="D353">
        <v>7</v>
      </c>
      <c r="E353">
        <v>2021</v>
      </c>
      <c r="F353" t="s">
        <v>37</v>
      </c>
      <c r="G353" t="s">
        <v>971</v>
      </c>
      <c r="H353" t="s">
        <v>2753</v>
      </c>
      <c r="I353" t="s">
        <v>19</v>
      </c>
      <c r="J353" t="s">
        <v>2508</v>
      </c>
      <c r="K353" t="s">
        <v>108</v>
      </c>
      <c r="L353">
        <v>1852</v>
      </c>
      <c r="M353" t="s">
        <v>972</v>
      </c>
      <c r="N353" t="s">
        <v>33</v>
      </c>
      <c r="O353" t="s">
        <v>51</v>
      </c>
      <c r="P353" t="s">
        <v>973</v>
      </c>
      <c r="Q353">
        <f>_xlfn.XLOOKUP(Table3[[#This Row],[Product Name]],Sales!A:A,Sales!B:B)</f>
        <v>12.96</v>
      </c>
      <c r="R353">
        <f>_xlfn.XLOOKUP(Table3[[#This Row],[Product Name]],Sales!A:A,Sales!C:C)</f>
        <v>2</v>
      </c>
      <c r="S353">
        <f>_xlfn.XLOOKUP(Table3[[#This Row],[Product Name]],Sales!A:A,Sales!D:D)</f>
        <v>0</v>
      </c>
      <c r="T353">
        <f>_xlfn.XLOOKUP(Table3[[#This Row],[Product Name]],Sales!A:A,Sales!E:E)</f>
        <v>4.1471999999999998</v>
      </c>
    </row>
    <row r="354" spans="1:20" x14ac:dyDescent="0.3">
      <c r="A354">
        <v>350</v>
      </c>
      <c r="B354" t="s">
        <v>974</v>
      </c>
      <c r="C354">
        <v>1</v>
      </c>
      <c r="D354">
        <v>9</v>
      </c>
      <c r="E354">
        <v>2020</v>
      </c>
      <c r="F354" t="s">
        <v>142</v>
      </c>
      <c r="G354" t="s">
        <v>975</v>
      </c>
      <c r="H354" t="s">
        <v>2754</v>
      </c>
      <c r="I354" t="s">
        <v>78</v>
      </c>
      <c r="J354" t="s">
        <v>2434</v>
      </c>
      <c r="K354" t="s">
        <v>108</v>
      </c>
      <c r="L354">
        <v>10009</v>
      </c>
      <c r="M354" t="s">
        <v>744</v>
      </c>
      <c r="N354" t="s">
        <v>54</v>
      </c>
      <c r="O354" t="s">
        <v>118</v>
      </c>
      <c r="P354" t="s">
        <v>745</v>
      </c>
      <c r="Q354">
        <f>_xlfn.XLOOKUP(Table3[[#This Row],[Product Name]],Sales!A:A,Sales!B:B)</f>
        <v>20.37</v>
      </c>
      <c r="R354">
        <f>_xlfn.XLOOKUP(Table3[[#This Row],[Product Name]],Sales!A:A,Sales!C:C)</f>
        <v>3</v>
      </c>
      <c r="S354">
        <f>_xlfn.XLOOKUP(Table3[[#This Row],[Product Name]],Sales!A:A,Sales!D:D)</f>
        <v>0</v>
      </c>
      <c r="T354">
        <f>_xlfn.XLOOKUP(Table3[[#This Row],[Product Name]],Sales!A:A,Sales!E:E)</f>
        <v>6.9257999999999997</v>
      </c>
    </row>
    <row r="355" spans="1:20" x14ac:dyDescent="0.3">
      <c r="A355">
        <v>351</v>
      </c>
      <c r="B355" t="s">
        <v>974</v>
      </c>
      <c r="C355">
        <v>1</v>
      </c>
      <c r="D355">
        <v>9</v>
      </c>
      <c r="E355">
        <v>2020</v>
      </c>
      <c r="F355" t="s">
        <v>142</v>
      </c>
      <c r="G355" t="s">
        <v>975</v>
      </c>
      <c r="H355" t="s">
        <v>2754</v>
      </c>
      <c r="I355" t="s">
        <v>78</v>
      </c>
      <c r="J355" t="s">
        <v>2434</v>
      </c>
      <c r="K355" t="s">
        <v>108</v>
      </c>
      <c r="L355">
        <v>10009</v>
      </c>
      <c r="M355" t="s">
        <v>976</v>
      </c>
      <c r="N355" t="s">
        <v>33</v>
      </c>
      <c r="O355" t="s">
        <v>70</v>
      </c>
      <c r="P355" t="s">
        <v>977</v>
      </c>
      <c r="Q355">
        <f>_xlfn.XLOOKUP(Table3[[#This Row],[Product Name]],Sales!A:A,Sales!B:B)</f>
        <v>24.56</v>
      </c>
      <c r="R355">
        <f>_xlfn.XLOOKUP(Table3[[#This Row],[Product Name]],Sales!A:A,Sales!C:C)</f>
        <v>2</v>
      </c>
      <c r="S355">
        <f>_xlfn.XLOOKUP(Table3[[#This Row],[Product Name]],Sales!A:A,Sales!D:D)</f>
        <v>0</v>
      </c>
      <c r="T355">
        <f>_xlfn.XLOOKUP(Table3[[#This Row],[Product Name]],Sales!A:A,Sales!E:E)</f>
        <v>11.543200000000001</v>
      </c>
    </row>
    <row r="356" spans="1:20" x14ac:dyDescent="0.3">
      <c r="A356">
        <v>352</v>
      </c>
      <c r="B356" t="s">
        <v>974</v>
      </c>
      <c r="C356">
        <v>1</v>
      </c>
      <c r="D356">
        <v>9</v>
      </c>
      <c r="E356">
        <v>2020</v>
      </c>
      <c r="F356" t="s">
        <v>142</v>
      </c>
      <c r="G356" t="s">
        <v>975</v>
      </c>
      <c r="H356" t="s">
        <v>2754</v>
      </c>
      <c r="I356" t="s">
        <v>78</v>
      </c>
      <c r="J356" t="s">
        <v>2434</v>
      </c>
      <c r="K356" t="s">
        <v>108</v>
      </c>
      <c r="L356">
        <v>10009</v>
      </c>
      <c r="M356" t="s">
        <v>978</v>
      </c>
      <c r="N356" t="s">
        <v>33</v>
      </c>
      <c r="O356" t="s">
        <v>58</v>
      </c>
      <c r="P356" t="s">
        <v>979</v>
      </c>
      <c r="Q356">
        <f>_xlfn.XLOOKUP(Table3[[#This Row],[Product Name]],Sales!A:A,Sales!B:B)</f>
        <v>3.048</v>
      </c>
      <c r="R356">
        <f>_xlfn.XLOOKUP(Table3[[#This Row],[Product Name]],Sales!A:A,Sales!C:C)</f>
        <v>1</v>
      </c>
      <c r="S356">
        <f>_xlfn.XLOOKUP(Table3[[#This Row],[Product Name]],Sales!A:A,Sales!D:D)</f>
        <v>0.2</v>
      </c>
      <c r="T356">
        <f>_xlfn.XLOOKUP(Table3[[#This Row],[Product Name]],Sales!A:A,Sales!E:E)</f>
        <v>1.0668</v>
      </c>
    </row>
    <row r="357" spans="1:20" x14ac:dyDescent="0.3">
      <c r="A357">
        <v>353</v>
      </c>
      <c r="B357" t="s">
        <v>974</v>
      </c>
      <c r="C357">
        <v>1</v>
      </c>
      <c r="D357">
        <v>9</v>
      </c>
      <c r="E357">
        <v>2020</v>
      </c>
      <c r="F357" t="s">
        <v>142</v>
      </c>
      <c r="G357" t="s">
        <v>975</v>
      </c>
      <c r="H357" t="s">
        <v>2754</v>
      </c>
      <c r="I357" t="s">
        <v>78</v>
      </c>
      <c r="J357" t="s">
        <v>2434</v>
      </c>
      <c r="K357" t="s">
        <v>108</v>
      </c>
      <c r="L357">
        <v>10009</v>
      </c>
      <c r="M357" t="s">
        <v>976</v>
      </c>
      <c r="N357" t="s">
        <v>33</v>
      </c>
      <c r="O357" t="s">
        <v>70</v>
      </c>
      <c r="P357" t="s">
        <v>977</v>
      </c>
      <c r="Q357">
        <f>_xlfn.XLOOKUP(Table3[[#This Row],[Product Name]],Sales!A:A,Sales!B:B)</f>
        <v>24.56</v>
      </c>
      <c r="R357">
        <f>_xlfn.XLOOKUP(Table3[[#This Row],[Product Name]],Sales!A:A,Sales!C:C)</f>
        <v>2</v>
      </c>
      <c r="S357">
        <f>_xlfn.XLOOKUP(Table3[[#This Row],[Product Name]],Sales!A:A,Sales!D:D)</f>
        <v>0</v>
      </c>
      <c r="T357">
        <f>_xlfn.XLOOKUP(Table3[[#This Row],[Product Name]],Sales!A:A,Sales!E:E)</f>
        <v>11.543200000000001</v>
      </c>
    </row>
    <row r="358" spans="1:20" x14ac:dyDescent="0.3">
      <c r="A358">
        <v>354</v>
      </c>
      <c r="B358" t="s">
        <v>974</v>
      </c>
      <c r="C358">
        <v>1</v>
      </c>
      <c r="D358">
        <v>9</v>
      </c>
      <c r="E358">
        <v>2020</v>
      </c>
      <c r="F358" t="s">
        <v>142</v>
      </c>
      <c r="G358" t="s">
        <v>975</v>
      </c>
      <c r="H358" t="s">
        <v>2754</v>
      </c>
      <c r="I358" t="s">
        <v>78</v>
      </c>
      <c r="J358" t="s">
        <v>2434</v>
      </c>
      <c r="K358" t="s">
        <v>108</v>
      </c>
      <c r="L358">
        <v>10009</v>
      </c>
      <c r="M358" t="s">
        <v>980</v>
      </c>
      <c r="N358" t="s">
        <v>33</v>
      </c>
      <c r="O358" t="s">
        <v>58</v>
      </c>
      <c r="P358" t="s">
        <v>981</v>
      </c>
      <c r="Q358">
        <f>_xlfn.XLOOKUP(Table3[[#This Row],[Product Name]],Sales!A:A,Sales!B:B)</f>
        <v>4355.1679999999997</v>
      </c>
      <c r="R358">
        <f>_xlfn.XLOOKUP(Table3[[#This Row],[Product Name]],Sales!A:A,Sales!C:C)</f>
        <v>4</v>
      </c>
      <c r="S358">
        <f>_xlfn.XLOOKUP(Table3[[#This Row],[Product Name]],Sales!A:A,Sales!D:D)</f>
        <v>0.2</v>
      </c>
      <c r="T358">
        <f>_xlfn.XLOOKUP(Table3[[#This Row],[Product Name]],Sales!A:A,Sales!E:E)</f>
        <v>1415.4295999999999</v>
      </c>
    </row>
    <row r="359" spans="1:20" x14ac:dyDescent="0.3">
      <c r="A359">
        <v>355</v>
      </c>
      <c r="B359" t="s">
        <v>982</v>
      </c>
      <c r="C359">
        <v>8</v>
      </c>
      <c r="D359">
        <v>4</v>
      </c>
      <c r="E359">
        <v>2020</v>
      </c>
      <c r="F359" t="s">
        <v>37</v>
      </c>
      <c r="G359" t="s">
        <v>983</v>
      </c>
      <c r="H359" t="s">
        <v>2755</v>
      </c>
      <c r="I359" t="s">
        <v>19</v>
      </c>
      <c r="J359" t="s">
        <v>2434</v>
      </c>
      <c r="K359" t="s">
        <v>108</v>
      </c>
      <c r="L359">
        <v>10035</v>
      </c>
      <c r="M359" t="s">
        <v>984</v>
      </c>
      <c r="N359" t="s">
        <v>22</v>
      </c>
      <c r="O359" t="s">
        <v>23</v>
      </c>
      <c r="P359" t="s">
        <v>985</v>
      </c>
      <c r="Q359">
        <f>_xlfn.XLOOKUP(Table3[[#This Row],[Product Name]],Sales!A:A,Sales!B:B)</f>
        <v>388.70400000000001</v>
      </c>
      <c r="R359">
        <f>_xlfn.XLOOKUP(Table3[[#This Row],[Product Name]],Sales!A:A,Sales!C:C)</f>
        <v>6</v>
      </c>
      <c r="S359">
        <f>_xlfn.XLOOKUP(Table3[[#This Row],[Product Name]],Sales!A:A,Sales!D:D)</f>
        <v>0.2</v>
      </c>
      <c r="T359">
        <f>_xlfn.XLOOKUP(Table3[[#This Row],[Product Name]],Sales!A:A,Sales!E:E)</f>
        <v>-4.8587999999999996</v>
      </c>
    </row>
    <row r="360" spans="1:20" x14ac:dyDescent="0.3">
      <c r="A360">
        <v>356</v>
      </c>
      <c r="B360" t="s">
        <v>982</v>
      </c>
      <c r="C360">
        <v>8</v>
      </c>
      <c r="D360">
        <v>4</v>
      </c>
      <c r="E360">
        <v>2020</v>
      </c>
      <c r="F360" t="s">
        <v>37</v>
      </c>
      <c r="G360" t="s">
        <v>983</v>
      </c>
      <c r="H360" t="s">
        <v>2755</v>
      </c>
      <c r="I360" t="s">
        <v>19</v>
      </c>
      <c r="J360" t="s">
        <v>2434</v>
      </c>
      <c r="K360" t="s">
        <v>108</v>
      </c>
      <c r="L360">
        <v>10035</v>
      </c>
      <c r="M360" t="s">
        <v>986</v>
      </c>
      <c r="N360" t="s">
        <v>33</v>
      </c>
      <c r="O360" t="s">
        <v>129</v>
      </c>
      <c r="P360" t="s">
        <v>987</v>
      </c>
      <c r="Q360">
        <f>_xlfn.XLOOKUP(Table3[[#This Row],[Product Name]],Sales!A:A,Sales!B:B)</f>
        <v>8.26</v>
      </c>
      <c r="R360">
        <f>_xlfn.XLOOKUP(Table3[[#This Row],[Product Name]],Sales!A:A,Sales!C:C)</f>
        <v>2</v>
      </c>
      <c r="S360">
        <f>_xlfn.XLOOKUP(Table3[[#This Row],[Product Name]],Sales!A:A,Sales!D:D)</f>
        <v>0</v>
      </c>
      <c r="T360">
        <f>_xlfn.XLOOKUP(Table3[[#This Row],[Product Name]],Sales!A:A,Sales!E:E)</f>
        <v>3.7995999999999999</v>
      </c>
    </row>
    <row r="361" spans="1:20" x14ac:dyDescent="0.3">
      <c r="A361">
        <v>357</v>
      </c>
      <c r="B361" t="s">
        <v>982</v>
      </c>
      <c r="C361">
        <v>8</v>
      </c>
      <c r="D361">
        <v>4</v>
      </c>
      <c r="E361">
        <v>2020</v>
      </c>
      <c r="F361" t="s">
        <v>37</v>
      </c>
      <c r="G361" t="s">
        <v>983</v>
      </c>
      <c r="H361" t="s">
        <v>2755</v>
      </c>
      <c r="I361" t="s">
        <v>19</v>
      </c>
      <c r="J361" t="s">
        <v>2434</v>
      </c>
      <c r="K361" t="s">
        <v>108</v>
      </c>
      <c r="L361">
        <v>10035</v>
      </c>
      <c r="M361" t="s">
        <v>988</v>
      </c>
      <c r="N361" t="s">
        <v>33</v>
      </c>
      <c r="O361" t="s">
        <v>51</v>
      </c>
      <c r="P361" t="s">
        <v>989</v>
      </c>
      <c r="Q361">
        <f>_xlfn.XLOOKUP(Table3[[#This Row],[Product Name]],Sales!A:A,Sales!B:B)</f>
        <v>17.04</v>
      </c>
      <c r="R361">
        <f>_xlfn.XLOOKUP(Table3[[#This Row],[Product Name]],Sales!A:A,Sales!C:C)</f>
        <v>4</v>
      </c>
      <c r="S361">
        <f>_xlfn.XLOOKUP(Table3[[#This Row],[Product Name]],Sales!A:A,Sales!D:D)</f>
        <v>0</v>
      </c>
      <c r="T361">
        <f>_xlfn.XLOOKUP(Table3[[#This Row],[Product Name]],Sales!A:A,Sales!E:E)</f>
        <v>6.9863999999999997</v>
      </c>
    </row>
    <row r="362" spans="1:20" x14ac:dyDescent="0.3">
      <c r="A362">
        <v>358</v>
      </c>
      <c r="B362" t="s">
        <v>982</v>
      </c>
      <c r="C362">
        <v>8</v>
      </c>
      <c r="D362">
        <v>4</v>
      </c>
      <c r="E362">
        <v>2020</v>
      </c>
      <c r="F362" t="s">
        <v>37</v>
      </c>
      <c r="G362" t="s">
        <v>983</v>
      </c>
      <c r="H362" t="s">
        <v>2755</v>
      </c>
      <c r="I362" t="s">
        <v>19</v>
      </c>
      <c r="J362" t="s">
        <v>2434</v>
      </c>
      <c r="K362" t="s">
        <v>108</v>
      </c>
      <c r="L362">
        <v>10035</v>
      </c>
      <c r="M362" t="s">
        <v>990</v>
      </c>
      <c r="N362" t="s">
        <v>33</v>
      </c>
      <c r="O362" t="s">
        <v>70</v>
      </c>
      <c r="P362" t="s">
        <v>991</v>
      </c>
      <c r="Q362">
        <f>_xlfn.XLOOKUP(Table3[[#This Row],[Product Name]],Sales!A:A,Sales!B:B)</f>
        <v>34.4</v>
      </c>
      <c r="R362">
        <f>_xlfn.XLOOKUP(Table3[[#This Row],[Product Name]],Sales!A:A,Sales!C:C)</f>
        <v>5</v>
      </c>
      <c r="S362">
        <f>_xlfn.XLOOKUP(Table3[[#This Row],[Product Name]],Sales!A:A,Sales!D:D)</f>
        <v>0</v>
      </c>
      <c r="T362">
        <f>_xlfn.XLOOKUP(Table3[[#This Row],[Product Name]],Sales!A:A,Sales!E:E)</f>
        <v>15.824</v>
      </c>
    </row>
    <row r="363" spans="1:20" x14ac:dyDescent="0.3">
      <c r="A363">
        <v>359</v>
      </c>
      <c r="B363" t="s">
        <v>992</v>
      </c>
      <c r="C363">
        <v>23</v>
      </c>
      <c r="D363">
        <v>4</v>
      </c>
      <c r="E363">
        <v>2020</v>
      </c>
      <c r="F363" t="s">
        <v>37</v>
      </c>
      <c r="G363" t="s">
        <v>622</v>
      </c>
      <c r="H363" t="s">
        <v>2706</v>
      </c>
      <c r="I363" t="s">
        <v>30</v>
      </c>
      <c r="J363" t="s">
        <v>2449</v>
      </c>
      <c r="K363" t="s">
        <v>20</v>
      </c>
      <c r="L363">
        <v>28205</v>
      </c>
      <c r="M363" t="s">
        <v>610</v>
      </c>
      <c r="N363" t="s">
        <v>33</v>
      </c>
      <c r="O363" t="s">
        <v>70</v>
      </c>
      <c r="P363" t="s">
        <v>611</v>
      </c>
      <c r="Q363">
        <f>_xlfn.XLOOKUP(Table3[[#This Row],[Product Name]],Sales!A:A,Sales!B:B)</f>
        <v>21.744</v>
      </c>
      <c r="R363">
        <f>_xlfn.XLOOKUP(Table3[[#This Row],[Product Name]],Sales!A:A,Sales!C:C)</f>
        <v>3</v>
      </c>
      <c r="S363">
        <f>_xlfn.XLOOKUP(Table3[[#This Row],[Product Name]],Sales!A:A,Sales!D:D)</f>
        <v>0.2</v>
      </c>
      <c r="T363">
        <f>_xlfn.XLOOKUP(Table3[[#This Row],[Product Name]],Sales!A:A,Sales!E:E)</f>
        <v>6.7949999999999999</v>
      </c>
    </row>
    <row r="364" spans="1:20" x14ac:dyDescent="0.3">
      <c r="A364">
        <v>360</v>
      </c>
      <c r="B364" t="s">
        <v>993</v>
      </c>
      <c r="C364">
        <v>8</v>
      </c>
      <c r="D364">
        <v>3</v>
      </c>
      <c r="E364">
        <v>2021</v>
      </c>
      <c r="F364" t="s">
        <v>142</v>
      </c>
      <c r="G364" t="s">
        <v>994</v>
      </c>
      <c r="H364" t="s">
        <v>2756</v>
      </c>
      <c r="I364" t="s">
        <v>30</v>
      </c>
      <c r="J364" t="s">
        <v>2509</v>
      </c>
      <c r="K364" t="s">
        <v>20</v>
      </c>
      <c r="L364">
        <v>31907</v>
      </c>
      <c r="M364" t="s">
        <v>995</v>
      </c>
      <c r="N364" t="s">
        <v>33</v>
      </c>
      <c r="O364" t="s">
        <v>61</v>
      </c>
      <c r="P364" t="s">
        <v>996</v>
      </c>
      <c r="Q364">
        <f>_xlfn.XLOOKUP(Table3[[#This Row],[Product Name]],Sales!A:A,Sales!B:B)</f>
        <v>647.84</v>
      </c>
      <c r="R364">
        <f>_xlfn.XLOOKUP(Table3[[#This Row],[Product Name]],Sales!A:A,Sales!C:C)</f>
        <v>8</v>
      </c>
      <c r="S364">
        <f>_xlfn.XLOOKUP(Table3[[#This Row],[Product Name]],Sales!A:A,Sales!D:D)</f>
        <v>0</v>
      </c>
      <c r="T364">
        <f>_xlfn.XLOOKUP(Table3[[#This Row],[Product Name]],Sales!A:A,Sales!E:E)</f>
        <v>168.4384</v>
      </c>
    </row>
    <row r="365" spans="1:20" x14ac:dyDescent="0.3">
      <c r="A365">
        <v>361</v>
      </c>
      <c r="B365" t="s">
        <v>993</v>
      </c>
      <c r="C365">
        <v>8</v>
      </c>
      <c r="D365">
        <v>3</v>
      </c>
      <c r="E365">
        <v>2021</v>
      </c>
      <c r="F365" t="s">
        <v>142</v>
      </c>
      <c r="G365" t="s">
        <v>994</v>
      </c>
      <c r="H365" t="s">
        <v>2756</v>
      </c>
      <c r="I365" t="s">
        <v>30</v>
      </c>
      <c r="J365" t="s">
        <v>2509</v>
      </c>
      <c r="K365" t="s">
        <v>20</v>
      </c>
      <c r="L365">
        <v>31907</v>
      </c>
      <c r="M365" t="s">
        <v>997</v>
      </c>
      <c r="N365" t="s">
        <v>33</v>
      </c>
      <c r="O365" t="s">
        <v>34</v>
      </c>
      <c r="P365" t="s">
        <v>998</v>
      </c>
      <c r="Q365">
        <f>_xlfn.XLOOKUP(Table3[[#This Row],[Product Name]],Sales!A:A,Sales!B:B)</f>
        <v>20.7</v>
      </c>
      <c r="R365">
        <f>_xlfn.XLOOKUP(Table3[[#This Row],[Product Name]],Sales!A:A,Sales!C:C)</f>
        <v>2</v>
      </c>
      <c r="S365">
        <f>_xlfn.XLOOKUP(Table3[[#This Row],[Product Name]],Sales!A:A,Sales!D:D)</f>
        <v>0</v>
      </c>
      <c r="T365">
        <f>_xlfn.XLOOKUP(Table3[[#This Row],[Product Name]],Sales!A:A,Sales!E:E)</f>
        <v>9.9359999999999999</v>
      </c>
    </row>
    <row r="366" spans="1:20" x14ac:dyDescent="0.3">
      <c r="A366">
        <v>362</v>
      </c>
      <c r="B366" t="s">
        <v>999</v>
      </c>
      <c r="C366">
        <v>25</v>
      </c>
      <c r="D366">
        <v>9</v>
      </c>
      <c r="E366">
        <v>2021</v>
      </c>
      <c r="F366" t="s">
        <v>37</v>
      </c>
      <c r="G366" t="s">
        <v>1000</v>
      </c>
      <c r="H366" t="s">
        <v>2757</v>
      </c>
      <c r="I366" t="s">
        <v>19</v>
      </c>
      <c r="J366" t="s">
        <v>2434</v>
      </c>
      <c r="K366" t="s">
        <v>108</v>
      </c>
      <c r="L366">
        <v>10009</v>
      </c>
      <c r="M366" t="s">
        <v>997</v>
      </c>
      <c r="N366" t="s">
        <v>33</v>
      </c>
      <c r="O366" t="s">
        <v>34</v>
      </c>
      <c r="P366" t="s">
        <v>998</v>
      </c>
      <c r="Q366">
        <f>_xlfn.XLOOKUP(Table3[[#This Row],[Product Name]],Sales!A:A,Sales!B:B)</f>
        <v>20.7</v>
      </c>
      <c r="R366">
        <f>_xlfn.XLOOKUP(Table3[[#This Row],[Product Name]],Sales!A:A,Sales!C:C)</f>
        <v>2</v>
      </c>
      <c r="S366">
        <f>_xlfn.XLOOKUP(Table3[[#This Row],[Product Name]],Sales!A:A,Sales!D:D)</f>
        <v>0</v>
      </c>
      <c r="T366">
        <f>_xlfn.XLOOKUP(Table3[[#This Row],[Product Name]],Sales!A:A,Sales!E:E)</f>
        <v>9.9359999999999999</v>
      </c>
    </row>
    <row r="367" spans="1:20" x14ac:dyDescent="0.3">
      <c r="A367">
        <v>363</v>
      </c>
      <c r="B367" t="s">
        <v>999</v>
      </c>
      <c r="C367">
        <v>25</v>
      </c>
      <c r="D367">
        <v>9</v>
      </c>
      <c r="E367">
        <v>2021</v>
      </c>
      <c r="F367" t="s">
        <v>37</v>
      </c>
      <c r="G367" t="s">
        <v>1000</v>
      </c>
      <c r="H367" t="s">
        <v>2757</v>
      </c>
      <c r="I367" t="s">
        <v>19</v>
      </c>
      <c r="J367" t="s">
        <v>2434</v>
      </c>
      <c r="K367" t="s">
        <v>108</v>
      </c>
      <c r="L367">
        <v>10009</v>
      </c>
      <c r="M367" t="s">
        <v>1001</v>
      </c>
      <c r="N367" t="s">
        <v>22</v>
      </c>
      <c r="O367" t="s">
        <v>26</v>
      </c>
      <c r="P367" t="s">
        <v>1002</v>
      </c>
      <c r="Q367">
        <f>_xlfn.XLOOKUP(Table3[[#This Row],[Product Name]],Sales!A:A,Sales!B:B)</f>
        <v>488.64600000000002</v>
      </c>
      <c r="R367">
        <f>_xlfn.XLOOKUP(Table3[[#This Row],[Product Name]],Sales!A:A,Sales!C:C)</f>
        <v>3</v>
      </c>
      <c r="S367">
        <f>_xlfn.XLOOKUP(Table3[[#This Row],[Product Name]],Sales!A:A,Sales!D:D)</f>
        <v>0.1</v>
      </c>
      <c r="T367">
        <f>_xlfn.XLOOKUP(Table3[[#This Row],[Product Name]],Sales!A:A,Sales!E:E)</f>
        <v>86.870400000000004</v>
      </c>
    </row>
    <row r="368" spans="1:20" x14ac:dyDescent="0.3">
      <c r="A368">
        <v>364</v>
      </c>
      <c r="B368" t="s">
        <v>999</v>
      </c>
      <c r="C368">
        <v>25</v>
      </c>
      <c r="D368">
        <v>9</v>
      </c>
      <c r="E368">
        <v>2021</v>
      </c>
      <c r="F368" t="s">
        <v>37</v>
      </c>
      <c r="G368" t="s">
        <v>1000</v>
      </c>
      <c r="H368" t="s">
        <v>2757</v>
      </c>
      <c r="I368" t="s">
        <v>19</v>
      </c>
      <c r="J368" t="s">
        <v>2434</v>
      </c>
      <c r="K368" t="s">
        <v>108</v>
      </c>
      <c r="L368">
        <v>10009</v>
      </c>
      <c r="M368" t="s">
        <v>1003</v>
      </c>
      <c r="N368" t="s">
        <v>33</v>
      </c>
      <c r="O368" t="s">
        <v>51</v>
      </c>
      <c r="P368" t="s">
        <v>1004</v>
      </c>
      <c r="Q368">
        <f>_xlfn.XLOOKUP(Table3[[#This Row],[Product Name]],Sales!A:A,Sales!B:B)</f>
        <v>5.56</v>
      </c>
      <c r="R368">
        <f>_xlfn.XLOOKUP(Table3[[#This Row],[Product Name]],Sales!A:A,Sales!C:C)</f>
        <v>2</v>
      </c>
      <c r="S368">
        <f>_xlfn.XLOOKUP(Table3[[#This Row],[Product Name]],Sales!A:A,Sales!D:D)</f>
        <v>0</v>
      </c>
      <c r="T368">
        <f>_xlfn.XLOOKUP(Table3[[#This Row],[Product Name]],Sales!A:A,Sales!E:E)</f>
        <v>1.4456</v>
      </c>
    </row>
    <row r="369" spans="1:20" x14ac:dyDescent="0.3">
      <c r="A369">
        <v>365</v>
      </c>
      <c r="B369" t="s">
        <v>999</v>
      </c>
      <c r="C369">
        <v>25</v>
      </c>
      <c r="D369">
        <v>9</v>
      </c>
      <c r="E369">
        <v>2021</v>
      </c>
      <c r="F369" t="s">
        <v>37</v>
      </c>
      <c r="G369" t="s">
        <v>1000</v>
      </c>
      <c r="H369" t="s">
        <v>2757</v>
      </c>
      <c r="I369" t="s">
        <v>19</v>
      </c>
      <c r="J369" t="s">
        <v>2434</v>
      </c>
      <c r="K369" t="s">
        <v>108</v>
      </c>
      <c r="L369">
        <v>10009</v>
      </c>
      <c r="M369" t="s">
        <v>1005</v>
      </c>
      <c r="N369" t="s">
        <v>22</v>
      </c>
      <c r="O369" t="s">
        <v>48</v>
      </c>
      <c r="P369" t="s">
        <v>1006</v>
      </c>
      <c r="Q369">
        <f>_xlfn.XLOOKUP(Table3[[#This Row],[Product Name]],Sales!A:A,Sales!B:B)</f>
        <v>47.12</v>
      </c>
      <c r="R369">
        <f>_xlfn.XLOOKUP(Table3[[#This Row],[Product Name]],Sales!A:A,Sales!C:C)</f>
        <v>8</v>
      </c>
      <c r="S369">
        <f>_xlfn.XLOOKUP(Table3[[#This Row],[Product Name]],Sales!A:A,Sales!D:D)</f>
        <v>0</v>
      </c>
      <c r="T369">
        <f>_xlfn.XLOOKUP(Table3[[#This Row],[Product Name]],Sales!A:A,Sales!E:E)</f>
        <v>20.732800000000001</v>
      </c>
    </row>
    <row r="370" spans="1:20" x14ac:dyDescent="0.3">
      <c r="A370">
        <v>366</v>
      </c>
      <c r="B370" t="s">
        <v>1007</v>
      </c>
      <c r="C370">
        <v>24</v>
      </c>
      <c r="D370">
        <v>9</v>
      </c>
      <c r="E370">
        <v>2018</v>
      </c>
      <c r="F370" t="s">
        <v>37</v>
      </c>
      <c r="G370" t="s">
        <v>1008</v>
      </c>
      <c r="H370" t="s">
        <v>2758</v>
      </c>
      <c r="I370" t="s">
        <v>19</v>
      </c>
      <c r="J370" t="s">
        <v>2422</v>
      </c>
      <c r="K370" t="s">
        <v>31</v>
      </c>
      <c r="L370">
        <v>94109</v>
      </c>
      <c r="M370" t="s">
        <v>178</v>
      </c>
      <c r="N370" t="s">
        <v>33</v>
      </c>
      <c r="O370" t="s">
        <v>43</v>
      </c>
      <c r="P370" t="s">
        <v>179</v>
      </c>
      <c r="Q370">
        <f>_xlfn.XLOOKUP(Table3[[#This Row],[Product Name]],Sales!A:A,Sales!B:B)</f>
        <v>211.96</v>
      </c>
      <c r="R370">
        <f>_xlfn.XLOOKUP(Table3[[#This Row],[Product Name]],Sales!A:A,Sales!C:C)</f>
        <v>4</v>
      </c>
      <c r="S370">
        <f>_xlfn.XLOOKUP(Table3[[#This Row],[Product Name]],Sales!A:A,Sales!D:D)</f>
        <v>0</v>
      </c>
      <c r="T370">
        <f>_xlfn.XLOOKUP(Table3[[#This Row],[Product Name]],Sales!A:A,Sales!E:E)</f>
        <v>8.4784000000000006</v>
      </c>
    </row>
    <row r="371" spans="1:20" x14ac:dyDescent="0.3">
      <c r="A371">
        <v>367</v>
      </c>
      <c r="B371" t="s">
        <v>1009</v>
      </c>
      <c r="C371">
        <v>21</v>
      </c>
      <c r="D371">
        <v>10</v>
      </c>
      <c r="E371">
        <v>2020</v>
      </c>
      <c r="F371" t="s">
        <v>1010</v>
      </c>
      <c r="G371" t="s">
        <v>1011</v>
      </c>
      <c r="H371" t="s">
        <v>2759</v>
      </c>
      <c r="I371" t="s">
        <v>30</v>
      </c>
      <c r="J371" t="s">
        <v>2510</v>
      </c>
      <c r="K371" t="s">
        <v>108</v>
      </c>
      <c r="L371">
        <v>6040</v>
      </c>
      <c r="M371" t="s">
        <v>1012</v>
      </c>
      <c r="N371" t="s">
        <v>33</v>
      </c>
      <c r="O371" t="s">
        <v>58</v>
      </c>
      <c r="P371" t="s">
        <v>1013</v>
      </c>
      <c r="Q371">
        <f>_xlfn.XLOOKUP(Table3[[#This Row],[Product Name]],Sales!A:A,Sales!B:B)</f>
        <v>23.2</v>
      </c>
      <c r="R371">
        <f>_xlfn.XLOOKUP(Table3[[#This Row],[Product Name]],Sales!A:A,Sales!C:C)</f>
        <v>4</v>
      </c>
      <c r="S371">
        <f>_xlfn.XLOOKUP(Table3[[#This Row],[Product Name]],Sales!A:A,Sales!D:D)</f>
        <v>0</v>
      </c>
      <c r="T371">
        <f>_xlfn.XLOOKUP(Table3[[#This Row],[Product Name]],Sales!A:A,Sales!E:E)</f>
        <v>10.44</v>
      </c>
    </row>
    <row r="372" spans="1:20" x14ac:dyDescent="0.3">
      <c r="A372">
        <v>368</v>
      </c>
      <c r="B372" t="s">
        <v>1009</v>
      </c>
      <c r="C372">
        <v>21</v>
      </c>
      <c r="D372">
        <v>10</v>
      </c>
      <c r="E372">
        <v>2020</v>
      </c>
      <c r="F372" t="s">
        <v>1010</v>
      </c>
      <c r="G372" t="s">
        <v>1011</v>
      </c>
      <c r="H372" t="s">
        <v>2759</v>
      </c>
      <c r="I372" t="s">
        <v>30</v>
      </c>
      <c r="J372" t="s">
        <v>2510</v>
      </c>
      <c r="K372" t="s">
        <v>108</v>
      </c>
      <c r="L372">
        <v>6040</v>
      </c>
      <c r="M372" t="s">
        <v>1014</v>
      </c>
      <c r="N372" t="s">
        <v>33</v>
      </c>
      <c r="O372" t="s">
        <v>438</v>
      </c>
      <c r="P372" t="s">
        <v>1015</v>
      </c>
      <c r="Q372">
        <f>_xlfn.XLOOKUP(Table3[[#This Row],[Product Name]],Sales!A:A,Sales!B:B)</f>
        <v>7.36</v>
      </c>
      <c r="R372">
        <f>_xlfn.XLOOKUP(Table3[[#This Row],[Product Name]],Sales!A:A,Sales!C:C)</f>
        <v>2</v>
      </c>
      <c r="S372">
        <f>_xlfn.XLOOKUP(Table3[[#This Row],[Product Name]],Sales!A:A,Sales!D:D)</f>
        <v>0</v>
      </c>
      <c r="T372">
        <f>_xlfn.XLOOKUP(Table3[[#This Row],[Product Name]],Sales!A:A,Sales!E:E)</f>
        <v>0.1472</v>
      </c>
    </row>
    <row r="373" spans="1:20" x14ac:dyDescent="0.3">
      <c r="A373">
        <v>369</v>
      </c>
      <c r="B373" t="s">
        <v>1009</v>
      </c>
      <c r="C373">
        <v>21</v>
      </c>
      <c r="D373">
        <v>10</v>
      </c>
      <c r="E373">
        <v>2020</v>
      </c>
      <c r="F373" t="s">
        <v>1010</v>
      </c>
      <c r="G373" t="s">
        <v>1011</v>
      </c>
      <c r="H373" t="s">
        <v>2759</v>
      </c>
      <c r="I373" t="s">
        <v>30</v>
      </c>
      <c r="J373" t="s">
        <v>2510</v>
      </c>
      <c r="K373" t="s">
        <v>108</v>
      </c>
      <c r="L373">
        <v>6040</v>
      </c>
      <c r="M373" t="s">
        <v>1016</v>
      </c>
      <c r="N373" t="s">
        <v>33</v>
      </c>
      <c r="O373" t="s">
        <v>43</v>
      </c>
      <c r="P373" t="s">
        <v>1017</v>
      </c>
      <c r="Q373">
        <f>_xlfn.XLOOKUP(Table3[[#This Row],[Product Name]],Sales!A:A,Sales!B:B)</f>
        <v>104.79</v>
      </c>
      <c r="R373">
        <f>_xlfn.XLOOKUP(Table3[[#This Row],[Product Name]],Sales!A:A,Sales!C:C)</f>
        <v>7</v>
      </c>
      <c r="S373">
        <f>_xlfn.XLOOKUP(Table3[[#This Row],[Product Name]],Sales!A:A,Sales!D:D)</f>
        <v>0</v>
      </c>
      <c r="T373">
        <f>_xlfn.XLOOKUP(Table3[[#This Row],[Product Name]],Sales!A:A,Sales!E:E)</f>
        <v>29.341200000000001</v>
      </c>
    </row>
    <row r="374" spans="1:20" x14ac:dyDescent="0.3">
      <c r="A374">
        <v>370</v>
      </c>
      <c r="B374" t="s">
        <v>1009</v>
      </c>
      <c r="C374">
        <v>21</v>
      </c>
      <c r="D374">
        <v>10</v>
      </c>
      <c r="E374">
        <v>2020</v>
      </c>
      <c r="F374" t="s">
        <v>1010</v>
      </c>
      <c r="G374" t="s">
        <v>1011</v>
      </c>
      <c r="H374" t="s">
        <v>2759</v>
      </c>
      <c r="I374" t="s">
        <v>30</v>
      </c>
      <c r="J374" t="s">
        <v>2510</v>
      </c>
      <c r="K374" t="s">
        <v>108</v>
      </c>
      <c r="L374">
        <v>6040</v>
      </c>
      <c r="M374" t="s">
        <v>152</v>
      </c>
      <c r="N374" t="s">
        <v>22</v>
      </c>
      <c r="O374" t="s">
        <v>23</v>
      </c>
      <c r="P374" t="s">
        <v>153</v>
      </c>
      <c r="Q374">
        <f>_xlfn.XLOOKUP(Table3[[#This Row],[Product Name]],Sales!A:A,Sales!B:B)</f>
        <v>532.39919999999995</v>
      </c>
      <c r="R374">
        <f>_xlfn.XLOOKUP(Table3[[#This Row],[Product Name]],Sales!A:A,Sales!C:C)</f>
        <v>3</v>
      </c>
      <c r="S374">
        <f>_xlfn.XLOOKUP(Table3[[#This Row],[Product Name]],Sales!A:A,Sales!D:D)</f>
        <v>0.32</v>
      </c>
      <c r="T374">
        <f>_xlfn.XLOOKUP(Table3[[#This Row],[Product Name]],Sales!A:A,Sales!E:E)</f>
        <v>-46.976399999999998</v>
      </c>
    </row>
    <row r="375" spans="1:20" x14ac:dyDescent="0.3">
      <c r="A375">
        <v>371</v>
      </c>
      <c r="B375" t="s">
        <v>1018</v>
      </c>
      <c r="C375">
        <v>29</v>
      </c>
      <c r="D375">
        <v>5</v>
      </c>
      <c r="E375">
        <v>2021</v>
      </c>
      <c r="F375" t="s">
        <v>37</v>
      </c>
      <c r="G375" t="s">
        <v>1019</v>
      </c>
      <c r="H375" t="s">
        <v>2760</v>
      </c>
      <c r="I375" t="s">
        <v>19</v>
      </c>
      <c r="J375" t="s">
        <v>2511</v>
      </c>
      <c r="K375" t="s">
        <v>79</v>
      </c>
      <c r="L375">
        <v>78550</v>
      </c>
      <c r="M375" t="s">
        <v>1020</v>
      </c>
      <c r="N375" t="s">
        <v>33</v>
      </c>
      <c r="O375" t="s">
        <v>70</v>
      </c>
      <c r="P375" t="s">
        <v>1021</v>
      </c>
      <c r="Q375">
        <f>_xlfn.XLOOKUP(Table3[[#This Row],[Product Name]],Sales!A:A,Sales!B:B)</f>
        <v>25.92</v>
      </c>
      <c r="R375">
        <f>_xlfn.XLOOKUP(Table3[[#This Row],[Product Name]],Sales!A:A,Sales!C:C)</f>
        <v>5</v>
      </c>
      <c r="S375">
        <f>_xlfn.XLOOKUP(Table3[[#This Row],[Product Name]],Sales!A:A,Sales!D:D)</f>
        <v>0.2</v>
      </c>
      <c r="T375">
        <f>_xlfn.XLOOKUP(Table3[[#This Row],[Product Name]],Sales!A:A,Sales!E:E)</f>
        <v>9.3960000000000008</v>
      </c>
    </row>
    <row r="376" spans="1:20" x14ac:dyDescent="0.3">
      <c r="A376">
        <v>372</v>
      </c>
      <c r="B376" t="s">
        <v>1018</v>
      </c>
      <c r="C376">
        <v>29</v>
      </c>
      <c r="D376">
        <v>5</v>
      </c>
      <c r="E376">
        <v>2021</v>
      </c>
      <c r="F376" t="s">
        <v>37</v>
      </c>
      <c r="G376" t="s">
        <v>1019</v>
      </c>
      <c r="H376" t="s">
        <v>2760</v>
      </c>
      <c r="I376" t="s">
        <v>19</v>
      </c>
      <c r="J376" t="s">
        <v>2511</v>
      </c>
      <c r="K376" t="s">
        <v>79</v>
      </c>
      <c r="L376">
        <v>78550</v>
      </c>
      <c r="M376" t="s">
        <v>1022</v>
      </c>
      <c r="N376" t="s">
        <v>33</v>
      </c>
      <c r="O376" t="s">
        <v>43</v>
      </c>
      <c r="P376" t="s">
        <v>1023</v>
      </c>
      <c r="Q376">
        <f>_xlfn.XLOOKUP(Table3[[#This Row],[Product Name]],Sales!A:A,Sales!B:B)</f>
        <v>53.423999999999999</v>
      </c>
      <c r="R376">
        <f>_xlfn.XLOOKUP(Table3[[#This Row],[Product Name]],Sales!A:A,Sales!C:C)</f>
        <v>3</v>
      </c>
      <c r="S376">
        <f>_xlfn.XLOOKUP(Table3[[#This Row],[Product Name]],Sales!A:A,Sales!D:D)</f>
        <v>0.2</v>
      </c>
      <c r="T376">
        <f>_xlfn.XLOOKUP(Table3[[#This Row],[Product Name]],Sales!A:A,Sales!E:E)</f>
        <v>4.6745999999999999</v>
      </c>
    </row>
    <row r="377" spans="1:20" x14ac:dyDescent="0.3">
      <c r="A377">
        <v>373</v>
      </c>
      <c r="B377" t="s">
        <v>1024</v>
      </c>
      <c r="C377">
        <v>23</v>
      </c>
      <c r="D377">
        <v>7</v>
      </c>
      <c r="E377">
        <v>2018</v>
      </c>
      <c r="F377" t="s">
        <v>37</v>
      </c>
      <c r="G377" t="s">
        <v>1025</v>
      </c>
      <c r="H377" t="s">
        <v>2761</v>
      </c>
      <c r="I377" t="s">
        <v>19</v>
      </c>
      <c r="J377" t="s">
        <v>2512</v>
      </c>
      <c r="K377" t="s">
        <v>31</v>
      </c>
      <c r="L377">
        <v>85705</v>
      </c>
      <c r="M377" t="s">
        <v>942</v>
      </c>
      <c r="N377" t="s">
        <v>33</v>
      </c>
      <c r="O377" t="s">
        <v>58</v>
      </c>
      <c r="P377" t="s">
        <v>943</v>
      </c>
      <c r="Q377">
        <f>_xlfn.XLOOKUP(Table3[[#This Row],[Product Name]],Sales!A:A,Sales!B:B)</f>
        <v>4.8959999999999999</v>
      </c>
      <c r="R377">
        <f>_xlfn.XLOOKUP(Table3[[#This Row],[Product Name]],Sales!A:A,Sales!C:C)</f>
        <v>3</v>
      </c>
      <c r="S377">
        <f>_xlfn.XLOOKUP(Table3[[#This Row],[Product Name]],Sales!A:A,Sales!D:D)</f>
        <v>0.7</v>
      </c>
      <c r="T377">
        <f>_xlfn.XLOOKUP(Table3[[#This Row],[Product Name]],Sales!A:A,Sales!E:E)</f>
        <v>-3.4272</v>
      </c>
    </row>
    <row r="378" spans="1:20" x14ac:dyDescent="0.3">
      <c r="A378">
        <v>374</v>
      </c>
      <c r="B378" t="s">
        <v>1024</v>
      </c>
      <c r="C378">
        <v>23</v>
      </c>
      <c r="D378">
        <v>7</v>
      </c>
      <c r="E378">
        <v>2018</v>
      </c>
      <c r="F378" t="s">
        <v>37</v>
      </c>
      <c r="G378" t="s">
        <v>1025</v>
      </c>
      <c r="H378" t="s">
        <v>2761</v>
      </c>
      <c r="I378" t="s">
        <v>19</v>
      </c>
      <c r="J378" t="s">
        <v>2512</v>
      </c>
      <c r="K378" t="s">
        <v>31</v>
      </c>
      <c r="L378">
        <v>85705</v>
      </c>
      <c r="M378" t="s">
        <v>1026</v>
      </c>
      <c r="N378" t="s">
        <v>54</v>
      </c>
      <c r="O378" t="s">
        <v>118</v>
      </c>
      <c r="P378" t="s">
        <v>1027</v>
      </c>
      <c r="Q378">
        <f>_xlfn.XLOOKUP(Table3[[#This Row],[Product Name]],Sales!A:A,Sales!B:B)</f>
        <v>1023.936</v>
      </c>
      <c r="R378">
        <f>_xlfn.XLOOKUP(Table3[[#This Row],[Product Name]],Sales!A:A,Sales!C:C)</f>
        <v>8</v>
      </c>
      <c r="S378">
        <f>_xlfn.XLOOKUP(Table3[[#This Row],[Product Name]],Sales!A:A,Sales!D:D)</f>
        <v>0.2</v>
      </c>
      <c r="T378">
        <f>_xlfn.XLOOKUP(Table3[[#This Row],[Product Name]],Sales!A:A,Sales!E:E)</f>
        <v>179.18879999999999</v>
      </c>
    </row>
    <row r="379" spans="1:20" x14ac:dyDescent="0.3">
      <c r="A379">
        <v>375</v>
      </c>
      <c r="B379" t="s">
        <v>1024</v>
      </c>
      <c r="C379">
        <v>23</v>
      </c>
      <c r="D379">
        <v>7</v>
      </c>
      <c r="E379">
        <v>2018</v>
      </c>
      <c r="F379" t="s">
        <v>37</v>
      </c>
      <c r="G379" t="s">
        <v>1025</v>
      </c>
      <c r="H379" t="s">
        <v>2761</v>
      </c>
      <c r="I379" t="s">
        <v>19</v>
      </c>
      <c r="J379" t="s">
        <v>2512</v>
      </c>
      <c r="K379" t="s">
        <v>31</v>
      </c>
      <c r="L379">
        <v>85705</v>
      </c>
      <c r="M379" t="s">
        <v>1028</v>
      </c>
      <c r="N379" t="s">
        <v>33</v>
      </c>
      <c r="O379" t="s">
        <v>51</v>
      </c>
      <c r="P379" t="s">
        <v>1029</v>
      </c>
      <c r="Q379">
        <f>_xlfn.XLOOKUP(Table3[[#This Row],[Product Name]],Sales!A:A,Sales!B:B)</f>
        <v>9.24</v>
      </c>
      <c r="R379">
        <f>_xlfn.XLOOKUP(Table3[[#This Row],[Product Name]],Sales!A:A,Sales!C:C)</f>
        <v>1</v>
      </c>
      <c r="S379">
        <f>_xlfn.XLOOKUP(Table3[[#This Row],[Product Name]],Sales!A:A,Sales!D:D)</f>
        <v>0.2</v>
      </c>
      <c r="T379">
        <f>_xlfn.XLOOKUP(Table3[[#This Row],[Product Name]],Sales!A:A,Sales!E:E)</f>
        <v>0.92400000000000004</v>
      </c>
    </row>
    <row r="380" spans="1:20" x14ac:dyDescent="0.3">
      <c r="A380">
        <v>376</v>
      </c>
      <c r="B380" t="s">
        <v>1024</v>
      </c>
      <c r="C380">
        <v>23</v>
      </c>
      <c r="D380">
        <v>7</v>
      </c>
      <c r="E380">
        <v>2018</v>
      </c>
      <c r="F380" t="s">
        <v>37</v>
      </c>
      <c r="G380" t="s">
        <v>1025</v>
      </c>
      <c r="H380" t="s">
        <v>2761</v>
      </c>
      <c r="I380" t="s">
        <v>19</v>
      </c>
      <c r="J380" t="s">
        <v>2512</v>
      </c>
      <c r="K380" t="s">
        <v>31</v>
      </c>
      <c r="L380">
        <v>85705</v>
      </c>
      <c r="M380" t="s">
        <v>1030</v>
      </c>
      <c r="N380" t="s">
        <v>54</v>
      </c>
      <c r="O380" t="s">
        <v>118</v>
      </c>
      <c r="P380" t="s">
        <v>1031</v>
      </c>
      <c r="Q380">
        <f>_xlfn.XLOOKUP(Table3[[#This Row],[Product Name]],Sales!A:A,Sales!B:B)</f>
        <v>479.04</v>
      </c>
      <c r="R380">
        <f>_xlfn.XLOOKUP(Table3[[#This Row],[Product Name]],Sales!A:A,Sales!C:C)</f>
        <v>10</v>
      </c>
      <c r="S380">
        <f>_xlfn.XLOOKUP(Table3[[#This Row],[Product Name]],Sales!A:A,Sales!D:D)</f>
        <v>0.2</v>
      </c>
      <c r="T380">
        <f>_xlfn.XLOOKUP(Table3[[#This Row],[Product Name]],Sales!A:A,Sales!E:E)</f>
        <v>-29.94</v>
      </c>
    </row>
    <row r="381" spans="1:20" x14ac:dyDescent="0.3">
      <c r="A381">
        <v>377</v>
      </c>
      <c r="B381" t="s">
        <v>1032</v>
      </c>
      <c r="C381">
        <v>28</v>
      </c>
      <c r="D381">
        <v>9</v>
      </c>
      <c r="E381">
        <v>2020</v>
      </c>
      <c r="F381" t="s">
        <v>142</v>
      </c>
      <c r="G381" t="s">
        <v>1033</v>
      </c>
      <c r="H381" t="s">
        <v>2762</v>
      </c>
      <c r="I381" t="s">
        <v>30</v>
      </c>
      <c r="J381" t="s">
        <v>2513</v>
      </c>
      <c r="K381" t="s">
        <v>79</v>
      </c>
      <c r="L381">
        <v>62301</v>
      </c>
      <c r="M381" t="s">
        <v>1034</v>
      </c>
      <c r="N381" t="s">
        <v>33</v>
      </c>
      <c r="O381" t="s">
        <v>70</v>
      </c>
      <c r="P381" t="s">
        <v>1035</v>
      </c>
      <c r="Q381">
        <f>_xlfn.XLOOKUP(Table3[[#This Row],[Product Name]],Sales!A:A,Sales!B:B)</f>
        <v>99.135999999999996</v>
      </c>
      <c r="R381">
        <f>_xlfn.XLOOKUP(Table3[[#This Row],[Product Name]],Sales!A:A,Sales!C:C)</f>
        <v>4</v>
      </c>
      <c r="S381">
        <f>_xlfn.XLOOKUP(Table3[[#This Row],[Product Name]],Sales!A:A,Sales!D:D)</f>
        <v>0.2</v>
      </c>
      <c r="T381">
        <f>_xlfn.XLOOKUP(Table3[[#This Row],[Product Name]],Sales!A:A,Sales!E:E)</f>
        <v>30.98</v>
      </c>
    </row>
    <row r="382" spans="1:20" x14ac:dyDescent="0.3">
      <c r="A382">
        <v>378</v>
      </c>
      <c r="B382" t="s">
        <v>1036</v>
      </c>
      <c r="C382">
        <v>27</v>
      </c>
      <c r="D382">
        <v>8</v>
      </c>
      <c r="E382">
        <v>2021</v>
      </c>
      <c r="F382" t="s">
        <v>37</v>
      </c>
      <c r="G382" t="s">
        <v>1037</v>
      </c>
      <c r="H382" t="s">
        <v>2763</v>
      </c>
      <c r="I382" t="s">
        <v>30</v>
      </c>
      <c r="J382" t="s">
        <v>2514</v>
      </c>
      <c r="K382" t="s">
        <v>108</v>
      </c>
      <c r="L382">
        <v>2038</v>
      </c>
      <c r="M382" t="s">
        <v>1038</v>
      </c>
      <c r="N382" t="s">
        <v>22</v>
      </c>
      <c r="O382" t="s">
        <v>40</v>
      </c>
      <c r="P382" t="s">
        <v>1039</v>
      </c>
      <c r="Q382">
        <f>_xlfn.XLOOKUP(Table3[[#This Row],[Product Name]],Sales!A:A,Sales!B:B)</f>
        <v>1488.424</v>
      </c>
      <c r="R382">
        <f>_xlfn.XLOOKUP(Table3[[#This Row],[Product Name]],Sales!A:A,Sales!C:C)</f>
        <v>7</v>
      </c>
      <c r="S382">
        <f>_xlfn.XLOOKUP(Table3[[#This Row],[Product Name]],Sales!A:A,Sales!D:D)</f>
        <v>0.3</v>
      </c>
      <c r="T382">
        <f>_xlfn.XLOOKUP(Table3[[#This Row],[Product Name]],Sales!A:A,Sales!E:E)</f>
        <v>-297.6848</v>
      </c>
    </row>
    <row r="383" spans="1:20" x14ac:dyDescent="0.3">
      <c r="A383">
        <v>379</v>
      </c>
      <c r="B383" t="s">
        <v>1040</v>
      </c>
      <c r="C383">
        <v>28</v>
      </c>
      <c r="D383">
        <v>4</v>
      </c>
      <c r="E383">
        <v>2019</v>
      </c>
      <c r="F383" t="s">
        <v>37</v>
      </c>
      <c r="G383" t="s">
        <v>1041</v>
      </c>
      <c r="H383" t="s">
        <v>2764</v>
      </c>
      <c r="I383" t="s">
        <v>19</v>
      </c>
      <c r="J383" t="s">
        <v>2426</v>
      </c>
      <c r="K383" t="s">
        <v>79</v>
      </c>
      <c r="L383">
        <v>77095</v>
      </c>
      <c r="M383" t="s">
        <v>1042</v>
      </c>
      <c r="N383" t="s">
        <v>33</v>
      </c>
      <c r="O383" t="s">
        <v>61</v>
      </c>
      <c r="P383" t="s">
        <v>1043</v>
      </c>
      <c r="Q383">
        <f>_xlfn.XLOOKUP(Table3[[#This Row],[Product Name]],Sales!A:A,Sales!B:B)</f>
        <v>8.6519999999999992</v>
      </c>
      <c r="R383">
        <f>_xlfn.XLOOKUP(Table3[[#This Row],[Product Name]],Sales!A:A,Sales!C:C)</f>
        <v>3</v>
      </c>
      <c r="S383">
        <f>_xlfn.XLOOKUP(Table3[[#This Row],[Product Name]],Sales!A:A,Sales!D:D)</f>
        <v>0.8</v>
      </c>
      <c r="T383">
        <f>_xlfn.XLOOKUP(Table3[[#This Row],[Product Name]],Sales!A:A,Sales!E:E)</f>
        <v>-20.3322</v>
      </c>
    </row>
    <row r="384" spans="1:20" x14ac:dyDescent="0.3">
      <c r="A384">
        <v>380</v>
      </c>
      <c r="B384" t="s">
        <v>1040</v>
      </c>
      <c r="C384">
        <v>28</v>
      </c>
      <c r="D384">
        <v>4</v>
      </c>
      <c r="E384">
        <v>2019</v>
      </c>
      <c r="F384" t="s">
        <v>37</v>
      </c>
      <c r="G384" t="s">
        <v>1041</v>
      </c>
      <c r="H384" t="s">
        <v>2764</v>
      </c>
      <c r="I384" t="s">
        <v>19</v>
      </c>
      <c r="J384" t="s">
        <v>2426</v>
      </c>
      <c r="K384" t="s">
        <v>79</v>
      </c>
      <c r="L384">
        <v>77095</v>
      </c>
      <c r="M384" t="s">
        <v>1044</v>
      </c>
      <c r="N384" t="s">
        <v>33</v>
      </c>
      <c r="O384" t="s">
        <v>43</v>
      </c>
      <c r="P384" t="s">
        <v>1045</v>
      </c>
      <c r="Q384">
        <f>_xlfn.XLOOKUP(Table3[[#This Row],[Product Name]],Sales!A:A,Sales!B:B)</f>
        <v>23.832000000000001</v>
      </c>
      <c r="R384">
        <f>_xlfn.XLOOKUP(Table3[[#This Row],[Product Name]],Sales!A:A,Sales!C:C)</f>
        <v>3</v>
      </c>
      <c r="S384">
        <f>_xlfn.XLOOKUP(Table3[[#This Row],[Product Name]],Sales!A:A,Sales!D:D)</f>
        <v>0.2</v>
      </c>
      <c r="T384">
        <f>_xlfn.XLOOKUP(Table3[[#This Row],[Product Name]],Sales!A:A,Sales!E:E)</f>
        <v>2.6810999999999998</v>
      </c>
    </row>
    <row r="385" spans="1:20" x14ac:dyDescent="0.3">
      <c r="A385">
        <v>381</v>
      </c>
      <c r="B385" t="s">
        <v>1040</v>
      </c>
      <c r="C385">
        <v>28</v>
      </c>
      <c r="D385">
        <v>4</v>
      </c>
      <c r="E385">
        <v>2019</v>
      </c>
      <c r="F385" t="s">
        <v>37</v>
      </c>
      <c r="G385" t="s">
        <v>1041</v>
      </c>
      <c r="H385" t="s">
        <v>2764</v>
      </c>
      <c r="I385" t="s">
        <v>19</v>
      </c>
      <c r="J385" t="s">
        <v>2426</v>
      </c>
      <c r="K385" t="s">
        <v>79</v>
      </c>
      <c r="L385">
        <v>77095</v>
      </c>
      <c r="M385" t="s">
        <v>1046</v>
      </c>
      <c r="N385" t="s">
        <v>33</v>
      </c>
      <c r="O385" t="s">
        <v>58</v>
      </c>
      <c r="P385" t="s">
        <v>1047</v>
      </c>
      <c r="Q385">
        <f>_xlfn.XLOOKUP(Table3[[#This Row],[Product Name]],Sales!A:A,Sales!B:B)</f>
        <v>12.176</v>
      </c>
      <c r="R385">
        <f>_xlfn.XLOOKUP(Table3[[#This Row],[Product Name]],Sales!A:A,Sales!C:C)</f>
        <v>4</v>
      </c>
      <c r="S385">
        <f>_xlfn.XLOOKUP(Table3[[#This Row],[Product Name]],Sales!A:A,Sales!D:D)</f>
        <v>0.8</v>
      </c>
      <c r="T385">
        <f>_xlfn.XLOOKUP(Table3[[#This Row],[Product Name]],Sales!A:A,Sales!E:E)</f>
        <v>-18.872800000000002</v>
      </c>
    </row>
    <row r="386" spans="1:20" x14ac:dyDescent="0.3">
      <c r="A386">
        <v>382</v>
      </c>
      <c r="B386" t="s">
        <v>1048</v>
      </c>
      <c r="C386">
        <v>28</v>
      </c>
      <c r="D386">
        <v>10</v>
      </c>
      <c r="E386">
        <v>2020</v>
      </c>
      <c r="F386" t="s">
        <v>142</v>
      </c>
      <c r="G386" t="s">
        <v>1049</v>
      </c>
      <c r="H386" t="s">
        <v>2765</v>
      </c>
      <c r="I386" t="s">
        <v>30</v>
      </c>
      <c r="J386" t="s">
        <v>2422</v>
      </c>
      <c r="K386" t="s">
        <v>31</v>
      </c>
      <c r="L386">
        <v>94109</v>
      </c>
      <c r="M386" t="s">
        <v>1050</v>
      </c>
      <c r="N386" t="s">
        <v>33</v>
      </c>
      <c r="O386" t="s">
        <v>70</v>
      </c>
      <c r="P386" t="s">
        <v>1051</v>
      </c>
      <c r="Q386">
        <f>_xlfn.XLOOKUP(Table3[[#This Row],[Product Name]],Sales!A:A,Sales!B:B)</f>
        <v>50.96</v>
      </c>
      <c r="R386">
        <f>_xlfn.XLOOKUP(Table3[[#This Row],[Product Name]],Sales!A:A,Sales!C:C)</f>
        <v>7</v>
      </c>
      <c r="S386">
        <f>_xlfn.XLOOKUP(Table3[[#This Row],[Product Name]],Sales!A:A,Sales!D:D)</f>
        <v>0</v>
      </c>
      <c r="T386">
        <f>_xlfn.XLOOKUP(Table3[[#This Row],[Product Name]],Sales!A:A,Sales!E:E)</f>
        <v>25.48</v>
      </c>
    </row>
    <row r="387" spans="1:20" x14ac:dyDescent="0.3">
      <c r="A387">
        <v>383</v>
      </c>
      <c r="B387" t="s">
        <v>1048</v>
      </c>
      <c r="C387">
        <v>28</v>
      </c>
      <c r="D387">
        <v>10</v>
      </c>
      <c r="E387">
        <v>2020</v>
      </c>
      <c r="F387" t="s">
        <v>142</v>
      </c>
      <c r="G387" t="s">
        <v>1049</v>
      </c>
      <c r="H387" t="s">
        <v>2765</v>
      </c>
      <c r="I387" t="s">
        <v>30</v>
      </c>
      <c r="J387" t="s">
        <v>2422</v>
      </c>
      <c r="K387" t="s">
        <v>31</v>
      </c>
      <c r="L387">
        <v>94109</v>
      </c>
      <c r="M387" t="s">
        <v>1052</v>
      </c>
      <c r="N387" t="s">
        <v>33</v>
      </c>
      <c r="O387" t="s">
        <v>58</v>
      </c>
      <c r="P387" t="s">
        <v>1053</v>
      </c>
      <c r="Q387">
        <f>_xlfn.XLOOKUP(Table3[[#This Row],[Product Name]],Sales!A:A,Sales!B:B)</f>
        <v>49.536000000000001</v>
      </c>
      <c r="R387">
        <f>_xlfn.XLOOKUP(Table3[[#This Row],[Product Name]],Sales!A:A,Sales!C:C)</f>
        <v>3</v>
      </c>
      <c r="S387">
        <f>_xlfn.XLOOKUP(Table3[[#This Row],[Product Name]],Sales!A:A,Sales!D:D)</f>
        <v>0.2</v>
      </c>
      <c r="T387">
        <f>_xlfn.XLOOKUP(Table3[[#This Row],[Product Name]],Sales!A:A,Sales!E:E)</f>
        <v>17.337599999999998</v>
      </c>
    </row>
    <row r="388" spans="1:20" x14ac:dyDescent="0.3">
      <c r="A388">
        <v>384</v>
      </c>
      <c r="B388" t="s">
        <v>1054</v>
      </c>
      <c r="C388">
        <v>26</v>
      </c>
      <c r="D388">
        <v>6</v>
      </c>
      <c r="E388">
        <v>2019</v>
      </c>
      <c r="F388" t="s">
        <v>17</v>
      </c>
      <c r="G388" t="s">
        <v>1055</v>
      </c>
      <c r="H388" t="s">
        <v>2766</v>
      </c>
      <c r="I388" t="s">
        <v>30</v>
      </c>
      <c r="J388" t="s">
        <v>2497</v>
      </c>
      <c r="K388" t="s">
        <v>79</v>
      </c>
      <c r="L388">
        <v>48180</v>
      </c>
      <c r="M388" t="s">
        <v>1056</v>
      </c>
      <c r="N388" t="s">
        <v>54</v>
      </c>
      <c r="O388" t="s">
        <v>118</v>
      </c>
      <c r="P388" t="s">
        <v>1057</v>
      </c>
      <c r="Q388">
        <f>_xlfn.XLOOKUP(Table3[[#This Row],[Product Name]],Sales!A:A,Sales!B:B)</f>
        <v>41.9</v>
      </c>
      <c r="R388">
        <f>_xlfn.XLOOKUP(Table3[[#This Row],[Product Name]],Sales!A:A,Sales!C:C)</f>
        <v>2</v>
      </c>
      <c r="S388">
        <f>_xlfn.XLOOKUP(Table3[[#This Row],[Product Name]],Sales!A:A,Sales!D:D)</f>
        <v>0</v>
      </c>
      <c r="T388">
        <f>_xlfn.XLOOKUP(Table3[[#This Row],[Product Name]],Sales!A:A,Sales!E:E)</f>
        <v>8.7989999999999995</v>
      </c>
    </row>
    <row r="389" spans="1:20" x14ac:dyDescent="0.3">
      <c r="A389">
        <v>385</v>
      </c>
      <c r="B389" t="s">
        <v>1058</v>
      </c>
      <c r="C389">
        <v>27</v>
      </c>
      <c r="D389">
        <v>11</v>
      </c>
      <c r="E389">
        <v>2019</v>
      </c>
      <c r="F389" t="s">
        <v>37</v>
      </c>
      <c r="G389" t="s">
        <v>1059</v>
      </c>
      <c r="H389" t="s">
        <v>2767</v>
      </c>
      <c r="I389" t="s">
        <v>19</v>
      </c>
      <c r="J389" t="s">
        <v>2515</v>
      </c>
      <c r="K389" t="s">
        <v>20</v>
      </c>
      <c r="L389">
        <v>33024</v>
      </c>
      <c r="M389" t="s">
        <v>1060</v>
      </c>
      <c r="N389" t="s">
        <v>22</v>
      </c>
      <c r="O389" t="s">
        <v>40</v>
      </c>
      <c r="P389" t="s">
        <v>1061</v>
      </c>
      <c r="Q389">
        <f>_xlfn.XLOOKUP(Table3[[#This Row],[Product Name]],Sales!A:A,Sales!B:B)</f>
        <v>375.45749999999998</v>
      </c>
      <c r="R389">
        <f>_xlfn.XLOOKUP(Table3[[#This Row],[Product Name]],Sales!A:A,Sales!C:C)</f>
        <v>3</v>
      </c>
      <c r="S389">
        <f>_xlfn.XLOOKUP(Table3[[#This Row],[Product Name]],Sales!A:A,Sales!D:D)</f>
        <v>0.45</v>
      </c>
      <c r="T389">
        <f>_xlfn.XLOOKUP(Table3[[#This Row],[Product Name]],Sales!A:A,Sales!E:E)</f>
        <v>-157.0095</v>
      </c>
    </row>
    <row r="390" spans="1:20" x14ac:dyDescent="0.3">
      <c r="A390">
        <v>386</v>
      </c>
      <c r="B390" t="s">
        <v>1058</v>
      </c>
      <c r="C390">
        <v>27</v>
      </c>
      <c r="D390">
        <v>11</v>
      </c>
      <c r="E390">
        <v>2019</v>
      </c>
      <c r="F390" t="s">
        <v>37</v>
      </c>
      <c r="G390" t="s">
        <v>1059</v>
      </c>
      <c r="H390" t="s">
        <v>2767</v>
      </c>
      <c r="I390" t="s">
        <v>19</v>
      </c>
      <c r="J390" t="s">
        <v>2515</v>
      </c>
      <c r="K390" t="s">
        <v>20</v>
      </c>
      <c r="L390">
        <v>33024</v>
      </c>
      <c r="M390" t="s">
        <v>1062</v>
      </c>
      <c r="N390" t="s">
        <v>54</v>
      </c>
      <c r="O390" t="s">
        <v>118</v>
      </c>
      <c r="P390" t="s">
        <v>1063</v>
      </c>
      <c r="Q390">
        <f>_xlfn.XLOOKUP(Table3[[#This Row],[Product Name]],Sales!A:A,Sales!B:B)</f>
        <v>83.975999999999999</v>
      </c>
      <c r="R390">
        <f>_xlfn.XLOOKUP(Table3[[#This Row],[Product Name]],Sales!A:A,Sales!C:C)</f>
        <v>3</v>
      </c>
      <c r="S390">
        <f>_xlfn.XLOOKUP(Table3[[#This Row],[Product Name]],Sales!A:A,Sales!D:D)</f>
        <v>0.2</v>
      </c>
      <c r="T390">
        <f>_xlfn.XLOOKUP(Table3[[#This Row],[Product Name]],Sales!A:A,Sales!E:E)</f>
        <v>-1.0497000000000001</v>
      </c>
    </row>
    <row r="391" spans="1:20" x14ac:dyDescent="0.3">
      <c r="A391">
        <v>387</v>
      </c>
      <c r="B391" t="s">
        <v>1064</v>
      </c>
      <c r="C391">
        <v>3</v>
      </c>
      <c r="D391">
        <v>12</v>
      </c>
      <c r="E391">
        <v>2019</v>
      </c>
      <c r="F391" t="s">
        <v>37</v>
      </c>
      <c r="G391" t="s">
        <v>1065</v>
      </c>
      <c r="H391" t="s">
        <v>2768</v>
      </c>
      <c r="I391" t="s">
        <v>30</v>
      </c>
      <c r="J391" t="s">
        <v>2424</v>
      </c>
      <c r="K391" t="s">
        <v>108</v>
      </c>
      <c r="L391">
        <v>19140</v>
      </c>
      <c r="M391" t="s">
        <v>1066</v>
      </c>
      <c r="N391" t="s">
        <v>54</v>
      </c>
      <c r="O391" t="s">
        <v>515</v>
      </c>
      <c r="P391" t="s">
        <v>1067</v>
      </c>
      <c r="Q391">
        <f>_xlfn.XLOOKUP(Table3[[#This Row],[Product Name]],Sales!A:A,Sales!B:B)</f>
        <v>482.34</v>
      </c>
      <c r="R391">
        <f>_xlfn.XLOOKUP(Table3[[#This Row],[Product Name]],Sales!A:A,Sales!C:C)</f>
        <v>4</v>
      </c>
      <c r="S391">
        <f>_xlfn.XLOOKUP(Table3[[#This Row],[Product Name]],Sales!A:A,Sales!D:D)</f>
        <v>0.7</v>
      </c>
      <c r="T391">
        <f>_xlfn.XLOOKUP(Table3[[#This Row],[Product Name]],Sales!A:A,Sales!E:E)</f>
        <v>-337.63799999999998</v>
      </c>
    </row>
    <row r="392" spans="1:20" x14ac:dyDescent="0.3">
      <c r="A392">
        <v>388</v>
      </c>
      <c r="B392" t="s">
        <v>1064</v>
      </c>
      <c r="C392">
        <v>3</v>
      </c>
      <c r="D392">
        <v>12</v>
      </c>
      <c r="E392">
        <v>2019</v>
      </c>
      <c r="F392" t="s">
        <v>37</v>
      </c>
      <c r="G392" t="s">
        <v>1065</v>
      </c>
      <c r="H392" t="s">
        <v>2768</v>
      </c>
      <c r="I392" t="s">
        <v>30</v>
      </c>
      <c r="J392" t="s">
        <v>2424</v>
      </c>
      <c r="K392" t="s">
        <v>108</v>
      </c>
      <c r="L392">
        <v>19140</v>
      </c>
      <c r="M392" t="s">
        <v>1068</v>
      </c>
      <c r="N392" t="s">
        <v>22</v>
      </c>
      <c r="O392" t="s">
        <v>48</v>
      </c>
      <c r="P392" t="s">
        <v>1069</v>
      </c>
      <c r="Q392">
        <f>_xlfn.XLOOKUP(Table3[[#This Row],[Product Name]],Sales!A:A,Sales!B:B)</f>
        <v>2.96</v>
      </c>
      <c r="R392">
        <f>_xlfn.XLOOKUP(Table3[[#This Row],[Product Name]],Sales!A:A,Sales!C:C)</f>
        <v>1</v>
      </c>
      <c r="S392">
        <f>_xlfn.XLOOKUP(Table3[[#This Row],[Product Name]],Sales!A:A,Sales!D:D)</f>
        <v>0.2</v>
      </c>
      <c r="T392">
        <f>_xlfn.XLOOKUP(Table3[[#This Row],[Product Name]],Sales!A:A,Sales!E:E)</f>
        <v>0.77700000000000002</v>
      </c>
    </row>
    <row r="393" spans="1:20" x14ac:dyDescent="0.3">
      <c r="A393">
        <v>389</v>
      </c>
      <c r="B393" t="s">
        <v>1070</v>
      </c>
      <c r="C393">
        <v>24</v>
      </c>
      <c r="D393">
        <v>11</v>
      </c>
      <c r="E393">
        <v>2018</v>
      </c>
      <c r="F393" t="s">
        <v>142</v>
      </c>
      <c r="G393" t="s">
        <v>1071</v>
      </c>
      <c r="H393" t="s">
        <v>2769</v>
      </c>
      <c r="I393" t="s">
        <v>19</v>
      </c>
      <c r="J393" t="s">
        <v>2492</v>
      </c>
      <c r="K393" t="s">
        <v>108</v>
      </c>
      <c r="L393">
        <v>45231</v>
      </c>
      <c r="M393" t="s">
        <v>1072</v>
      </c>
      <c r="N393" t="s">
        <v>33</v>
      </c>
      <c r="O393" t="s">
        <v>51</v>
      </c>
      <c r="P393" t="s">
        <v>1073</v>
      </c>
      <c r="Q393">
        <f>_xlfn.XLOOKUP(Table3[[#This Row],[Product Name]],Sales!A:A,Sales!B:B)</f>
        <v>2.6240000000000001</v>
      </c>
      <c r="R393">
        <f>_xlfn.XLOOKUP(Table3[[#This Row],[Product Name]],Sales!A:A,Sales!C:C)</f>
        <v>1</v>
      </c>
      <c r="S393">
        <f>_xlfn.XLOOKUP(Table3[[#This Row],[Product Name]],Sales!A:A,Sales!D:D)</f>
        <v>0.2</v>
      </c>
      <c r="T393">
        <f>_xlfn.XLOOKUP(Table3[[#This Row],[Product Name]],Sales!A:A,Sales!E:E)</f>
        <v>0.4264</v>
      </c>
    </row>
    <row r="394" spans="1:20" x14ac:dyDescent="0.3">
      <c r="A394">
        <v>390</v>
      </c>
      <c r="B394" t="s">
        <v>1074</v>
      </c>
      <c r="C394">
        <v>11</v>
      </c>
      <c r="D394">
        <v>12</v>
      </c>
      <c r="E394">
        <v>2021</v>
      </c>
      <c r="F394" t="s">
        <v>37</v>
      </c>
      <c r="G394" t="s">
        <v>1075</v>
      </c>
      <c r="H394" t="s">
        <v>2770</v>
      </c>
      <c r="I394" t="s">
        <v>19</v>
      </c>
      <c r="J394" t="s">
        <v>2434</v>
      </c>
      <c r="K394" t="s">
        <v>108</v>
      </c>
      <c r="L394">
        <v>10009</v>
      </c>
      <c r="M394" t="s">
        <v>1076</v>
      </c>
      <c r="N394" t="s">
        <v>33</v>
      </c>
      <c r="O394" t="s">
        <v>58</v>
      </c>
      <c r="P394" t="s">
        <v>1077</v>
      </c>
      <c r="Q394">
        <f>_xlfn.XLOOKUP(Table3[[#This Row],[Product Name]],Sales!A:A,Sales!B:B)</f>
        <v>23.36</v>
      </c>
      <c r="R394">
        <f>_xlfn.XLOOKUP(Table3[[#This Row],[Product Name]],Sales!A:A,Sales!C:C)</f>
        <v>4</v>
      </c>
      <c r="S394">
        <f>_xlfn.XLOOKUP(Table3[[#This Row],[Product Name]],Sales!A:A,Sales!D:D)</f>
        <v>0.2</v>
      </c>
      <c r="T394">
        <f>_xlfn.XLOOKUP(Table3[[#This Row],[Product Name]],Sales!A:A,Sales!E:E)</f>
        <v>7.8840000000000003</v>
      </c>
    </row>
    <row r="395" spans="1:20" x14ac:dyDescent="0.3">
      <c r="A395">
        <v>391</v>
      </c>
      <c r="B395" t="s">
        <v>1074</v>
      </c>
      <c r="C395">
        <v>11</v>
      </c>
      <c r="D395">
        <v>12</v>
      </c>
      <c r="E395">
        <v>2021</v>
      </c>
      <c r="F395" t="s">
        <v>37</v>
      </c>
      <c r="G395" t="s">
        <v>1075</v>
      </c>
      <c r="H395" t="s">
        <v>2770</v>
      </c>
      <c r="I395" t="s">
        <v>19</v>
      </c>
      <c r="J395" t="s">
        <v>2434</v>
      </c>
      <c r="K395" t="s">
        <v>108</v>
      </c>
      <c r="L395">
        <v>10009</v>
      </c>
      <c r="M395" t="s">
        <v>291</v>
      </c>
      <c r="N395" t="s">
        <v>54</v>
      </c>
      <c r="O395" t="s">
        <v>118</v>
      </c>
      <c r="P395" t="s">
        <v>292</v>
      </c>
      <c r="Q395">
        <f>_xlfn.XLOOKUP(Table3[[#This Row],[Product Name]],Sales!A:A,Sales!B:B)</f>
        <v>19.989999999999998</v>
      </c>
      <c r="R395">
        <f>_xlfn.XLOOKUP(Table3[[#This Row],[Product Name]],Sales!A:A,Sales!C:C)</f>
        <v>1</v>
      </c>
      <c r="S395">
        <f>_xlfn.XLOOKUP(Table3[[#This Row],[Product Name]],Sales!A:A,Sales!D:D)</f>
        <v>0</v>
      </c>
      <c r="T395">
        <f>_xlfn.XLOOKUP(Table3[[#This Row],[Product Name]],Sales!A:A,Sales!E:E)</f>
        <v>6.7965999999999998</v>
      </c>
    </row>
    <row r="396" spans="1:20" x14ac:dyDescent="0.3">
      <c r="A396">
        <v>392</v>
      </c>
      <c r="B396" t="s">
        <v>1078</v>
      </c>
      <c r="C396">
        <v>21</v>
      </c>
      <c r="D396">
        <v>9</v>
      </c>
      <c r="E396">
        <v>2018</v>
      </c>
      <c r="F396" t="s">
        <v>17</v>
      </c>
      <c r="G396" t="s">
        <v>1079</v>
      </c>
      <c r="H396" t="s">
        <v>2771</v>
      </c>
      <c r="I396" t="s">
        <v>19</v>
      </c>
      <c r="J396" t="s">
        <v>2516</v>
      </c>
      <c r="K396" t="s">
        <v>31</v>
      </c>
      <c r="L396">
        <v>98198</v>
      </c>
      <c r="M396" t="s">
        <v>1080</v>
      </c>
      <c r="N396" t="s">
        <v>54</v>
      </c>
      <c r="O396" t="s">
        <v>55</v>
      </c>
      <c r="P396" t="s">
        <v>1081</v>
      </c>
      <c r="Q396">
        <f>_xlfn.XLOOKUP(Table3[[#This Row],[Product Name]],Sales!A:A,Sales!B:B)</f>
        <v>246.38399999999999</v>
      </c>
      <c r="R396">
        <f>_xlfn.XLOOKUP(Table3[[#This Row],[Product Name]],Sales!A:A,Sales!C:C)</f>
        <v>2</v>
      </c>
      <c r="S396">
        <f>_xlfn.XLOOKUP(Table3[[#This Row],[Product Name]],Sales!A:A,Sales!D:D)</f>
        <v>0.2</v>
      </c>
      <c r="T396">
        <f>_xlfn.XLOOKUP(Table3[[#This Row],[Product Name]],Sales!A:A,Sales!E:E)</f>
        <v>27.7182</v>
      </c>
    </row>
    <row r="397" spans="1:20" x14ac:dyDescent="0.3">
      <c r="A397">
        <v>393</v>
      </c>
      <c r="B397" t="s">
        <v>1078</v>
      </c>
      <c r="C397">
        <v>21</v>
      </c>
      <c r="D397">
        <v>9</v>
      </c>
      <c r="E397">
        <v>2018</v>
      </c>
      <c r="F397" t="s">
        <v>17</v>
      </c>
      <c r="G397" t="s">
        <v>1079</v>
      </c>
      <c r="H397" t="s">
        <v>2771</v>
      </c>
      <c r="I397" t="s">
        <v>19</v>
      </c>
      <c r="J397" t="s">
        <v>2516</v>
      </c>
      <c r="K397" t="s">
        <v>31</v>
      </c>
      <c r="L397">
        <v>98198</v>
      </c>
      <c r="M397" t="s">
        <v>1082</v>
      </c>
      <c r="N397" t="s">
        <v>54</v>
      </c>
      <c r="O397" t="s">
        <v>949</v>
      </c>
      <c r="P397" t="s">
        <v>1083</v>
      </c>
      <c r="Q397">
        <f>_xlfn.XLOOKUP(Table3[[#This Row],[Product Name]],Sales!A:A,Sales!B:B)</f>
        <v>1799.97</v>
      </c>
      <c r="R397">
        <f>_xlfn.XLOOKUP(Table3[[#This Row],[Product Name]],Sales!A:A,Sales!C:C)</f>
        <v>3</v>
      </c>
      <c r="S397">
        <f>_xlfn.XLOOKUP(Table3[[#This Row],[Product Name]],Sales!A:A,Sales!D:D)</f>
        <v>0</v>
      </c>
      <c r="T397">
        <f>_xlfn.XLOOKUP(Table3[[#This Row],[Product Name]],Sales!A:A,Sales!E:E)</f>
        <v>701.98829999999998</v>
      </c>
    </row>
    <row r="398" spans="1:20" x14ac:dyDescent="0.3">
      <c r="A398">
        <v>394</v>
      </c>
      <c r="B398" t="s">
        <v>1084</v>
      </c>
      <c r="C398">
        <v>7</v>
      </c>
      <c r="D398">
        <v>6</v>
      </c>
      <c r="E398">
        <v>2018</v>
      </c>
      <c r="F398" t="s">
        <v>17</v>
      </c>
      <c r="G398" t="s">
        <v>1085</v>
      </c>
      <c r="H398" t="s">
        <v>2772</v>
      </c>
      <c r="I398" t="s">
        <v>30</v>
      </c>
      <c r="J398" t="s">
        <v>2517</v>
      </c>
      <c r="K398" t="s">
        <v>79</v>
      </c>
      <c r="L398">
        <v>61604</v>
      </c>
      <c r="M398" t="s">
        <v>1086</v>
      </c>
      <c r="N398" t="s">
        <v>33</v>
      </c>
      <c r="O398" t="s">
        <v>58</v>
      </c>
      <c r="P398" t="s">
        <v>1087</v>
      </c>
      <c r="Q398">
        <f>_xlfn.XLOOKUP(Table3[[#This Row],[Product Name]],Sales!A:A,Sales!B:B)</f>
        <v>12.462</v>
      </c>
      <c r="R398">
        <f>_xlfn.XLOOKUP(Table3[[#This Row],[Product Name]],Sales!A:A,Sales!C:C)</f>
        <v>3</v>
      </c>
      <c r="S398">
        <f>_xlfn.XLOOKUP(Table3[[#This Row],[Product Name]],Sales!A:A,Sales!D:D)</f>
        <v>0.8</v>
      </c>
      <c r="T398">
        <f>_xlfn.XLOOKUP(Table3[[#This Row],[Product Name]],Sales!A:A,Sales!E:E)</f>
        <v>-20.5623</v>
      </c>
    </row>
    <row r="399" spans="1:20" x14ac:dyDescent="0.3">
      <c r="A399">
        <v>395</v>
      </c>
      <c r="B399" t="s">
        <v>1088</v>
      </c>
      <c r="C399">
        <v>30</v>
      </c>
      <c r="D399">
        <v>6</v>
      </c>
      <c r="E399">
        <v>2021</v>
      </c>
      <c r="F399" t="s">
        <v>37</v>
      </c>
      <c r="G399" t="s">
        <v>1089</v>
      </c>
      <c r="H399" t="s">
        <v>2773</v>
      </c>
      <c r="I399" t="s">
        <v>78</v>
      </c>
      <c r="J399" t="s">
        <v>2518</v>
      </c>
      <c r="K399" t="s">
        <v>31</v>
      </c>
      <c r="L399">
        <v>89115</v>
      </c>
      <c r="M399" t="s">
        <v>1090</v>
      </c>
      <c r="N399" t="s">
        <v>33</v>
      </c>
      <c r="O399" t="s">
        <v>58</v>
      </c>
      <c r="P399" t="s">
        <v>1091</v>
      </c>
      <c r="Q399">
        <f>_xlfn.XLOOKUP(Table3[[#This Row],[Product Name]],Sales!A:A,Sales!B:B)</f>
        <v>75.792000000000002</v>
      </c>
      <c r="R399">
        <f>_xlfn.XLOOKUP(Table3[[#This Row],[Product Name]],Sales!A:A,Sales!C:C)</f>
        <v>3</v>
      </c>
      <c r="S399">
        <f>_xlfn.XLOOKUP(Table3[[#This Row],[Product Name]],Sales!A:A,Sales!D:D)</f>
        <v>0.2</v>
      </c>
      <c r="T399">
        <f>_xlfn.XLOOKUP(Table3[[#This Row],[Product Name]],Sales!A:A,Sales!E:E)</f>
        <v>25.579799999999999</v>
      </c>
    </row>
    <row r="400" spans="1:20" x14ac:dyDescent="0.3">
      <c r="A400">
        <v>396</v>
      </c>
      <c r="B400" t="s">
        <v>1092</v>
      </c>
      <c r="C400">
        <v>17</v>
      </c>
      <c r="D400">
        <v>10</v>
      </c>
      <c r="E400">
        <v>2021</v>
      </c>
      <c r="F400" t="s">
        <v>17</v>
      </c>
      <c r="G400" t="s">
        <v>1093</v>
      </c>
      <c r="H400" t="s">
        <v>2774</v>
      </c>
      <c r="I400" t="s">
        <v>30</v>
      </c>
      <c r="J400" t="s">
        <v>2519</v>
      </c>
      <c r="K400" t="s">
        <v>108</v>
      </c>
      <c r="L400">
        <v>2886</v>
      </c>
      <c r="M400" t="s">
        <v>1094</v>
      </c>
      <c r="N400" t="s">
        <v>33</v>
      </c>
      <c r="O400" t="s">
        <v>43</v>
      </c>
      <c r="P400" t="s">
        <v>1095</v>
      </c>
      <c r="Q400">
        <f>_xlfn.XLOOKUP(Table3[[#This Row],[Product Name]],Sales!A:A,Sales!B:B)</f>
        <v>49.96</v>
      </c>
      <c r="R400">
        <f>_xlfn.XLOOKUP(Table3[[#This Row],[Product Name]],Sales!A:A,Sales!C:C)</f>
        <v>2</v>
      </c>
      <c r="S400">
        <f>_xlfn.XLOOKUP(Table3[[#This Row],[Product Name]],Sales!A:A,Sales!D:D)</f>
        <v>0</v>
      </c>
      <c r="T400">
        <f>_xlfn.XLOOKUP(Table3[[#This Row],[Product Name]],Sales!A:A,Sales!E:E)</f>
        <v>9.4923999999999999</v>
      </c>
    </row>
    <row r="401" spans="1:20" x14ac:dyDescent="0.3">
      <c r="A401">
        <v>397</v>
      </c>
      <c r="B401" t="s">
        <v>1092</v>
      </c>
      <c r="C401">
        <v>17</v>
      </c>
      <c r="D401">
        <v>10</v>
      </c>
      <c r="E401">
        <v>2021</v>
      </c>
      <c r="F401" t="s">
        <v>17</v>
      </c>
      <c r="G401" t="s">
        <v>1093</v>
      </c>
      <c r="H401" t="s">
        <v>2774</v>
      </c>
      <c r="I401" t="s">
        <v>30</v>
      </c>
      <c r="J401" t="s">
        <v>2519</v>
      </c>
      <c r="K401" t="s">
        <v>108</v>
      </c>
      <c r="L401">
        <v>2886</v>
      </c>
      <c r="M401" t="s">
        <v>1096</v>
      </c>
      <c r="N401" t="s">
        <v>33</v>
      </c>
      <c r="O401" t="s">
        <v>70</v>
      </c>
      <c r="P401" t="s">
        <v>1097</v>
      </c>
      <c r="Q401">
        <f>_xlfn.XLOOKUP(Table3[[#This Row],[Product Name]],Sales!A:A,Sales!B:B)</f>
        <v>12.96</v>
      </c>
      <c r="R401">
        <f>_xlfn.XLOOKUP(Table3[[#This Row],[Product Name]],Sales!A:A,Sales!C:C)</f>
        <v>2</v>
      </c>
      <c r="S401">
        <f>_xlfn.XLOOKUP(Table3[[#This Row],[Product Name]],Sales!A:A,Sales!D:D)</f>
        <v>0</v>
      </c>
      <c r="T401">
        <f>_xlfn.XLOOKUP(Table3[[#This Row],[Product Name]],Sales!A:A,Sales!E:E)</f>
        <v>6.2207999999999997</v>
      </c>
    </row>
    <row r="402" spans="1:20" x14ac:dyDescent="0.3">
      <c r="A402">
        <v>398</v>
      </c>
      <c r="B402" t="s">
        <v>1098</v>
      </c>
      <c r="C402">
        <v>31</v>
      </c>
      <c r="D402">
        <v>10</v>
      </c>
      <c r="E402">
        <v>2019</v>
      </c>
      <c r="F402" t="s">
        <v>37</v>
      </c>
      <c r="G402" t="s">
        <v>77</v>
      </c>
      <c r="H402" t="s">
        <v>2615</v>
      </c>
      <c r="I402" t="s">
        <v>78</v>
      </c>
      <c r="J402" t="s">
        <v>2439</v>
      </c>
      <c r="K402" t="s">
        <v>79</v>
      </c>
      <c r="L402">
        <v>49201</v>
      </c>
      <c r="M402" t="s">
        <v>1099</v>
      </c>
      <c r="N402" t="s">
        <v>33</v>
      </c>
      <c r="O402" t="s">
        <v>438</v>
      </c>
      <c r="P402" t="s">
        <v>1100</v>
      </c>
      <c r="Q402">
        <f>_xlfn.XLOOKUP(Table3[[#This Row],[Product Name]],Sales!A:A,Sales!B:B)</f>
        <v>70.12</v>
      </c>
      <c r="R402">
        <f>_xlfn.XLOOKUP(Table3[[#This Row],[Product Name]],Sales!A:A,Sales!C:C)</f>
        <v>4</v>
      </c>
      <c r="S402">
        <f>_xlfn.XLOOKUP(Table3[[#This Row],[Product Name]],Sales!A:A,Sales!D:D)</f>
        <v>0</v>
      </c>
      <c r="T402">
        <f>_xlfn.XLOOKUP(Table3[[#This Row],[Product Name]],Sales!A:A,Sales!E:E)</f>
        <v>21.036000000000001</v>
      </c>
    </row>
    <row r="403" spans="1:20" x14ac:dyDescent="0.3">
      <c r="A403">
        <v>399</v>
      </c>
      <c r="B403" t="s">
        <v>1101</v>
      </c>
      <c r="C403">
        <v>8</v>
      </c>
      <c r="D403">
        <v>9</v>
      </c>
      <c r="E403">
        <v>2020</v>
      </c>
      <c r="F403" t="s">
        <v>17</v>
      </c>
      <c r="G403" t="s">
        <v>1102</v>
      </c>
      <c r="H403" t="s">
        <v>2775</v>
      </c>
      <c r="I403" t="s">
        <v>19</v>
      </c>
      <c r="J403" t="s">
        <v>2426</v>
      </c>
      <c r="K403" t="s">
        <v>79</v>
      </c>
      <c r="L403">
        <v>77036</v>
      </c>
      <c r="M403" t="s">
        <v>1103</v>
      </c>
      <c r="N403" t="s">
        <v>33</v>
      </c>
      <c r="O403" t="s">
        <v>43</v>
      </c>
      <c r="P403" t="s">
        <v>1104</v>
      </c>
      <c r="Q403">
        <f>_xlfn.XLOOKUP(Table3[[#This Row],[Product Name]],Sales!A:A,Sales!B:B)</f>
        <v>35.951999999999998</v>
      </c>
      <c r="R403">
        <f>_xlfn.XLOOKUP(Table3[[#This Row],[Product Name]],Sales!A:A,Sales!C:C)</f>
        <v>3</v>
      </c>
      <c r="S403">
        <f>_xlfn.XLOOKUP(Table3[[#This Row],[Product Name]],Sales!A:A,Sales!D:D)</f>
        <v>0.2</v>
      </c>
      <c r="T403">
        <f>_xlfn.XLOOKUP(Table3[[#This Row],[Product Name]],Sales!A:A,Sales!E:E)</f>
        <v>3.5952000000000002</v>
      </c>
    </row>
    <row r="404" spans="1:20" x14ac:dyDescent="0.3">
      <c r="A404">
        <v>400</v>
      </c>
      <c r="B404" t="s">
        <v>1101</v>
      </c>
      <c r="C404">
        <v>8</v>
      </c>
      <c r="D404">
        <v>9</v>
      </c>
      <c r="E404">
        <v>2020</v>
      </c>
      <c r="F404" t="s">
        <v>17</v>
      </c>
      <c r="G404" t="s">
        <v>1102</v>
      </c>
      <c r="H404" t="s">
        <v>2775</v>
      </c>
      <c r="I404" t="s">
        <v>19</v>
      </c>
      <c r="J404" t="s">
        <v>2426</v>
      </c>
      <c r="K404" t="s">
        <v>79</v>
      </c>
      <c r="L404">
        <v>77036</v>
      </c>
      <c r="M404" t="s">
        <v>122</v>
      </c>
      <c r="N404" t="s">
        <v>22</v>
      </c>
      <c r="O404" t="s">
        <v>23</v>
      </c>
      <c r="P404" t="s">
        <v>123</v>
      </c>
      <c r="Q404">
        <f>_xlfn.XLOOKUP(Table3[[#This Row],[Product Name]],Sales!A:A,Sales!B:B)</f>
        <v>3083.43</v>
      </c>
      <c r="R404">
        <f>_xlfn.XLOOKUP(Table3[[#This Row],[Product Name]],Sales!A:A,Sales!C:C)</f>
        <v>7</v>
      </c>
      <c r="S404">
        <f>_xlfn.XLOOKUP(Table3[[#This Row],[Product Name]],Sales!A:A,Sales!D:D)</f>
        <v>0.5</v>
      </c>
      <c r="T404">
        <f>_xlfn.XLOOKUP(Table3[[#This Row],[Product Name]],Sales!A:A,Sales!E:E)</f>
        <v>-1665.0522000000001</v>
      </c>
    </row>
    <row r="405" spans="1:20" x14ac:dyDescent="0.3">
      <c r="A405">
        <v>401</v>
      </c>
      <c r="B405" t="s">
        <v>1101</v>
      </c>
      <c r="C405">
        <v>8</v>
      </c>
      <c r="D405">
        <v>9</v>
      </c>
      <c r="E405">
        <v>2020</v>
      </c>
      <c r="F405" t="s">
        <v>17</v>
      </c>
      <c r="G405" t="s">
        <v>1102</v>
      </c>
      <c r="H405" t="s">
        <v>2775</v>
      </c>
      <c r="I405" t="s">
        <v>19</v>
      </c>
      <c r="J405" t="s">
        <v>2426</v>
      </c>
      <c r="K405" t="s">
        <v>79</v>
      </c>
      <c r="L405">
        <v>77036</v>
      </c>
      <c r="M405" t="s">
        <v>1105</v>
      </c>
      <c r="N405" t="s">
        <v>33</v>
      </c>
      <c r="O405" t="s">
        <v>43</v>
      </c>
      <c r="P405" t="s">
        <v>1106</v>
      </c>
      <c r="Q405">
        <f>_xlfn.XLOOKUP(Table3[[#This Row],[Product Name]],Sales!A:A,Sales!B:B)</f>
        <v>131.136</v>
      </c>
      <c r="R405">
        <f>_xlfn.XLOOKUP(Table3[[#This Row],[Product Name]],Sales!A:A,Sales!C:C)</f>
        <v>4</v>
      </c>
      <c r="S405">
        <f>_xlfn.XLOOKUP(Table3[[#This Row],[Product Name]],Sales!A:A,Sales!D:D)</f>
        <v>0.2</v>
      </c>
      <c r="T405">
        <f>_xlfn.XLOOKUP(Table3[[#This Row],[Product Name]],Sales!A:A,Sales!E:E)</f>
        <v>-32.783999999999999</v>
      </c>
    </row>
    <row r="406" spans="1:20" x14ac:dyDescent="0.3">
      <c r="A406">
        <v>402</v>
      </c>
      <c r="B406" t="s">
        <v>1101</v>
      </c>
      <c r="C406">
        <v>8</v>
      </c>
      <c r="D406">
        <v>9</v>
      </c>
      <c r="E406">
        <v>2020</v>
      </c>
      <c r="F406" t="s">
        <v>17</v>
      </c>
      <c r="G406" t="s">
        <v>1102</v>
      </c>
      <c r="H406" t="s">
        <v>2775</v>
      </c>
      <c r="I406" t="s">
        <v>19</v>
      </c>
      <c r="J406" t="s">
        <v>2426</v>
      </c>
      <c r="K406" t="s">
        <v>79</v>
      </c>
      <c r="L406">
        <v>77036</v>
      </c>
      <c r="M406" t="s">
        <v>1107</v>
      </c>
      <c r="N406" t="s">
        <v>54</v>
      </c>
      <c r="O406" t="s">
        <v>118</v>
      </c>
      <c r="P406" t="s">
        <v>1108</v>
      </c>
      <c r="Q406">
        <f>_xlfn.XLOOKUP(Table3[[#This Row],[Product Name]],Sales!A:A,Sales!B:B)</f>
        <v>57.584000000000003</v>
      </c>
      <c r="R406">
        <f>_xlfn.XLOOKUP(Table3[[#This Row],[Product Name]],Sales!A:A,Sales!C:C)</f>
        <v>2</v>
      </c>
      <c r="S406">
        <f>_xlfn.XLOOKUP(Table3[[#This Row],[Product Name]],Sales!A:A,Sales!D:D)</f>
        <v>0.2</v>
      </c>
      <c r="T406">
        <f>_xlfn.XLOOKUP(Table3[[#This Row],[Product Name]],Sales!A:A,Sales!E:E)</f>
        <v>0.7198</v>
      </c>
    </row>
    <row r="407" spans="1:20" x14ac:dyDescent="0.3">
      <c r="A407">
        <v>403</v>
      </c>
      <c r="B407" t="s">
        <v>1109</v>
      </c>
      <c r="C407">
        <v>24</v>
      </c>
      <c r="D407">
        <v>12</v>
      </c>
      <c r="E407">
        <v>2018</v>
      </c>
      <c r="F407" t="s">
        <v>142</v>
      </c>
      <c r="G407" t="s">
        <v>1110</v>
      </c>
      <c r="H407" t="s">
        <v>2776</v>
      </c>
      <c r="I407" t="s">
        <v>19</v>
      </c>
      <c r="J407" t="s">
        <v>2520</v>
      </c>
      <c r="K407" t="s">
        <v>20</v>
      </c>
      <c r="L407">
        <v>33180</v>
      </c>
      <c r="M407" t="s">
        <v>1111</v>
      </c>
      <c r="N407" t="s">
        <v>33</v>
      </c>
      <c r="O407" t="s">
        <v>70</v>
      </c>
      <c r="P407" t="s">
        <v>1112</v>
      </c>
      <c r="Q407">
        <f>_xlfn.XLOOKUP(Table3[[#This Row],[Product Name]],Sales!A:A,Sales!B:B)</f>
        <v>9.5679999999999996</v>
      </c>
      <c r="R407">
        <f>_xlfn.XLOOKUP(Table3[[#This Row],[Product Name]],Sales!A:A,Sales!C:C)</f>
        <v>2</v>
      </c>
      <c r="S407">
        <f>_xlfn.XLOOKUP(Table3[[#This Row],[Product Name]],Sales!A:A,Sales!D:D)</f>
        <v>0.2</v>
      </c>
      <c r="T407">
        <f>_xlfn.XLOOKUP(Table3[[#This Row],[Product Name]],Sales!A:A,Sales!E:E)</f>
        <v>3.4683999999999999</v>
      </c>
    </row>
    <row r="408" spans="1:20" x14ac:dyDescent="0.3">
      <c r="A408">
        <v>404</v>
      </c>
      <c r="B408" t="s">
        <v>1113</v>
      </c>
      <c r="C408">
        <v>16</v>
      </c>
      <c r="D408">
        <v>4</v>
      </c>
      <c r="E408">
        <v>2018</v>
      </c>
      <c r="F408" t="s">
        <v>37</v>
      </c>
      <c r="G408" t="s">
        <v>475</v>
      </c>
      <c r="H408" t="s">
        <v>2680</v>
      </c>
      <c r="I408" t="s">
        <v>30</v>
      </c>
      <c r="J408" t="s">
        <v>2521</v>
      </c>
      <c r="K408" t="s">
        <v>20</v>
      </c>
      <c r="L408">
        <v>28403</v>
      </c>
      <c r="M408" t="s">
        <v>1114</v>
      </c>
      <c r="N408" t="s">
        <v>33</v>
      </c>
      <c r="O408" t="s">
        <v>51</v>
      </c>
      <c r="P408" t="s">
        <v>1115</v>
      </c>
      <c r="Q408">
        <f>_xlfn.XLOOKUP(Table3[[#This Row],[Product Name]],Sales!A:A,Sales!B:B)</f>
        <v>39.072000000000003</v>
      </c>
      <c r="R408">
        <f>_xlfn.XLOOKUP(Table3[[#This Row],[Product Name]],Sales!A:A,Sales!C:C)</f>
        <v>6</v>
      </c>
      <c r="S408">
        <f>_xlfn.XLOOKUP(Table3[[#This Row],[Product Name]],Sales!A:A,Sales!D:D)</f>
        <v>0.2</v>
      </c>
      <c r="T408">
        <f>_xlfn.XLOOKUP(Table3[[#This Row],[Product Name]],Sales!A:A,Sales!E:E)</f>
        <v>9.7680000000000007</v>
      </c>
    </row>
    <row r="409" spans="1:20" x14ac:dyDescent="0.3">
      <c r="A409">
        <v>405</v>
      </c>
      <c r="B409" t="s">
        <v>1116</v>
      </c>
      <c r="C409">
        <v>24</v>
      </c>
      <c r="D409">
        <v>12</v>
      </c>
      <c r="E409">
        <v>2021</v>
      </c>
      <c r="F409" t="s">
        <v>37</v>
      </c>
      <c r="G409" t="s">
        <v>1117</v>
      </c>
      <c r="H409" t="s">
        <v>2777</v>
      </c>
      <c r="I409" t="s">
        <v>19</v>
      </c>
      <c r="J409" t="s">
        <v>2434</v>
      </c>
      <c r="K409" t="s">
        <v>108</v>
      </c>
      <c r="L409">
        <v>10024</v>
      </c>
      <c r="M409" t="s">
        <v>1118</v>
      </c>
      <c r="N409" t="s">
        <v>33</v>
      </c>
      <c r="O409" t="s">
        <v>61</v>
      </c>
      <c r="P409" t="s">
        <v>1119</v>
      </c>
      <c r="Q409">
        <f>_xlfn.XLOOKUP(Table3[[#This Row],[Product Name]],Sales!A:A,Sales!B:B)</f>
        <v>35.909999999999997</v>
      </c>
      <c r="R409">
        <f>_xlfn.XLOOKUP(Table3[[#This Row],[Product Name]],Sales!A:A,Sales!C:C)</f>
        <v>3</v>
      </c>
      <c r="S409">
        <f>_xlfn.XLOOKUP(Table3[[#This Row],[Product Name]],Sales!A:A,Sales!D:D)</f>
        <v>0</v>
      </c>
      <c r="T409">
        <f>_xlfn.XLOOKUP(Table3[[#This Row],[Product Name]],Sales!A:A,Sales!E:E)</f>
        <v>9.6957000000000004</v>
      </c>
    </row>
    <row r="410" spans="1:20" x14ac:dyDescent="0.3">
      <c r="A410">
        <v>406</v>
      </c>
      <c r="B410" t="s">
        <v>1120</v>
      </c>
      <c r="C410">
        <v>8</v>
      </c>
      <c r="D410">
        <v>12</v>
      </c>
      <c r="E410">
        <v>2021</v>
      </c>
      <c r="F410" t="s">
        <v>37</v>
      </c>
      <c r="G410" t="s">
        <v>1121</v>
      </c>
      <c r="H410" t="s">
        <v>2778</v>
      </c>
      <c r="I410" t="s">
        <v>19</v>
      </c>
      <c r="J410" t="s">
        <v>2422</v>
      </c>
      <c r="K410" t="s">
        <v>31</v>
      </c>
      <c r="L410">
        <v>94110</v>
      </c>
      <c r="M410" t="s">
        <v>1107</v>
      </c>
      <c r="N410" t="s">
        <v>54</v>
      </c>
      <c r="O410" t="s">
        <v>118</v>
      </c>
      <c r="P410" t="s">
        <v>1108</v>
      </c>
      <c r="Q410">
        <f>_xlfn.XLOOKUP(Table3[[#This Row],[Product Name]],Sales!A:A,Sales!B:B)</f>
        <v>57.584000000000003</v>
      </c>
      <c r="R410">
        <f>_xlfn.XLOOKUP(Table3[[#This Row],[Product Name]],Sales!A:A,Sales!C:C)</f>
        <v>2</v>
      </c>
      <c r="S410">
        <f>_xlfn.XLOOKUP(Table3[[#This Row],[Product Name]],Sales!A:A,Sales!D:D)</f>
        <v>0.2</v>
      </c>
      <c r="T410">
        <f>_xlfn.XLOOKUP(Table3[[#This Row],[Product Name]],Sales!A:A,Sales!E:E)</f>
        <v>0.7198</v>
      </c>
    </row>
    <row r="411" spans="1:20" x14ac:dyDescent="0.3">
      <c r="A411">
        <v>407</v>
      </c>
      <c r="B411" t="s">
        <v>1120</v>
      </c>
      <c r="C411">
        <v>8</v>
      </c>
      <c r="D411">
        <v>12</v>
      </c>
      <c r="E411">
        <v>2021</v>
      </c>
      <c r="F411" t="s">
        <v>37</v>
      </c>
      <c r="G411" t="s">
        <v>1121</v>
      </c>
      <c r="H411" t="s">
        <v>2778</v>
      </c>
      <c r="I411" t="s">
        <v>19</v>
      </c>
      <c r="J411" t="s">
        <v>2422</v>
      </c>
      <c r="K411" t="s">
        <v>31</v>
      </c>
      <c r="L411">
        <v>94110</v>
      </c>
      <c r="M411" t="s">
        <v>1122</v>
      </c>
      <c r="N411" t="s">
        <v>54</v>
      </c>
      <c r="O411" t="s">
        <v>949</v>
      </c>
      <c r="P411" t="s">
        <v>1123</v>
      </c>
      <c r="Q411">
        <f>_xlfn.XLOOKUP(Table3[[#This Row],[Product Name]],Sales!A:A,Sales!B:B)</f>
        <v>1199.9760000000001</v>
      </c>
      <c r="R411">
        <f>_xlfn.XLOOKUP(Table3[[#This Row],[Product Name]],Sales!A:A,Sales!C:C)</f>
        <v>3</v>
      </c>
      <c r="S411">
        <f>_xlfn.XLOOKUP(Table3[[#This Row],[Product Name]],Sales!A:A,Sales!D:D)</f>
        <v>0.2</v>
      </c>
      <c r="T411">
        <f>_xlfn.XLOOKUP(Table3[[#This Row],[Product Name]],Sales!A:A,Sales!E:E)</f>
        <v>434.99130000000002</v>
      </c>
    </row>
    <row r="412" spans="1:20" x14ac:dyDescent="0.3">
      <c r="A412">
        <v>408</v>
      </c>
      <c r="B412" t="s">
        <v>1120</v>
      </c>
      <c r="C412">
        <v>8</v>
      </c>
      <c r="D412">
        <v>12</v>
      </c>
      <c r="E412">
        <v>2021</v>
      </c>
      <c r="F412" t="s">
        <v>37</v>
      </c>
      <c r="G412" t="s">
        <v>1121</v>
      </c>
      <c r="H412" t="s">
        <v>2778</v>
      </c>
      <c r="I412" t="s">
        <v>19</v>
      </c>
      <c r="J412" t="s">
        <v>2422</v>
      </c>
      <c r="K412" t="s">
        <v>31</v>
      </c>
      <c r="L412">
        <v>94110</v>
      </c>
      <c r="M412" t="s">
        <v>1124</v>
      </c>
      <c r="N412" t="s">
        <v>33</v>
      </c>
      <c r="O412" t="s">
        <v>70</v>
      </c>
      <c r="P412" t="s">
        <v>1125</v>
      </c>
      <c r="Q412">
        <f>_xlfn.XLOOKUP(Table3[[#This Row],[Product Name]],Sales!A:A,Sales!B:B)</f>
        <v>27.15</v>
      </c>
      <c r="R412">
        <f>_xlfn.XLOOKUP(Table3[[#This Row],[Product Name]],Sales!A:A,Sales!C:C)</f>
        <v>5</v>
      </c>
      <c r="S412">
        <f>_xlfn.XLOOKUP(Table3[[#This Row],[Product Name]],Sales!A:A,Sales!D:D)</f>
        <v>0</v>
      </c>
      <c r="T412">
        <f>_xlfn.XLOOKUP(Table3[[#This Row],[Product Name]],Sales!A:A,Sales!E:E)</f>
        <v>13.3035</v>
      </c>
    </row>
    <row r="413" spans="1:20" x14ac:dyDescent="0.3">
      <c r="A413">
        <v>409</v>
      </c>
      <c r="B413" t="s">
        <v>1120</v>
      </c>
      <c r="C413">
        <v>8</v>
      </c>
      <c r="D413">
        <v>12</v>
      </c>
      <c r="E413">
        <v>2021</v>
      </c>
      <c r="F413" t="s">
        <v>37</v>
      </c>
      <c r="G413" t="s">
        <v>1121</v>
      </c>
      <c r="H413" t="s">
        <v>2778</v>
      </c>
      <c r="I413" t="s">
        <v>19</v>
      </c>
      <c r="J413" t="s">
        <v>2422</v>
      </c>
      <c r="K413" t="s">
        <v>31</v>
      </c>
      <c r="L413">
        <v>94110</v>
      </c>
      <c r="M413" t="s">
        <v>1126</v>
      </c>
      <c r="N413" t="s">
        <v>22</v>
      </c>
      <c r="O413" t="s">
        <v>40</v>
      </c>
      <c r="P413" t="s">
        <v>1127</v>
      </c>
      <c r="Q413">
        <f>_xlfn.XLOOKUP(Table3[[#This Row],[Product Name]],Sales!A:A,Sales!B:B)</f>
        <v>1004.024</v>
      </c>
      <c r="R413">
        <f>_xlfn.XLOOKUP(Table3[[#This Row],[Product Name]],Sales!A:A,Sales!C:C)</f>
        <v>7</v>
      </c>
      <c r="S413">
        <f>_xlfn.XLOOKUP(Table3[[#This Row],[Product Name]],Sales!A:A,Sales!D:D)</f>
        <v>0.2</v>
      </c>
      <c r="T413">
        <f>_xlfn.XLOOKUP(Table3[[#This Row],[Product Name]],Sales!A:A,Sales!E:E)</f>
        <v>-112.95269999999999</v>
      </c>
    </row>
    <row r="414" spans="1:20" x14ac:dyDescent="0.3">
      <c r="A414">
        <v>410</v>
      </c>
      <c r="B414" t="s">
        <v>1120</v>
      </c>
      <c r="C414">
        <v>8</v>
      </c>
      <c r="D414">
        <v>12</v>
      </c>
      <c r="E414">
        <v>2021</v>
      </c>
      <c r="F414" t="s">
        <v>37</v>
      </c>
      <c r="G414" t="s">
        <v>1121</v>
      </c>
      <c r="H414" t="s">
        <v>2778</v>
      </c>
      <c r="I414" t="s">
        <v>19</v>
      </c>
      <c r="J414" t="s">
        <v>2422</v>
      </c>
      <c r="K414" t="s">
        <v>31</v>
      </c>
      <c r="L414">
        <v>94110</v>
      </c>
      <c r="M414" t="s">
        <v>1128</v>
      </c>
      <c r="N414" t="s">
        <v>33</v>
      </c>
      <c r="O414" t="s">
        <v>70</v>
      </c>
      <c r="P414" t="s">
        <v>1129</v>
      </c>
      <c r="Q414">
        <f>_xlfn.XLOOKUP(Table3[[#This Row],[Product Name]],Sales!A:A,Sales!B:B)</f>
        <v>9.68</v>
      </c>
      <c r="R414">
        <f>_xlfn.XLOOKUP(Table3[[#This Row],[Product Name]],Sales!A:A,Sales!C:C)</f>
        <v>1</v>
      </c>
      <c r="S414">
        <f>_xlfn.XLOOKUP(Table3[[#This Row],[Product Name]],Sales!A:A,Sales!D:D)</f>
        <v>0</v>
      </c>
      <c r="T414">
        <f>_xlfn.XLOOKUP(Table3[[#This Row],[Product Name]],Sales!A:A,Sales!E:E)</f>
        <v>4.6463999999999999</v>
      </c>
    </row>
    <row r="415" spans="1:20" x14ac:dyDescent="0.3">
      <c r="A415">
        <v>411</v>
      </c>
      <c r="B415" t="s">
        <v>1120</v>
      </c>
      <c r="C415">
        <v>8</v>
      </c>
      <c r="D415">
        <v>12</v>
      </c>
      <c r="E415">
        <v>2021</v>
      </c>
      <c r="F415" t="s">
        <v>37</v>
      </c>
      <c r="G415" t="s">
        <v>1121</v>
      </c>
      <c r="H415" t="s">
        <v>2778</v>
      </c>
      <c r="I415" t="s">
        <v>19</v>
      </c>
      <c r="J415" t="s">
        <v>2422</v>
      </c>
      <c r="K415" t="s">
        <v>31</v>
      </c>
      <c r="L415">
        <v>94110</v>
      </c>
      <c r="M415" t="s">
        <v>1130</v>
      </c>
      <c r="N415" t="s">
        <v>33</v>
      </c>
      <c r="O415" t="s">
        <v>34</v>
      </c>
      <c r="P415" t="s">
        <v>1131</v>
      </c>
      <c r="Q415">
        <f>_xlfn.XLOOKUP(Table3[[#This Row],[Product Name]],Sales!A:A,Sales!B:B)</f>
        <v>28.35</v>
      </c>
      <c r="R415">
        <f>_xlfn.XLOOKUP(Table3[[#This Row],[Product Name]],Sales!A:A,Sales!C:C)</f>
        <v>9</v>
      </c>
      <c r="S415">
        <f>_xlfn.XLOOKUP(Table3[[#This Row],[Product Name]],Sales!A:A,Sales!D:D)</f>
        <v>0</v>
      </c>
      <c r="T415">
        <f>_xlfn.XLOOKUP(Table3[[#This Row],[Product Name]],Sales!A:A,Sales!E:E)</f>
        <v>13.608000000000001</v>
      </c>
    </row>
    <row r="416" spans="1:20" x14ac:dyDescent="0.3">
      <c r="A416">
        <v>412</v>
      </c>
      <c r="B416" t="s">
        <v>1120</v>
      </c>
      <c r="C416">
        <v>8</v>
      </c>
      <c r="D416">
        <v>12</v>
      </c>
      <c r="E416">
        <v>2021</v>
      </c>
      <c r="F416" t="s">
        <v>37</v>
      </c>
      <c r="G416" t="s">
        <v>1121</v>
      </c>
      <c r="H416" t="s">
        <v>2778</v>
      </c>
      <c r="I416" t="s">
        <v>19</v>
      </c>
      <c r="J416" t="s">
        <v>2422</v>
      </c>
      <c r="K416" t="s">
        <v>31</v>
      </c>
      <c r="L416">
        <v>94110</v>
      </c>
      <c r="M416" t="s">
        <v>976</v>
      </c>
      <c r="N416" t="s">
        <v>33</v>
      </c>
      <c r="O416" t="s">
        <v>70</v>
      </c>
      <c r="P416" t="s">
        <v>1132</v>
      </c>
      <c r="Q416">
        <f>_xlfn.XLOOKUP(Table3[[#This Row],[Product Name]],Sales!A:A,Sales!B:B)</f>
        <v>55.98</v>
      </c>
      <c r="R416">
        <f>_xlfn.XLOOKUP(Table3[[#This Row],[Product Name]],Sales!A:A,Sales!C:C)</f>
        <v>1</v>
      </c>
      <c r="S416">
        <f>_xlfn.XLOOKUP(Table3[[#This Row],[Product Name]],Sales!A:A,Sales!D:D)</f>
        <v>0</v>
      </c>
      <c r="T416">
        <f>_xlfn.XLOOKUP(Table3[[#This Row],[Product Name]],Sales!A:A,Sales!E:E)</f>
        <v>27.430199999999999</v>
      </c>
    </row>
    <row r="417" spans="1:20" x14ac:dyDescent="0.3">
      <c r="A417">
        <v>413</v>
      </c>
      <c r="B417" t="s">
        <v>1120</v>
      </c>
      <c r="C417">
        <v>8</v>
      </c>
      <c r="D417">
        <v>12</v>
      </c>
      <c r="E417">
        <v>2021</v>
      </c>
      <c r="F417" t="s">
        <v>37</v>
      </c>
      <c r="G417" t="s">
        <v>1121</v>
      </c>
      <c r="H417" t="s">
        <v>2778</v>
      </c>
      <c r="I417" t="s">
        <v>19</v>
      </c>
      <c r="J417" t="s">
        <v>2422</v>
      </c>
      <c r="K417" t="s">
        <v>31</v>
      </c>
      <c r="L417">
        <v>94110</v>
      </c>
      <c r="M417" t="s">
        <v>1133</v>
      </c>
      <c r="N417" t="s">
        <v>22</v>
      </c>
      <c r="O417" t="s">
        <v>23</v>
      </c>
      <c r="P417" t="s">
        <v>1134</v>
      </c>
      <c r="Q417">
        <f>_xlfn.XLOOKUP(Table3[[#This Row],[Product Name]],Sales!A:A,Sales!B:B)</f>
        <v>1336.829</v>
      </c>
      <c r="R417">
        <f>_xlfn.XLOOKUP(Table3[[#This Row],[Product Name]],Sales!A:A,Sales!C:C)</f>
        <v>13</v>
      </c>
      <c r="S417">
        <f>_xlfn.XLOOKUP(Table3[[#This Row],[Product Name]],Sales!A:A,Sales!D:D)</f>
        <v>0.15</v>
      </c>
      <c r="T417">
        <f>_xlfn.XLOOKUP(Table3[[#This Row],[Product Name]],Sales!A:A,Sales!E:E)</f>
        <v>31.454799999999999</v>
      </c>
    </row>
    <row r="418" spans="1:20" x14ac:dyDescent="0.3">
      <c r="A418">
        <v>414</v>
      </c>
      <c r="B418" t="s">
        <v>1120</v>
      </c>
      <c r="C418">
        <v>8</v>
      </c>
      <c r="D418">
        <v>12</v>
      </c>
      <c r="E418">
        <v>2021</v>
      </c>
      <c r="F418" t="s">
        <v>37</v>
      </c>
      <c r="G418" t="s">
        <v>1121</v>
      </c>
      <c r="H418" t="s">
        <v>2778</v>
      </c>
      <c r="I418" t="s">
        <v>19</v>
      </c>
      <c r="J418" t="s">
        <v>2422</v>
      </c>
      <c r="K418" t="s">
        <v>31</v>
      </c>
      <c r="L418">
        <v>94110</v>
      </c>
      <c r="M418" t="s">
        <v>1135</v>
      </c>
      <c r="N418" t="s">
        <v>22</v>
      </c>
      <c r="O418" t="s">
        <v>26</v>
      </c>
      <c r="P418" t="s">
        <v>1136</v>
      </c>
      <c r="Q418">
        <f>_xlfn.XLOOKUP(Table3[[#This Row],[Product Name]],Sales!A:A,Sales!B:B)</f>
        <v>113.568</v>
      </c>
      <c r="R418">
        <f>_xlfn.XLOOKUP(Table3[[#This Row],[Product Name]],Sales!A:A,Sales!C:C)</f>
        <v>2</v>
      </c>
      <c r="S418">
        <f>_xlfn.XLOOKUP(Table3[[#This Row],[Product Name]],Sales!A:A,Sales!D:D)</f>
        <v>0.2</v>
      </c>
      <c r="T418">
        <f>_xlfn.XLOOKUP(Table3[[#This Row],[Product Name]],Sales!A:A,Sales!E:E)</f>
        <v>-18.454799999999999</v>
      </c>
    </row>
    <row r="419" spans="1:20" x14ac:dyDescent="0.3">
      <c r="A419">
        <v>415</v>
      </c>
      <c r="B419" t="s">
        <v>1137</v>
      </c>
      <c r="C419">
        <v>3</v>
      </c>
      <c r="D419">
        <v>11</v>
      </c>
      <c r="E419">
        <v>2021</v>
      </c>
      <c r="F419" t="s">
        <v>37</v>
      </c>
      <c r="G419" t="s">
        <v>1138</v>
      </c>
      <c r="H419" t="s">
        <v>2779</v>
      </c>
      <c r="I419" t="s">
        <v>30</v>
      </c>
      <c r="J419" t="s">
        <v>2418</v>
      </c>
      <c r="K419" t="s">
        <v>31</v>
      </c>
      <c r="L419">
        <v>98105</v>
      </c>
      <c r="M419" t="s">
        <v>1139</v>
      </c>
      <c r="N419" t="s">
        <v>33</v>
      </c>
      <c r="O419" t="s">
        <v>70</v>
      </c>
      <c r="P419" t="s">
        <v>1140</v>
      </c>
      <c r="Q419">
        <f>_xlfn.XLOOKUP(Table3[[#This Row],[Product Name]],Sales!A:A,Sales!B:B)</f>
        <v>139.86000000000001</v>
      </c>
      <c r="R419">
        <f>_xlfn.XLOOKUP(Table3[[#This Row],[Product Name]],Sales!A:A,Sales!C:C)</f>
        <v>7</v>
      </c>
      <c r="S419">
        <f>_xlfn.XLOOKUP(Table3[[#This Row],[Product Name]],Sales!A:A,Sales!D:D)</f>
        <v>0</v>
      </c>
      <c r="T419">
        <f>_xlfn.XLOOKUP(Table3[[#This Row],[Product Name]],Sales!A:A,Sales!E:E)</f>
        <v>65.734200000000001</v>
      </c>
    </row>
    <row r="420" spans="1:20" x14ac:dyDescent="0.3">
      <c r="A420">
        <v>416</v>
      </c>
      <c r="B420" t="s">
        <v>1137</v>
      </c>
      <c r="C420">
        <v>3</v>
      </c>
      <c r="D420">
        <v>11</v>
      </c>
      <c r="E420">
        <v>2021</v>
      </c>
      <c r="F420" t="s">
        <v>37</v>
      </c>
      <c r="G420" t="s">
        <v>1138</v>
      </c>
      <c r="H420" t="s">
        <v>2779</v>
      </c>
      <c r="I420" t="s">
        <v>30</v>
      </c>
      <c r="J420" t="s">
        <v>2418</v>
      </c>
      <c r="K420" t="s">
        <v>31</v>
      </c>
      <c r="L420">
        <v>98105</v>
      </c>
      <c r="M420" t="s">
        <v>841</v>
      </c>
      <c r="N420" t="s">
        <v>22</v>
      </c>
      <c r="O420" t="s">
        <v>26</v>
      </c>
      <c r="P420" t="s">
        <v>842</v>
      </c>
      <c r="Q420">
        <f>_xlfn.XLOOKUP(Table3[[#This Row],[Product Name]],Sales!A:A,Sales!B:B)</f>
        <v>230.352</v>
      </c>
      <c r="R420">
        <f>_xlfn.XLOOKUP(Table3[[#This Row],[Product Name]],Sales!A:A,Sales!C:C)</f>
        <v>3</v>
      </c>
      <c r="S420">
        <f>_xlfn.XLOOKUP(Table3[[#This Row],[Product Name]],Sales!A:A,Sales!D:D)</f>
        <v>0.2</v>
      </c>
      <c r="T420">
        <f>_xlfn.XLOOKUP(Table3[[#This Row],[Product Name]],Sales!A:A,Sales!E:E)</f>
        <v>20.155799999999999</v>
      </c>
    </row>
    <row r="421" spans="1:20" x14ac:dyDescent="0.3">
      <c r="A421">
        <v>417</v>
      </c>
      <c r="B421" t="s">
        <v>1141</v>
      </c>
      <c r="C421">
        <v>24</v>
      </c>
      <c r="D421">
        <v>6</v>
      </c>
      <c r="E421">
        <v>2021</v>
      </c>
      <c r="F421" t="s">
        <v>37</v>
      </c>
      <c r="G421" t="s">
        <v>1142</v>
      </c>
      <c r="H421" t="s">
        <v>2780</v>
      </c>
      <c r="I421" t="s">
        <v>19</v>
      </c>
      <c r="J421" t="s">
        <v>2522</v>
      </c>
      <c r="K421" t="s">
        <v>31</v>
      </c>
      <c r="L421">
        <v>92646</v>
      </c>
      <c r="M421" t="s">
        <v>1143</v>
      </c>
      <c r="N421" t="s">
        <v>33</v>
      </c>
      <c r="O421" t="s">
        <v>51</v>
      </c>
      <c r="P421" t="s">
        <v>1144</v>
      </c>
      <c r="Q421">
        <f>_xlfn.XLOOKUP(Table3[[#This Row],[Product Name]],Sales!A:A,Sales!B:B)</f>
        <v>95.92</v>
      </c>
      <c r="R421">
        <f>_xlfn.XLOOKUP(Table3[[#This Row],[Product Name]],Sales!A:A,Sales!C:C)</f>
        <v>8</v>
      </c>
      <c r="S421">
        <f>_xlfn.XLOOKUP(Table3[[#This Row],[Product Name]],Sales!A:A,Sales!D:D)</f>
        <v>0</v>
      </c>
      <c r="T421">
        <f>_xlfn.XLOOKUP(Table3[[#This Row],[Product Name]],Sales!A:A,Sales!E:E)</f>
        <v>25.898399999999999</v>
      </c>
    </row>
    <row r="422" spans="1:20" x14ac:dyDescent="0.3">
      <c r="A422">
        <v>418</v>
      </c>
      <c r="B422" t="s">
        <v>1145</v>
      </c>
      <c r="C422">
        <v>14</v>
      </c>
      <c r="D422">
        <v>4</v>
      </c>
      <c r="E422">
        <v>2020</v>
      </c>
      <c r="F422" t="s">
        <v>37</v>
      </c>
      <c r="G422" t="s">
        <v>1146</v>
      </c>
      <c r="H422" t="s">
        <v>2781</v>
      </c>
      <c r="I422" t="s">
        <v>19</v>
      </c>
      <c r="J422" t="s">
        <v>2415</v>
      </c>
      <c r="K422" t="s">
        <v>31</v>
      </c>
      <c r="L422">
        <v>90004</v>
      </c>
      <c r="M422" t="s">
        <v>1147</v>
      </c>
      <c r="N422" t="s">
        <v>22</v>
      </c>
      <c r="O422" t="s">
        <v>26</v>
      </c>
      <c r="P422" t="s">
        <v>1148</v>
      </c>
      <c r="Q422">
        <f>_xlfn.XLOOKUP(Table3[[#This Row],[Product Name]],Sales!A:A,Sales!B:B)</f>
        <v>383.8</v>
      </c>
      <c r="R422">
        <f>_xlfn.XLOOKUP(Table3[[#This Row],[Product Name]],Sales!A:A,Sales!C:C)</f>
        <v>5</v>
      </c>
      <c r="S422">
        <f>_xlfn.XLOOKUP(Table3[[#This Row],[Product Name]],Sales!A:A,Sales!D:D)</f>
        <v>0.2</v>
      </c>
      <c r="T422">
        <f>_xlfn.XLOOKUP(Table3[[#This Row],[Product Name]],Sales!A:A,Sales!E:E)</f>
        <v>38.380000000000003</v>
      </c>
    </row>
    <row r="423" spans="1:20" x14ac:dyDescent="0.3">
      <c r="A423">
        <v>419</v>
      </c>
      <c r="B423" t="s">
        <v>1149</v>
      </c>
      <c r="C423">
        <v>6</v>
      </c>
      <c r="D423">
        <v>11</v>
      </c>
      <c r="E423">
        <v>2021</v>
      </c>
      <c r="F423" t="s">
        <v>37</v>
      </c>
      <c r="G423" t="s">
        <v>994</v>
      </c>
      <c r="H423" t="s">
        <v>2756</v>
      </c>
      <c r="I423" t="s">
        <v>30</v>
      </c>
      <c r="J423" t="s">
        <v>2523</v>
      </c>
      <c r="K423" t="s">
        <v>20</v>
      </c>
      <c r="L423">
        <v>40475</v>
      </c>
      <c r="M423" t="s">
        <v>1150</v>
      </c>
      <c r="N423" t="s">
        <v>33</v>
      </c>
      <c r="O423" t="s">
        <v>70</v>
      </c>
      <c r="P423" t="s">
        <v>1151</v>
      </c>
      <c r="Q423">
        <f>_xlfn.XLOOKUP(Table3[[#This Row],[Product Name]],Sales!A:A,Sales!B:B)</f>
        <v>5.78</v>
      </c>
      <c r="R423">
        <f>_xlfn.XLOOKUP(Table3[[#This Row],[Product Name]],Sales!A:A,Sales!C:C)</f>
        <v>1</v>
      </c>
      <c r="S423">
        <f>_xlfn.XLOOKUP(Table3[[#This Row],[Product Name]],Sales!A:A,Sales!D:D)</f>
        <v>0</v>
      </c>
      <c r="T423">
        <f>_xlfn.XLOOKUP(Table3[[#This Row],[Product Name]],Sales!A:A,Sales!E:E)</f>
        <v>2.8321999999999998</v>
      </c>
    </row>
    <row r="424" spans="1:20" x14ac:dyDescent="0.3">
      <c r="A424">
        <v>420</v>
      </c>
      <c r="B424" t="s">
        <v>1152</v>
      </c>
      <c r="C424">
        <v>4</v>
      </c>
      <c r="D424">
        <v>3</v>
      </c>
      <c r="E424">
        <v>2021</v>
      </c>
      <c r="F424" t="s">
        <v>37</v>
      </c>
      <c r="G424" t="s">
        <v>901</v>
      </c>
      <c r="H424" t="s">
        <v>2743</v>
      </c>
      <c r="I424" t="s">
        <v>30</v>
      </c>
      <c r="J424" t="s">
        <v>2415</v>
      </c>
      <c r="K424" t="s">
        <v>31</v>
      </c>
      <c r="L424">
        <v>90045</v>
      </c>
      <c r="M424" t="s">
        <v>1153</v>
      </c>
      <c r="N424" t="s">
        <v>33</v>
      </c>
      <c r="O424" t="s">
        <v>51</v>
      </c>
      <c r="P424" t="s">
        <v>1154</v>
      </c>
      <c r="Q424">
        <f>_xlfn.XLOOKUP(Table3[[#This Row],[Product Name]],Sales!A:A,Sales!B:B)</f>
        <v>9.32</v>
      </c>
      <c r="R424">
        <f>_xlfn.XLOOKUP(Table3[[#This Row],[Product Name]],Sales!A:A,Sales!C:C)</f>
        <v>4</v>
      </c>
      <c r="S424">
        <f>_xlfn.XLOOKUP(Table3[[#This Row],[Product Name]],Sales!A:A,Sales!D:D)</f>
        <v>0</v>
      </c>
      <c r="T424">
        <f>_xlfn.XLOOKUP(Table3[[#This Row],[Product Name]],Sales!A:A,Sales!E:E)</f>
        <v>2.7027999999999999</v>
      </c>
    </row>
    <row r="425" spans="1:20" x14ac:dyDescent="0.3">
      <c r="A425">
        <v>421</v>
      </c>
      <c r="B425" t="s">
        <v>1152</v>
      </c>
      <c r="C425">
        <v>4</v>
      </c>
      <c r="D425">
        <v>3</v>
      </c>
      <c r="E425">
        <v>2021</v>
      </c>
      <c r="F425" t="s">
        <v>37</v>
      </c>
      <c r="G425" t="s">
        <v>901</v>
      </c>
      <c r="H425" t="s">
        <v>2743</v>
      </c>
      <c r="I425" t="s">
        <v>30</v>
      </c>
      <c r="J425" t="s">
        <v>2415</v>
      </c>
      <c r="K425" t="s">
        <v>31</v>
      </c>
      <c r="L425">
        <v>90045</v>
      </c>
      <c r="M425" t="s">
        <v>1155</v>
      </c>
      <c r="N425" t="s">
        <v>33</v>
      </c>
      <c r="O425" t="s">
        <v>129</v>
      </c>
      <c r="P425" t="s">
        <v>1156</v>
      </c>
      <c r="Q425">
        <f>_xlfn.XLOOKUP(Table3[[#This Row],[Product Name]],Sales!A:A,Sales!B:B)</f>
        <v>15.25</v>
      </c>
      <c r="R425">
        <f>_xlfn.XLOOKUP(Table3[[#This Row],[Product Name]],Sales!A:A,Sales!C:C)</f>
        <v>1</v>
      </c>
      <c r="S425">
        <f>_xlfn.XLOOKUP(Table3[[#This Row],[Product Name]],Sales!A:A,Sales!D:D)</f>
        <v>0</v>
      </c>
      <c r="T425">
        <f>_xlfn.XLOOKUP(Table3[[#This Row],[Product Name]],Sales!A:A,Sales!E:E)</f>
        <v>7.0149999999999997</v>
      </c>
    </row>
    <row r="426" spans="1:20" x14ac:dyDescent="0.3">
      <c r="A426">
        <v>422</v>
      </c>
      <c r="B426" t="s">
        <v>1157</v>
      </c>
      <c r="C426">
        <v>22</v>
      </c>
      <c r="D426">
        <v>6</v>
      </c>
      <c r="E426">
        <v>2018</v>
      </c>
      <c r="F426" t="s">
        <v>142</v>
      </c>
      <c r="G426" t="s">
        <v>249</v>
      </c>
      <c r="H426" t="s">
        <v>2641</v>
      </c>
      <c r="I426" t="s">
        <v>19</v>
      </c>
      <c r="J426" t="s">
        <v>2524</v>
      </c>
      <c r="K426" t="s">
        <v>31</v>
      </c>
      <c r="L426">
        <v>80027</v>
      </c>
      <c r="M426" t="s">
        <v>1158</v>
      </c>
      <c r="N426" t="s">
        <v>54</v>
      </c>
      <c r="O426" t="s">
        <v>118</v>
      </c>
      <c r="P426" t="s">
        <v>1159</v>
      </c>
      <c r="Q426">
        <f>_xlfn.XLOOKUP(Table3[[#This Row],[Product Name]],Sales!A:A,Sales!B:B)</f>
        <v>196.75200000000001</v>
      </c>
      <c r="R426">
        <f>_xlfn.XLOOKUP(Table3[[#This Row],[Product Name]],Sales!A:A,Sales!C:C)</f>
        <v>6</v>
      </c>
      <c r="S426">
        <f>_xlfn.XLOOKUP(Table3[[#This Row],[Product Name]],Sales!A:A,Sales!D:D)</f>
        <v>0.2</v>
      </c>
      <c r="T426">
        <f>_xlfn.XLOOKUP(Table3[[#This Row],[Product Name]],Sales!A:A,Sales!E:E)</f>
        <v>56.566200000000002</v>
      </c>
    </row>
    <row r="427" spans="1:20" x14ac:dyDescent="0.3">
      <c r="A427">
        <v>423</v>
      </c>
      <c r="B427" t="s">
        <v>1160</v>
      </c>
      <c r="C427">
        <v>19</v>
      </c>
      <c r="D427">
        <v>10</v>
      </c>
      <c r="E427">
        <v>2021</v>
      </c>
      <c r="F427" t="s">
        <v>37</v>
      </c>
      <c r="G427" t="s">
        <v>1161</v>
      </c>
      <c r="H427" t="s">
        <v>2782</v>
      </c>
      <c r="I427" t="s">
        <v>30</v>
      </c>
      <c r="J427" t="s">
        <v>2525</v>
      </c>
      <c r="K427" t="s">
        <v>108</v>
      </c>
      <c r="L427">
        <v>1841</v>
      </c>
      <c r="M427" t="s">
        <v>1162</v>
      </c>
      <c r="N427" t="s">
        <v>22</v>
      </c>
      <c r="O427" t="s">
        <v>48</v>
      </c>
      <c r="P427" t="s">
        <v>1163</v>
      </c>
      <c r="Q427">
        <f>_xlfn.XLOOKUP(Table3[[#This Row],[Product Name]],Sales!A:A,Sales!B:B)</f>
        <v>56.56</v>
      </c>
      <c r="R427">
        <f>_xlfn.XLOOKUP(Table3[[#This Row],[Product Name]],Sales!A:A,Sales!C:C)</f>
        <v>4</v>
      </c>
      <c r="S427">
        <f>_xlfn.XLOOKUP(Table3[[#This Row],[Product Name]],Sales!A:A,Sales!D:D)</f>
        <v>0</v>
      </c>
      <c r="T427">
        <f>_xlfn.XLOOKUP(Table3[[#This Row],[Product Name]],Sales!A:A,Sales!E:E)</f>
        <v>14.7056</v>
      </c>
    </row>
    <row r="428" spans="1:20" x14ac:dyDescent="0.3">
      <c r="A428">
        <v>424</v>
      </c>
      <c r="B428" t="s">
        <v>1160</v>
      </c>
      <c r="C428">
        <v>19</v>
      </c>
      <c r="D428">
        <v>10</v>
      </c>
      <c r="E428">
        <v>2021</v>
      </c>
      <c r="F428" t="s">
        <v>37</v>
      </c>
      <c r="G428" t="s">
        <v>1161</v>
      </c>
      <c r="H428" t="s">
        <v>2782</v>
      </c>
      <c r="I428" t="s">
        <v>30</v>
      </c>
      <c r="J428" t="s">
        <v>2525</v>
      </c>
      <c r="K428" t="s">
        <v>108</v>
      </c>
      <c r="L428">
        <v>1841</v>
      </c>
      <c r="M428" t="s">
        <v>1164</v>
      </c>
      <c r="N428" t="s">
        <v>33</v>
      </c>
      <c r="O428" t="s">
        <v>43</v>
      </c>
      <c r="P428" t="s">
        <v>1165</v>
      </c>
      <c r="Q428">
        <f>_xlfn.XLOOKUP(Table3[[#This Row],[Product Name]],Sales!A:A,Sales!B:B)</f>
        <v>32.700000000000003</v>
      </c>
      <c r="R428">
        <f>_xlfn.XLOOKUP(Table3[[#This Row],[Product Name]],Sales!A:A,Sales!C:C)</f>
        <v>3</v>
      </c>
      <c r="S428">
        <f>_xlfn.XLOOKUP(Table3[[#This Row],[Product Name]],Sales!A:A,Sales!D:D)</f>
        <v>0</v>
      </c>
      <c r="T428">
        <f>_xlfn.XLOOKUP(Table3[[#This Row],[Product Name]],Sales!A:A,Sales!E:E)</f>
        <v>8.5020000000000007</v>
      </c>
    </row>
    <row r="429" spans="1:20" x14ac:dyDescent="0.3">
      <c r="A429">
        <v>425</v>
      </c>
      <c r="B429" t="s">
        <v>1166</v>
      </c>
      <c r="C429">
        <v>21</v>
      </c>
      <c r="D429">
        <v>8</v>
      </c>
      <c r="E429">
        <v>2021</v>
      </c>
      <c r="F429" t="s">
        <v>17</v>
      </c>
      <c r="G429" t="s">
        <v>1167</v>
      </c>
      <c r="H429" t="s">
        <v>2783</v>
      </c>
      <c r="I429" t="s">
        <v>19</v>
      </c>
      <c r="J429" t="s">
        <v>2526</v>
      </c>
      <c r="K429" t="s">
        <v>20</v>
      </c>
      <c r="L429">
        <v>39212</v>
      </c>
      <c r="M429" t="s">
        <v>1168</v>
      </c>
      <c r="N429" t="s">
        <v>22</v>
      </c>
      <c r="O429" t="s">
        <v>26</v>
      </c>
      <c r="P429" t="s">
        <v>1169</v>
      </c>
      <c r="Q429">
        <f>_xlfn.XLOOKUP(Table3[[#This Row],[Product Name]],Sales!A:A,Sales!B:B)</f>
        <v>866.4</v>
      </c>
      <c r="R429">
        <f>_xlfn.XLOOKUP(Table3[[#This Row],[Product Name]],Sales!A:A,Sales!C:C)</f>
        <v>4</v>
      </c>
      <c r="S429">
        <f>_xlfn.XLOOKUP(Table3[[#This Row],[Product Name]],Sales!A:A,Sales!D:D)</f>
        <v>0</v>
      </c>
      <c r="T429">
        <f>_xlfn.XLOOKUP(Table3[[#This Row],[Product Name]],Sales!A:A,Sales!E:E)</f>
        <v>225.26400000000001</v>
      </c>
    </row>
    <row r="430" spans="1:20" x14ac:dyDescent="0.3">
      <c r="A430">
        <v>426</v>
      </c>
      <c r="B430" t="s">
        <v>1170</v>
      </c>
      <c r="C430">
        <v>23</v>
      </c>
      <c r="D430">
        <v>11</v>
      </c>
      <c r="E430">
        <v>2021</v>
      </c>
      <c r="F430" t="s">
        <v>17</v>
      </c>
      <c r="G430" t="s">
        <v>197</v>
      </c>
      <c r="H430" t="s">
        <v>2634</v>
      </c>
      <c r="I430" t="s">
        <v>30</v>
      </c>
      <c r="J430" t="s">
        <v>2527</v>
      </c>
      <c r="K430" t="s">
        <v>79</v>
      </c>
      <c r="L430">
        <v>48187</v>
      </c>
      <c r="M430" t="s">
        <v>1171</v>
      </c>
      <c r="N430" t="s">
        <v>22</v>
      </c>
      <c r="O430" t="s">
        <v>48</v>
      </c>
      <c r="P430" t="s">
        <v>1172</v>
      </c>
      <c r="Q430">
        <f>_xlfn.XLOOKUP(Table3[[#This Row],[Product Name]],Sales!A:A,Sales!B:B)</f>
        <v>28.4</v>
      </c>
      <c r="R430">
        <f>_xlfn.XLOOKUP(Table3[[#This Row],[Product Name]],Sales!A:A,Sales!C:C)</f>
        <v>2</v>
      </c>
      <c r="S430">
        <f>_xlfn.XLOOKUP(Table3[[#This Row],[Product Name]],Sales!A:A,Sales!D:D)</f>
        <v>0</v>
      </c>
      <c r="T430">
        <f>_xlfn.XLOOKUP(Table3[[#This Row],[Product Name]],Sales!A:A,Sales!E:E)</f>
        <v>11.076000000000001</v>
      </c>
    </row>
    <row r="431" spans="1:20" x14ac:dyDescent="0.3">
      <c r="A431">
        <v>427</v>
      </c>
      <c r="B431" t="s">
        <v>1170</v>
      </c>
      <c r="C431">
        <v>23</v>
      </c>
      <c r="D431">
        <v>11</v>
      </c>
      <c r="E431">
        <v>2021</v>
      </c>
      <c r="F431" t="s">
        <v>17</v>
      </c>
      <c r="G431" t="s">
        <v>197</v>
      </c>
      <c r="H431" t="s">
        <v>2634</v>
      </c>
      <c r="I431" t="s">
        <v>30</v>
      </c>
      <c r="J431" t="s">
        <v>2527</v>
      </c>
      <c r="K431" t="s">
        <v>79</v>
      </c>
      <c r="L431">
        <v>48187</v>
      </c>
      <c r="M431" t="s">
        <v>1173</v>
      </c>
      <c r="N431" t="s">
        <v>33</v>
      </c>
      <c r="O431" t="s">
        <v>58</v>
      </c>
      <c r="P431" t="s">
        <v>1174</v>
      </c>
      <c r="Q431">
        <f>_xlfn.XLOOKUP(Table3[[#This Row],[Product Name]],Sales!A:A,Sales!B:B)</f>
        <v>287.92</v>
      </c>
      <c r="R431">
        <f>_xlfn.XLOOKUP(Table3[[#This Row],[Product Name]],Sales!A:A,Sales!C:C)</f>
        <v>8</v>
      </c>
      <c r="S431">
        <f>_xlfn.XLOOKUP(Table3[[#This Row],[Product Name]],Sales!A:A,Sales!D:D)</f>
        <v>0</v>
      </c>
      <c r="T431">
        <f>_xlfn.XLOOKUP(Table3[[#This Row],[Product Name]],Sales!A:A,Sales!E:E)</f>
        <v>138.20160000000001</v>
      </c>
    </row>
    <row r="432" spans="1:20" x14ac:dyDescent="0.3">
      <c r="A432">
        <v>428</v>
      </c>
      <c r="B432" t="s">
        <v>1175</v>
      </c>
      <c r="C432">
        <v>12</v>
      </c>
      <c r="D432">
        <v>9</v>
      </c>
      <c r="E432">
        <v>2018</v>
      </c>
      <c r="F432" t="s">
        <v>142</v>
      </c>
      <c r="G432" t="s">
        <v>1176</v>
      </c>
      <c r="H432" t="s">
        <v>2784</v>
      </c>
      <c r="I432" t="s">
        <v>78</v>
      </c>
      <c r="J432" t="s">
        <v>2528</v>
      </c>
      <c r="K432" t="s">
        <v>108</v>
      </c>
      <c r="L432">
        <v>10801</v>
      </c>
      <c r="M432" t="s">
        <v>1177</v>
      </c>
      <c r="N432" t="s">
        <v>54</v>
      </c>
      <c r="O432" t="s">
        <v>515</v>
      </c>
      <c r="P432" t="s">
        <v>1178</v>
      </c>
      <c r="Q432">
        <f>_xlfn.XLOOKUP(Table3[[#This Row],[Product Name]],Sales!A:A,Sales!B:B)</f>
        <v>69.989999999999995</v>
      </c>
      <c r="R432">
        <f>_xlfn.XLOOKUP(Table3[[#This Row],[Product Name]],Sales!A:A,Sales!C:C)</f>
        <v>1</v>
      </c>
      <c r="S432">
        <f>_xlfn.XLOOKUP(Table3[[#This Row],[Product Name]],Sales!A:A,Sales!D:D)</f>
        <v>0</v>
      </c>
      <c r="T432">
        <f>_xlfn.XLOOKUP(Table3[[#This Row],[Product Name]],Sales!A:A,Sales!E:E)</f>
        <v>30.095700000000001</v>
      </c>
    </row>
    <row r="433" spans="1:20" x14ac:dyDescent="0.3">
      <c r="A433">
        <v>429</v>
      </c>
      <c r="B433" t="s">
        <v>1179</v>
      </c>
      <c r="C433">
        <v>1</v>
      </c>
      <c r="D433">
        <v>10</v>
      </c>
      <c r="E433">
        <v>2021</v>
      </c>
      <c r="F433" t="s">
        <v>37</v>
      </c>
      <c r="G433" t="s">
        <v>1180</v>
      </c>
      <c r="H433" t="s">
        <v>2785</v>
      </c>
      <c r="I433" t="s">
        <v>30</v>
      </c>
      <c r="J433" t="s">
        <v>2466</v>
      </c>
      <c r="K433" t="s">
        <v>79</v>
      </c>
      <c r="L433">
        <v>78207</v>
      </c>
      <c r="M433" t="s">
        <v>1181</v>
      </c>
      <c r="N433" t="s">
        <v>33</v>
      </c>
      <c r="O433" t="s">
        <v>51</v>
      </c>
      <c r="P433" t="s">
        <v>1182</v>
      </c>
      <c r="Q433">
        <f>_xlfn.XLOOKUP(Table3[[#This Row],[Product Name]],Sales!A:A,Sales!B:B)</f>
        <v>6.6719999999999997</v>
      </c>
      <c r="R433">
        <f>_xlfn.XLOOKUP(Table3[[#This Row],[Product Name]],Sales!A:A,Sales!C:C)</f>
        <v>6</v>
      </c>
      <c r="S433">
        <f>_xlfn.XLOOKUP(Table3[[#This Row],[Product Name]],Sales!A:A,Sales!D:D)</f>
        <v>0.2</v>
      </c>
      <c r="T433">
        <f>_xlfn.XLOOKUP(Table3[[#This Row],[Product Name]],Sales!A:A,Sales!E:E)</f>
        <v>0.50039999999999996</v>
      </c>
    </row>
    <row r="434" spans="1:20" x14ac:dyDescent="0.3">
      <c r="A434">
        <v>430</v>
      </c>
      <c r="B434" t="s">
        <v>1183</v>
      </c>
      <c r="C434">
        <v>15</v>
      </c>
      <c r="D434">
        <v>4</v>
      </c>
      <c r="E434">
        <v>2020</v>
      </c>
      <c r="F434" t="s">
        <v>37</v>
      </c>
      <c r="G434" t="s">
        <v>1184</v>
      </c>
      <c r="H434" t="s">
        <v>2786</v>
      </c>
      <c r="I434" t="s">
        <v>78</v>
      </c>
      <c r="J434" t="s">
        <v>2529</v>
      </c>
      <c r="K434" t="s">
        <v>20</v>
      </c>
      <c r="L434">
        <v>28052</v>
      </c>
      <c r="M434" t="s">
        <v>1185</v>
      </c>
      <c r="N434" t="s">
        <v>33</v>
      </c>
      <c r="O434" t="s">
        <v>58</v>
      </c>
      <c r="P434" t="s">
        <v>1186</v>
      </c>
      <c r="Q434">
        <f>_xlfn.XLOOKUP(Table3[[#This Row],[Product Name]],Sales!A:A,Sales!B:B)</f>
        <v>189.58799999999999</v>
      </c>
      <c r="R434">
        <f>_xlfn.XLOOKUP(Table3[[#This Row],[Product Name]],Sales!A:A,Sales!C:C)</f>
        <v>2</v>
      </c>
      <c r="S434">
        <f>_xlfn.XLOOKUP(Table3[[#This Row],[Product Name]],Sales!A:A,Sales!D:D)</f>
        <v>0.7</v>
      </c>
      <c r="T434">
        <f>_xlfn.XLOOKUP(Table3[[#This Row],[Product Name]],Sales!A:A,Sales!E:E)</f>
        <v>-145.35079999999999</v>
      </c>
    </row>
    <row r="435" spans="1:20" x14ac:dyDescent="0.3">
      <c r="A435">
        <v>431</v>
      </c>
      <c r="B435" t="s">
        <v>1183</v>
      </c>
      <c r="C435">
        <v>15</v>
      </c>
      <c r="D435">
        <v>4</v>
      </c>
      <c r="E435">
        <v>2020</v>
      </c>
      <c r="F435" t="s">
        <v>37</v>
      </c>
      <c r="G435" t="s">
        <v>1184</v>
      </c>
      <c r="H435" t="s">
        <v>2786</v>
      </c>
      <c r="I435" t="s">
        <v>78</v>
      </c>
      <c r="J435" t="s">
        <v>2529</v>
      </c>
      <c r="K435" t="s">
        <v>20</v>
      </c>
      <c r="L435">
        <v>28052</v>
      </c>
      <c r="M435" t="s">
        <v>558</v>
      </c>
      <c r="N435" t="s">
        <v>54</v>
      </c>
      <c r="O435" t="s">
        <v>118</v>
      </c>
      <c r="P435" t="s">
        <v>559</v>
      </c>
      <c r="Q435">
        <f>_xlfn.XLOOKUP(Table3[[#This Row],[Product Name]],Sales!A:A,Sales!B:B)</f>
        <v>408.74400000000003</v>
      </c>
      <c r="R435">
        <f>_xlfn.XLOOKUP(Table3[[#This Row],[Product Name]],Sales!A:A,Sales!C:C)</f>
        <v>7</v>
      </c>
      <c r="S435">
        <f>_xlfn.XLOOKUP(Table3[[#This Row],[Product Name]],Sales!A:A,Sales!D:D)</f>
        <v>0.2</v>
      </c>
      <c r="T435">
        <f>_xlfn.XLOOKUP(Table3[[#This Row],[Product Name]],Sales!A:A,Sales!E:E)</f>
        <v>76.639499999999998</v>
      </c>
    </row>
    <row r="436" spans="1:20" x14ac:dyDescent="0.3">
      <c r="A436">
        <v>432</v>
      </c>
      <c r="B436" t="s">
        <v>1183</v>
      </c>
      <c r="C436">
        <v>15</v>
      </c>
      <c r="D436">
        <v>4</v>
      </c>
      <c r="E436">
        <v>2020</v>
      </c>
      <c r="F436" t="s">
        <v>37</v>
      </c>
      <c r="G436" t="s">
        <v>1184</v>
      </c>
      <c r="H436" t="s">
        <v>2786</v>
      </c>
      <c r="I436" t="s">
        <v>78</v>
      </c>
      <c r="J436" t="s">
        <v>2529</v>
      </c>
      <c r="K436" t="s">
        <v>20</v>
      </c>
      <c r="L436">
        <v>28052</v>
      </c>
      <c r="M436" t="s">
        <v>558</v>
      </c>
      <c r="N436" t="s">
        <v>54</v>
      </c>
      <c r="O436" t="s">
        <v>118</v>
      </c>
      <c r="P436" t="s">
        <v>559</v>
      </c>
      <c r="Q436">
        <f>_xlfn.XLOOKUP(Table3[[#This Row],[Product Name]],Sales!A:A,Sales!B:B)</f>
        <v>408.74400000000003</v>
      </c>
      <c r="R436">
        <f>_xlfn.XLOOKUP(Table3[[#This Row],[Product Name]],Sales!A:A,Sales!C:C)</f>
        <v>7</v>
      </c>
      <c r="S436">
        <f>_xlfn.XLOOKUP(Table3[[#This Row],[Product Name]],Sales!A:A,Sales!D:D)</f>
        <v>0.2</v>
      </c>
      <c r="T436">
        <f>_xlfn.XLOOKUP(Table3[[#This Row],[Product Name]],Sales!A:A,Sales!E:E)</f>
        <v>76.639499999999998</v>
      </c>
    </row>
    <row r="437" spans="1:20" x14ac:dyDescent="0.3">
      <c r="A437">
        <v>433</v>
      </c>
      <c r="B437" t="s">
        <v>1183</v>
      </c>
      <c r="C437">
        <v>15</v>
      </c>
      <c r="D437">
        <v>4</v>
      </c>
      <c r="E437">
        <v>2020</v>
      </c>
      <c r="F437" t="s">
        <v>37</v>
      </c>
      <c r="G437" t="s">
        <v>1184</v>
      </c>
      <c r="H437" t="s">
        <v>2786</v>
      </c>
      <c r="I437" t="s">
        <v>78</v>
      </c>
      <c r="J437" t="s">
        <v>2529</v>
      </c>
      <c r="K437" t="s">
        <v>20</v>
      </c>
      <c r="L437">
        <v>28052</v>
      </c>
      <c r="M437" t="s">
        <v>1187</v>
      </c>
      <c r="N437" t="s">
        <v>33</v>
      </c>
      <c r="O437" t="s">
        <v>43</v>
      </c>
      <c r="P437" t="s">
        <v>1188</v>
      </c>
      <c r="Q437">
        <f>_xlfn.XLOOKUP(Table3[[#This Row],[Product Name]],Sales!A:A,Sales!B:B)</f>
        <v>4.7679999999999998</v>
      </c>
      <c r="R437">
        <f>_xlfn.XLOOKUP(Table3[[#This Row],[Product Name]],Sales!A:A,Sales!C:C)</f>
        <v>2</v>
      </c>
      <c r="S437">
        <f>_xlfn.XLOOKUP(Table3[[#This Row],[Product Name]],Sales!A:A,Sales!D:D)</f>
        <v>0.2</v>
      </c>
      <c r="T437">
        <f>_xlfn.XLOOKUP(Table3[[#This Row],[Product Name]],Sales!A:A,Sales!E:E)</f>
        <v>-0.77480000000000004</v>
      </c>
    </row>
    <row r="438" spans="1:20" x14ac:dyDescent="0.3">
      <c r="A438">
        <v>434</v>
      </c>
      <c r="B438" t="s">
        <v>1189</v>
      </c>
      <c r="C438">
        <v>6</v>
      </c>
      <c r="D438">
        <v>6</v>
      </c>
      <c r="E438">
        <v>2020</v>
      </c>
      <c r="F438" t="s">
        <v>142</v>
      </c>
      <c r="G438" t="s">
        <v>487</v>
      </c>
      <c r="H438" t="s">
        <v>2682</v>
      </c>
      <c r="I438" t="s">
        <v>19</v>
      </c>
      <c r="J438" t="s">
        <v>2508</v>
      </c>
      <c r="K438" t="s">
        <v>108</v>
      </c>
      <c r="L438">
        <v>1852</v>
      </c>
      <c r="M438" t="s">
        <v>1190</v>
      </c>
      <c r="N438" t="s">
        <v>33</v>
      </c>
      <c r="O438" t="s">
        <v>43</v>
      </c>
      <c r="P438" t="s">
        <v>1191</v>
      </c>
      <c r="Q438">
        <f>_xlfn.XLOOKUP(Table3[[#This Row],[Product Name]],Sales!A:A,Sales!B:B)</f>
        <v>714.3</v>
      </c>
      <c r="R438">
        <f>_xlfn.XLOOKUP(Table3[[#This Row],[Product Name]],Sales!A:A,Sales!C:C)</f>
        <v>5</v>
      </c>
      <c r="S438">
        <f>_xlfn.XLOOKUP(Table3[[#This Row],[Product Name]],Sales!A:A,Sales!D:D)</f>
        <v>0</v>
      </c>
      <c r="T438">
        <f>_xlfn.XLOOKUP(Table3[[#This Row],[Product Name]],Sales!A:A,Sales!E:E)</f>
        <v>207.14699999999999</v>
      </c>
    </row>
    <row r="439" spans="1:20" x14ac:dyDescent="0.3">
      <c r="A439">
        <v>435</v>
      </c>
      <c r="B439" t="s">
        <v>1192</v>
      </c>
      <c r="C439">
        <v>19</v>
      </c>
      <c r="D439">
        <v>12</v>
      </c>
      <c r="E439">
        <v>2018</v>
      </c>
      <c r="F439" t="s">
        <v>37</v>
      </c>
      <c r="G439" t="s">
        <v>1193</v>
      </c>
      <c r="H439" t="s">
        <v>2787</v>
      </c>
      <c r="I439" t="s">
        <v>19</v>
      </c>
      <c r="J439" t="s">
        <v>2530</v>
      </c>
      <c r="K439" t="s">
        <v>20</v>
      </c>
      <c r="L439">
        <v>32216</v>
      </c>
      <c r="M439" t="s">
        <v>1194</v>
      </c>
      <c r="N439" t="s">
        <v>33</v>
      </c>
      <c r="O439" t="s">
        <v>58</v>
      </c>
      <c r="P439" t="s">
        <v>1195</v>
      </c>
      <c r="Q439">
        <f>_xlfn.XLOOKUP(Table3[[#This Row],[Product Name]],Sales!A:A,Sales!B:B)</f>
        <v>4.8120000000000003</v>
      </c>
      <c r="R439">
        <f>_xlfn.XLOOKUP(Table3[[#This Row],[Product Name]],Sales!A:A,Sales!C:C)</f>
        <v>2</v>
      </c>
      <c r="S439">
        <f>_xlfn.XLOOKUP(Table3[[#This Row],[Product Name]],Sales!A:A,Sales!D:D)</f>
        <v>0.7</v>
      </c>
      <c r="T439">
        <f>_xlfn.XLOOKUP(Table3[[#This Row],[Product Name]],Sales!A:A,Sales!E:E)</f>
        <v>-3.6892</v>
      </c>
    </row>
    <row r="440" spans="1:20" x14ac:dyDescent="0.3">
      <c r="A440">
        <v>436</v>
      </c>
      <c r="B440" t="s">
        <v>1192</v>
      </c>
      <c r="C440">
        <v>19</v>
      </c>
      <c r="D440">
        <v>12</v>
      </c>
      <c r="E440">
        <v>2018</v>
      </c>
      <c r="F440" t="s">
        <v>37</v>
      </c>
      <c r="G440" t="s">
        <v>1193</v>
      </c>
      <c r="H440" t="s">
        <v>2787</v>
      </c>
      <c r="I440" t="s">
        <v>19</v>
      </c>
      <c r="J440" t="s">
        <v>2530</v>
      </c>
      <c r="K440" t="s">
        <v>20</v>
      </c>
      <c r="L440">
        <v>32216</v>
      </c>
      <c r="M440" t="s">
        <v>1196</v>
      </c>
      <c r="N440" t="s">
        <v>54</v>
      </c>
      <c r="O440" t="s">
        <v>118</v>
      </c>
      <c r="P440" t="s">
        <v>1197</v>
      </c>
      <c r="Q440">
        <f>_xlfn.XLOOKUP(Table3[[#This Row],[Product Name]],Sales!A:A,Sales!B:B)</f>
        <v>247.8</v>
      </c>
      <c r="R440">
        <f>_xlfn.XLOOKUP(Table3[[#This Row],[Product Name]],Sales!A:A,Sales!C:C)</f>
        <v>5</v>
      </c>
      <c r="S440">
        <f>_xlfn.XLOOKUP(Table3[[#This Row],[Product Name]],Sales!A:A,Sales!D:D)</f>
        <v>0.2</v>
      </c>
      <c r="T440">
        <f>_xlfn.XLOOKUP(Table3[[#This Row],[Product Name]],Sales!A:A,Sales!E:E)</f>
        <v>-18.585000000000001</v>
      </c>
    </row>
    <row r="441" spans="1:20" x14ac:dyDescent="0.3">
      <c r="A441">
        <v>437</v>
      </c>
      <c r="B441" t="s">
        <v>1198</v>
      </c>
      <c r="C441">
        <v>12</v>
      </c>
      <c r="D441">
        <v>6</v>
      </c>
      <c r="E441">
        <v>2020</v>
      </c>
      <c r="F441" t="s">
        <v>17</v>
      </c>
      <c r="G441" t="s">
        <v>1199</v>
      </c>
      <c r="H441" t="s">
        <v>2788</v>
      </c>
      <c r="I441" t="s">
        <v>78</v>
      </c>
      <c r="J441" t="s">
        <v>2436</v>
      </c>
      <c r="K441" t="s">
        <v>79</v>
      </c>
      <c r="L441">
        <v>60623</v>
      </c>
      <c r="M441" t="s">
        <v>1200</v>
      </c>
      <c r="N441" t="s">
        <v>54</v>
      </c>
      <c r="O441" t="s">
        <v>515</v>
      </c>
      <c r="P441" t="s">
        <v>1201</v>
      </c>
      <c r="Q441">
        <f>_xlfn.XLOOKUP(Table3[[#This Row],[Product Name]],Sales!A:A,Sales!B:B)</f>
        <v>1007.979</v>
      </c>
      <c r="R441">
        <f>_xlfn.XLOOKUP(Table3[[#This Row],[Product Name]],Sales!A:A,Sales!C:C)</f>
        <v>3</v>
      </c>
      <c r="S441">
        <f>_xlfn.XLOOKUP(Table3[[#This Row],[Product Name]],Sales!A:A,Sales!D:D)</f>
        <v>0.3</v>
      </c>
      <c r="T441">
        <f>_xlfn.XLOOKUP(Table3[[#This Row],[Product Name]],Sales!A:A,Sales!E:E)</f>
        <v>43.199100000000001</v>
      </c>
    </row>
    <row r="442" spans="1:20" x14ac:dyDescent="0.3">
      <c r="A442">
        <v>438</v>
      </c>
      <c r="B442" t="s">
        <v>1198</v>
      </c>
      <c r="C442">
        <v>12</v>
      </c>
      <c r="D442">
        <v>6</v>
      </c>
      <c r="E442">
        <v>2020</v>
      </c>
      <c r="F442" t="s">
        <v>17</v>
      </c>
      <c r="G442" t="s">
        <v>1199</v>
      </c>
      <c r="H442" t="s">
        <v>2788</v>
      </c>
      <c r="I442" t="s">
        <v>78</v>
      </c>
      <c r="J442" t="s">
        <v>2436</v>
      </c>
      <c r="K442" t="s">
        <v>79</v>
      </c>
      <c r="L442">
        <v>60623</v>
      </c>
      <c r="M442" t="s">
        <v>976</v>
      </c>
      <c r="N442" t="s">
        <v>33</v>
      </c>
      <c r="O442" t="s">
        <v>70</v>
      </c>
      <c r="P442" t="s">
        <v>1132</v>
      </c>
      <c r="Q442">
        <f>_xlfn.XLOOKUP(Table3[[#This Row],[Product Name]],Sales!A:A,Sales!B:B)</f>
        <v>55.98</v>
      </c>
      <c r="R442">
        <f>_xlfn.XLOOKUP(Table3[[#This Row],[Product Name]],Sales!A:A,Sales!C:C)</f>
        <v>1</v>
      </c>
      <c r="S442">
        <f>_xlfn.XLOOKUP(Table3[[#This Row],[Product Name]],Sales!A:A,Sales!D:D)</f>
        <v>0</v>
      </c>
      <c r="T442">
        <f>_xlfn.XLOOKUP(Table3[[#This Row],[Product Name]],Sales!A:A,Sales!E:E)</f>
        <v>27.430199999999999</v>
      </c>
    </row>
    <row r="443" spans="1:20" x14ac:dyDescent="0.3">
      <c r="A443">
        <v>439</v>
      </c>
      <c r="B443" t="s">
        <v>1202</v>
      </c>
      <c r="C443">
        <v>15</v>
      </c>
      <c r="D443">
        <v>9</v>
      </c>
      <c r="E443">
        <v>2021</v>
      </c>
      <c r="F443" t="s">
        <v>37</v>
      </c>
      <c r="G443" t="s">
        <v>1203</v>
      </c>
      <c r="H443" t="s">
        <v>2789</v>
      </c>
      <c r="I443" t="s">
        <v>30</v>
      </c>
      <c r="J443" t="s">
        <v>2426</v>
      </c>
      <c r="K443" t="s">
        <v>79</v>
      </c>
      <c r="L443">
        <v>77070</v>
      </c>
      <c r="M443" t="s">
        <v>1204</v>
      </c>
      <c r="N443" t="s">
        <v>33</v>
      </c>
      <c r="O443" t="s">
        <v>70</v>
      </c>
      <c r="P443" t="s">
        <v>1205</v>
      </c>
      <c r="Q443">
        <f>_xlfn.XLOOKUP(Table3[[#This Row],[Product Name]],Sales!A:A,Sales!B:B)</f>
        <v>31.872</v>
      </c>
      <c r="R443">
        <f>_xlfn.XLOOKUP(Table3[[#This Row],[Product Name]],Sales!A:A,Sales!C:C)</f>
        <v>8</v>
      </c>
      <c r="S443">
        <f>_xlfn.XLOOKUP(Table3[[#This Row],[Product Name]],Sales!A:A,Sales!D:D)</f>
        <v>0.2</v>
      </c>
      <c r="T443">
        <f>_xlfn.XLOOKUP(Table3[[#This Row],[Product Name]],Sales!A:A,Sales!E:E)</f>
        <v>11.553599999999999</v>
      </c>
    </row>
    <row r="444" spans="1:20" x14ac:dyDescent="0.3">
      <c r="A444">
        <v>440</v>
      </c>
      <c r="B444" t="s">
        <v>1206</v>
      </c>
      <c r="C444">
        <v>20</v>
      </c>
      <c r="D444">
        <v>1</v>
      </c>
      <c r="E444">
        <v>2021</v>
      </c>
      <c r="F444" t="s">
        <v>17</v>
      </c>
      <c r="G444" t="s">
        <v>362</v>
      </c>
      <c r="H444" t="s">
        <v>2661</v>
      </c>
      <c r="I444" t="s">
        <v>30</v>
      </c>
      <c r="J444" t="s">
        <v>2434</v>
      </c>
      <c r="K444" t="s">
        <v>108</v>
      </c>
      <c r="L444">
        <v>10024</v>
      </c>
      <c r="M444" t="s">
        <v>1207</v>
      </c>
      <c r="N444" t="s">
        <v>22</v>
      </c>
      <c r="O444" t="s">
        <v>26</v>
      </c>
      <c r="P444" t="s">
        <v>1208</v>
      </c>
      <c r="Q444">
        <f>_xlfn.XLOOKUP(Table3[[#This Row],[Product Name]],Sales!A:A,Sales!B:B)</f>
        <v>207.846</v>
      </c>
      <c r="R444">
        <f>_xlfn.XLOOKUP(Table3[[#This Row],[Product Name]],Sales!A:A,Sales!C:C)</f>
        <v>3</v>
      </c>
      <c r="S444">
        <f>_xlfn.XLOOKUP(Table3[[#This Row],[Product Name]],Sales!A:A,Sales!D:D)</f>
        <v>0.1</v>
      </c>
      <c r="T444">
        <f>_xlfn.XLOOKUP(Table3[[#This Row],[Product Name]],Sales!A:A,Sales!E:E)</f>
        <v>2.3094000000000001</v>
      </c>
    </row>
    <row r="445" spans="1:20" x14ac:dyDescent="0.3">
      <c r="A445">
        <v>441</v>
      </c>
      <c r="B445" t="s">
        <v>1209</v>
      </c>
      <c r="C445">
        <v>5</v>
      </c>
      <c r="D445">
        <v>9</v>
      </c>
      <c r="E445">
        <v>2020</v>
      </c>
      <c r="F445" t="s">
        <v>17</v>
      </c>
      <c r="G445" t="s">
        <v>85</v>
      </c>
      <c r="H445" t="s">
        <v>2616</v>
      </c>
      <c r="I445" t="s">
        <v>19</v>
      </c>
      <c r="J445" t="s">
        <v>2482</v>
      </c>
      <c r="K445" t="s">
        <v>79</v>
      </c>
      <c r="L445">
        <v>48227</v>
      </c>
      <c r="M445" t="s">
        <v>1210</v>
      </c>
      <c r="N445" t="s">
        <v>22</v>
      </c>
      <c r="O445" t="s">
        <v>48</v>
      </c>
      <c r="P445" t="s">
        <v>1211</v>
      </c>
      <c r="Q445">
        <f>_xlfn.XLOOKUP(Table3[[#This Row],[Product Name]],Sales!A:A,Sales!B:B)</f>
        <v>12.22</v>
      </c>
      <c r="R445">
        <f>_xlfn.XLOOKUP(Table3[[#This Row],[Product Name]],Sales!A:A,Sales!C:C)</f>
        <v>1</v>
      </c>
      <c r="S445">
        <f>_xlfn.XLOOKUP(Table3[[#This Row],[Product Name]],Sales!A:A,Sales!D:D)</f>
        <v>0</v>
      </c>
      <c r="T445">
        <f>_xlfn.XLOOKUP(Table3[[#This Row],[Product Name]],Sales!A:A,Sales!E:E)</f>
        <v>3.6659999999999999</v>
      </c>
    </row>
    <row r="446" spans="1:20" x14ac:dyDescent="0.3">
      <c r="A446">
        <v>442</v>
      </c>
      <c r="B446" t="s">
        <v>1209</v>
      </c>
      <c r="C446">
        <v>5</v>
      </c>
      <c r="D446">
        <v>9</v>
      </c>
      <c r="E446">
        <v>2020</v>
      </c>
      <c r="F446" t="s">
        <v>17</v>
      </c>
      <c r="G446" t="s">
        <v>85</v>
      </c>
      <c r="H446" t="s">
        <v>2616</v>
      </c>
      <c r="I446" t="s">
        <v>19</v>
      </c>
      <c r="J446" t="s">
        <v>2482</v>
      </c>
      <c r="K446" t="s">
        <v>79</v>
      </c>
      <c r="L446">
        <v>48227</v>
      </c>
      <c r="M446" t="s">
        <v>1212</v>
      </c>
      <c r="N446" t="s">
        <v>33</v>
      </c>
      <c r="O446" t="s">
        <v>43</v>
      </c>
      <c r="P446" t="s">
        <v>1213</v>
      </c>
      <c r="Q446">
        <f>_xlfn.XLOOKUP(Table3[[#This Row],[Product Name]],Sales!A:A,Sales!B:B)</f>
        <v>194.94</v>
      </c>
      <c r="R446">
        <f>_xlfn.XLOOKUP(Table3[[#This Row],[Product Name]],Sales!A:A,Sales!C:C)</f>
        <v>3</v>
      </c>
      <c r="S446">
        <f>_xlfn.XLOOKUP(Table3[[#This Row],[Product Name]],Sales!A:A,Sales!D:D)</f>
        <v>0</v>
      </c>
      <c r="T446">
        <f>_xlfn.XLOOKUP(Table3[[#This Row],[Product Name]],Sales!A:A,Sales!E:E)</f>
        <v>23.392800000000001</v>
      </c>
    </row>
    <row r="447" spans="1:20" x14ac:dyDescent="0.3">
      <c r="A447">
        <v>443</v>
      </c>
      <c r="B447" t="s">
        <v>1209</v>
      </c>
      <c r="C447">
        <v>5</v>
      </c>
      <c r="D447">
        <v>9</v>
      </c>
      <c r="E447">
        <v>2020</v>
      </c>
      <c r="F447" t="s">
        <v>17</v>
      </c>
      <c r="G447" t="s">
        <v>85</v>
      </c>
      <c r="H447" t="s">
        <v>2616</v>
      </c>
      <c r="I447" t="s">
        <v>19</v>
      </c>
      <c r="J447" t="s">
        <v>2482</v>
      </c>
      <c r="K447" t="s">
        <v>79</v>
      </c>
      <c r="L447">
        <v>48227</v>
      </c>
      <c r="M447" t="s">
        <v>1214</v>
      </c>
      <c r="N447" t="s">
        <v>33</v>
      </c>
      <c r="O447" t="s">
        <v>43</v>
      </c>
      <c r="P447" t="s">
        <v>2975</v>
      </c>
      <c r="Q447">
        <f>_xlfn.XLOOKUP(Table3[[#This Row],[Product Name]],Sales!A:A,Sales!B:B)</f>
        <v>70.95</v>
      </c>
      <c r="R447">
        <f>_xlfn.XLOOKUP(Table3[[#This Row],[Product Name]],Sales!A:A,Sales!C:C)</f>
        <v>3</v>
      </c>
      <c r="S447">
        <f>_xlfn.XLOOKUP(Table3[[#This Row],[Product Name]],Sales!A:A,Sales!D:D)</f>
        <v>0</v>
      </c>
      <c r="T447">
        <f>_xlfn.XLOOKUP(Table3[[#This Row],[Product Name]],Sales!A:A,Sales!E:E)</f>
        <v>20.575500000000002</v>
      </c>
    </row>
    <row r="448" spans="1:20" x14ac:dyDescent="0.3">
      <c r="A448">
        <v>444</v>
      </c>
      <c r="B448" t="s">
        <v>1209</v>
      </c>
      <c r="C448">
        <v>5</v>
      </c>
      <c r="D448">
        <v>9</v>
      </c>
      <c r="E448">
        <v>2020</v>
      </c>
      <c r="F448" t="s">
        <v>17</v>
      </c>
      <c r="G448" t="s">
        <v>85</v>
      </c>
      <c r="H448" t="s">
        <v>2616</v>
      </c>
      <c r="I448" t="s">
        <v>19</v>
      </c>
      <c r="J448" t="s">
        <v>2482</v>
      </c>
      <c r="K448" t="s">
        <v>79</v>
      </c>
      <c r="L448">
        <v>48227</v>
      </c>
      <c r="M448" t="s">
        <v>1215</v>
      </c>
      <c r="N448" t="s">
        <v>33</v>
      </c>
      <c r="O448" t="s">
        <v>70</v>
      </c>
      <c r="P448" t="s">
        <v>1216</v>
      </c>
      <c r="Q448">
        <f>_xlfn.XLOOKUP(Table3[[#This Row],[Product Name]],Sales!A:A,Sales!B:B)</f>
        <v>91.36</v>
      </c>
      <c r="R448">
        <f>_xlfn.XLOOKUP(Table3[[#This Row],[Product Name]],Sales!A:A,Sales!C:C)</f>
        <v>4</v>
      </c>
      <c r="S448">
        <f>_xlfn.XLOOKUP(Table3[[#This Row],[Product Name]],Sales!A:A,Sales!D:D)</f>
        <v>0</v>
      </c>
      <c r="T448">
        <f>_xlfn.XLOOKUP(Table3[[#This Row],[Product Name]],Sales!A:A,Sales!E:E)</f>
        <v>42.025599999999997</v>
      </c>
    </row>
    <row r="449" spans="1:20" x14ac:dyDescent="0.3">
      <c r="A449">
        <v>445</v>
      </c>
      <c r="B449" t="s">
        <v>1209</v>
      </c>
      <c r="C449">
        <v>5</v>
      </c>
      <c r="D449">
        <v>9</v>
      </c>
      <c r="E449">
        <v>2020</v>
      </c>
      <c r="F449" t="s">
        <v>17</v>
      </c>
      <c r="G449" t="s">
        <v>85</v>
      </c>
      <c r="H449" t="s">
        <v>2616</v>
      </c>
      <c r="I449" t="s">
        <v>19</v>
      </c>
      <c r="J449" t="s">
        <v>2482</v>
      </c>
      <c r="K449" t="s">
        <v>79</v>
      </c>
      <c r="L449">
        <v>48227</v>
      </c>
      <c r="M449" t="s">
        <v>1217</v>
      </c>
      <c r="N449" t="s">
        <v>22</v>
      </c>
      <c r="O449" t="s">
        <v>26</v>
      </c>
      <c r="P449" t="s">
        <v>1218</v>
      </c>
      <c r="Q449">
        <f>_xlfn.XLOOKUP(Table3[[#This Row],[Product Name]],Sales!A:A,Sales!B:B)</f>
        <v>242.94</v>
      </c>
      <c r="R449">
        <f>_xlfn.XLOOKUP(Table3[[#This Row],[Product Name]],Sales!A:A,Sales!C:C)</f>
        <v>3</v>
      </c>
      <c r="S449">
        <f>_xlfn.XLOOKUP(Table3[[#This Row],[Product Name]],Sales!A:A,Sales!D:D)</f>
        <v>0</v>
      </c>
      <c r="T449">
        <f>_xlfn.XLOOKUP(Table3[[#This Row],[Product Name]],Sales!A:A,Sales!E:E)</f>
        <v>29.152799999999999</v>
      </c>
    </row>
    <row r="450" spans="1:20" x14ac:dyDescent="0.3">
      <c r="A450">
        <v>446</v>
      </c>
      <c r="B450" t="s">
        <v>1209</v>
      </c>
      <c r="C450">
        <v>5</v>
      </c>
      <c r="D450">
        <v>9</v>
      </c>
      <c r="E450">
        <v>2020</v>
      </c>
      <c r="F450" t="s">
        <v>17</v>
      </c>
      <c r="G450" t="s">
        <v>85</v>
      </c>
      <c r="H450" t="s">
        <v>2616</v>
      </c>
      <c r="I450" t="s">
        <v>19</v>
      </c>
      <c r="J450" t="s">
        <v>2482</v>
      </c>
      <c r="K450" t="s">
        <v>79</v>
      </c>
      <c r="L450">
        <v>48227</v>
      </c>
      <c r="M450" t="s">
        <v>1219</v>
      </c>
      <c r="N450" t="s">
        <v>33</v>
      </c>
      <c r="O450" t="s">
        <v>34</v>
      </c>
      <c r="P450" t="s">
        <v>1220</v>
      </c>
      <c r="Q450">
        <f>_xlfn.XLOOKUP(Table3[[#This Row],[Product Name]],Sales!A:A,Sales!B:B)</f>
        <v>22.05</v>
      </c>
      <c r="R450">
        <f>_xlfn.XLOOKUP(Table3[[#This Row],[Product Name]],Sales!A:A,Sales!C:C)</f>
        <v>7</v>
      </c>
      <c r="S450">
        <f>_xlfn.XLOOKUP(Table3[[#This Row],[Product Name]],Sales!A:A,Sales!D:D)</f>
        <v>0</v>
      </c>
      <c r="T450">
        <f>_xlfn.XLOOKUP(Table3[[#This Row],[Product Name]],Sales!A:A,Sales!E:E)</f>
        <v>10.584</v>
      </c>
    </row>
    <row r="451" spans="1:20" x14ac:dyDescent="0.3">
      <c r="A451">
        <v>447</v>
      </c>
      <c r="B451" t="s">
        <v>1221</v>
      </c>
      <c r="C451">
        <v>20</v>
      </c>
      <c r="D451">
        <v>3</v>
      </c>
      <c r="E451">
        <v>2021</v>
      </c>
      <c r="F451" t="s">
        <v>17</v>
      </c>
      <c r="G451" t="s">
        <v>1222</v>
      </c>
      <c r="H451" t="s">
        <v>2790</v>
      </c>
      <c r="I451" t="s">
        <v>19</v>
      </c>
      <c r="J451" t="s">
        <v>2531</v>
      </c>
      <c r="K451" t="s">
        <v>79</v>
      </c>
      <c r="L451">
        <v>47201</v>
      </c>
      <c r="M451" t="s">
        <v>1223</v>
      </c>
      <c r="N451" t="s">
        <v>22</v>
      </c>
      <c r="O451" t="s">
        <v>48</v>
      </c>
      <c r="P451" t="s">
        <v>1224</v>
      </c>
      <c r="Q451">
        <f>_xlfn.XLOOKUP(Table3[[#This Row],[Product Name]],Sales!A:A,Sales!B:B)</f>
        <v>2.91</v>
      </c>
      <c r="R451">
        <f>_xlfn.XLOOKUP(Table3[[#This Row],[Product Name]],Sales!A:A,Sales!C:C)</f>
        <v>1</v>
      </c>
      <c r="S451">
        <f>_xlfn.XLOOKUP(Table3[[#This Row],[Product Name]],Sales!A:A,Sales!D:D)</f>
        <v>0</v>
      </c>
      <c r="T451">
        <f>_xlfn.XLOOKUP(Table3[[#This Row],[Product Name]],Sales!A:A,Sales!E:E)</f>
        <v>1.3676999999999999</v>
      </c>
    </row>
    <row r="452" spans="1:20" x14ac:dyDescent="0.3">
      <c r="A452">
        <v>448</v>
      </c>
      <c r="B452" t="s">
        <v>1225</v>
      </c>
      <c r="C452">
        <v>1</v>
      </c>
      <c r="D452">
        <v>4</v>
      </c>
      <c r="E452">
        <v>2020</v>
      </c>
      <c r="F452" t="s">
        <v>17</v>
      </c>
      <c r="G452" t="s">
        <v>1226</v>
      </c>
      <c r="H452" t="s">
        <v>2791</v>
      </c>
      <c r="I452" t="s">
        <v>19</v>
      </c>
      <c r="J452" t="s">
        <v>2532</v>
      </c>
      <c r="K452" t="s">
        <v>108</v>
      </c>
      <c r="L452">
        <v>13021</v>
      </c>
      <c r="M452" t="s">
        <v>1227</v>
      </c>
      <c r="N452" t="s">
        <v>33</v>
      </c>
      <c r="O452" t="s">
        <v>51</v>
      </c>
      <c r="P452" t="s">
        <v>1228</v>
      </c>
      <c r="Q452">
        <f>_xlfn.XLOOKUP(Table3[[#This Row],[Product Name]],Sales!A:A,Sales!B:B)</f>
        <v>59.52</v>
      </c>
      <c r="R452">
        <f>_xlfn.XLOOKUP(Table3[[#This Row],[Product Name]],Sales!A:A,Sales!C:C)</f>
        <v>3</v>
      </c>
      <c r="S452">
        <f>_xlfn.XLOOKUP(Table3[[#This Row],[Product Name]],Sales!A:A,Sales!D:D)</f>
        <v>0</v>
      </c>
      <c r="T452">
        <f>_xlfn.XLOOKUP(Table3[[#This Row],[Product Name]],Sales!A:A,Sales!E:E)</f>
        <v>15.475199999999999</v>
      </c>
    </row>
    <row r="453" spans="1:20" x14ac:dyDescent="0.3">
      <c r="A453">
        <v>449</v>
      </c>
      <c r="B453" t="s">
        <v>1225</v>
      </c>
      <c r="C453">
        <v>1</v>
      </c>
      <c r="D453">
        <v>4</v>
      </c>
      <c r="E453">
        <v>2020</v>
      </c>
      <c r="F453" t="s">
        <v>17</v>
      </c>
      <c r="G453" t="s">
        <v>1226</v>
      </c>
      <c r="H453" t="s">
        <v>2791</v>
      </c>
      <c r="I453" t="s">
        <v>19</v>
      </c>
      <c r="J453" t="s">
        <v>2532</v>
      </c>
      <c r="K453" t="s">
        <v>108</v>
      </c>
      <c r="L453">
        <v>13021</v>
      </c>
      <c r="M453" t="s">
        <v>1229</v>
      </c>
      <c r="N453" t="s">
        <v>33</v>
      </c>
      <c r="O453" t="s">
        <v>43</v>
      </c>
      <c r="P453" t="s">
        <v>1230</v>
      </c>
      <c r="Q453">
        <f>_xlfn.XLOOKUP(Table3[[#This Row],[Product Name]],Sales!A:A,Sales!B:B)</f>
        <v>161.94</v>
      </c>
      <c r="R453">
        <f>_xlfn.XLOOKUP(Table3[[#This Row],[Product Name]],Sales!A:A,Sales!C:C)</f>
        <v>3</v>
      </c>
      <c r="S453">
        <f>_xlfn.XLOOKUP(Table3[[#This Row],[Product Name]],Sales!A:A,Sales!D:D)</f>
        <v>0</v>
      </c>
      <c r="T453">
        <f>_xlfn.XLOOKUP(Table3[[#This Row],[Product Name]],Sales!A:A,Sales!E:E)</f>
        <v>9.7164000000000001</v>
      </c>
    </row>
    <row r="454" spans="1:20" x14ac:dyDescent="0.3">
      <c r="A454">
        <v>450</v>
      </c>
      <c r="B454" t="s">
        <v>1225</v>
      </c>
      <c r="C454">
        <v>1</v>
      </c>
      <c r="D454">
        <v>4</v>
      </c>
      <c r="E454">
        <v>2020</v>
      </c>
      <c r="F454" t="s">
        <v>17</v>
      </c>
      <c r="G454" t="s">
        <v>1226</v>
      </c>
      <c r="H454" t="s">
        <v>2791</v>
      </c>
      <c r="I454" t="s">
        <v>19</v>
      </c>
      <c r="J454" t="s">
        <v>2532</v>
      </c>
      <c r="K454" t="s">
        <v>108</v>
      </c>
      <c r="L454">
        <v>13021</v>
      </c>
      <c r="M454" t="s">
        <v>1231</v>
      </c>
      <c r="N454" t="s">
        <v>33</v>
      </c>
      <c r="O454" t="s">
        <v>51</v>
      </c>
      <c r="P454" t="s">
        <v>1232</v>
      </c>
      <c r="Q454">
        <f>_xlfn.XLOOKUP(Table3[[#This Row],[Product Name]],Sales!A:A,Sales!B:B)</f>
        <v>263.88</v>
      </c>
      <c r="R454">
        <f>_xlfn.XLOOKUP(Table3[[#This Row],[Product Name]],Sales!A:A,Sales!C:C)</f>
        <v>6</v>
      </c>
      <c r="S454">
        <f>_xlfn.XLOOKUP(Table3[[#This Row],[Product Name]],Sales!A:A,Sales!D:D)</f>
        <v>0</v>
      </c>
      <c r="T454">
        <f>_xlfn.XLOOKUP(Table3[[#This Row],[Product Name]],Sales!A:A,Sales!E:E)</f>
        <v>71.247600000000006</v>
      </c>
    </row>
    <row r="455" spans="1:20" x14ac:dyDescent="0.3">
      <c r="A455">
        <v>451</v>
      </c>
      <c r="B455" t="s">
        <v>1225</v>
      </c>
      <c r="C455">
        <v>1</v>
      </c>
      <c r="D455">
        <v>4</v>
      </c>
      <c r="E455">
        <v>2020</v>
      </c>
      <c r="F455" t="s">
        <v>17</v>
      </c>
      <c r="G455" t="s">
        <v>1226</v>
      </c>
      <c r="H455" t="s">
        <v>2791</v>
      </c>
      <c r="I455" t="s">
        <v>19</v>
      </c>
      <c r="J455" t="s">
        <v>2532</v>
      </c>
      <c r="K455" t="s">
        <v>108</v>
      </c>
      <c r="L455">
        <v>13021</v>
      </c>
      <c r="M455" t="s">
        <v>1233</v>
      </c>
      <c r="N455" t="s">
        <v>33</v>
      </c>
      <c r="O455" t="s">
        <v>51</v>
      </c>
      <c r="P455" t="s">
        <v>1234</v>
      </c>
      <c r="Q455">
        <f>_xlfn.XLOOKUP(Table3[[#This Row],[Product Name]],Sales!A:A,Sales!B:B)</f>
        <v>30.48</v>
      </c>
      <c r="R455">
        <f>_xlfn.XLOOKUP(Table3[[#This Row],[Product Name]],Sales!A:A,Sales!C:C)</f>
        <v>3</v>
      </c>
      <c r="S455">
        <f>_xlfn.XLOOKUP(Table3[[#This Row],[Product Name]],Sales!A:A,Sales!D:D)</f>
        <v>0</v>
      </c>
      <c r="T455">
        <f>_xlfn.XLOOKUP(Table3[[#This Row],[Product Name]],Sales!A:A,Sales!E:E)</f>
        <v>7.9248000000000003</v>
      </c>
    </row>
    <row r="456" spans="1:20" x14ac:dyDescent="0.3">
      <c r="A456">
        <v>452</v>
      </c>
      <c r="B456" t="s">
        <v>1225</v>
      </c>
      <c r="C456">
        <v>1</v>
      </c>
      <c r="D456">
        <v>4</v>
      </c>
      <c r="E456">
        <v>2020</v>
      </c>
      <c r="F456" t="s">
        <v>17</v>
      </c>
      <c r="G456" t="s">
        <v>1226</v>
      </c>
      <c r="H456" t="s">
        <v>2791</v>
      </c>
      <c r="I456" t="s">
        <v>19</v>
      </c>
      <c r="J456" t="s">
        <v>2532</v>
      </c>
      <c r="K456" t="s">
        <v>108</v>
      </c>
      <c r="L456">
        <v>13021</v>
      </c>
      <c r="M456" t="s">
        <v>1235</v>
      </c>
      <c r="N456" t="s">
        <v>33</v>
      </c>
      <c r="O456" t="s">
        <v>51</v>
      </c>
      <c r="P456" t="s">
        <v>1236</v>
      </c>
      <c r="Q456">
        <f>_xlfn.XLOOKUP(Table3[[#This Row],[Product Name]],Sales!A:A,Sales!B:B)</f>
        <v>9.84</v>
      </c>
      <c r="R456">
        <f>_xlfn.XLOOKUP(Table3[[#This Row],[Product Name]],Sales!A:A,Sales!C:C)</f>
        <v>3</v>
      </c>
      <c r="S456">
        <f>_xlfn.XLOOKUP(Table3[[#This Row],[Product Name]],Sales!A:A,Sales!D:D)</f>
        <v>0</v>
      </c>
      <c r="T456">
        <f>_xlfn.XLOOKUP(Table3[[#This Row],[Product Name]],Sales!A:A,Sales!E:E)</f>
        <v>2.8536000000000001</v>
      </c>
    </row>
    <row r="457" spans="1:20" x14ac:dyDescent="0.3">
      <c r="A457">
        <v>453</v>
      </c>
      <c r="B457" t="s">
        <v>1225</v>
      </c>
      <c r="C457">
        <v>1</v>
      </c>
      <c r="D457">
        <v>4</v>
      </c>
      <c r="E457">
        <v>2020</v>
      </c>
      <c r="F457" t="s">
        <v>17</v>
      </c>
      <c r="G457" t="s">
        <v>1226</v>
      </c>
      <c r="H457" t="s">
        <v>2791</v>
      </c>
      <c r="I457" t="s">
        <v>19</v>
      </c>
      <c r="J457" t="s">
        <v>2532</v>
      </c>
      <c r="K457" t="s">
        <v>108</v>
      </c>
      <c r="L457">
        <v>13021</v>
      </c>
      <c r="M457" t="s">
        <v>1237</v>
      </c>
      <c r="N457" t="s">
        <v>54</v>
      </c>
      <c r="O457" t="s">
        <v>55</v>
      </c>
      <c r="P457" t="s">
        <v>1238</v>
      </c>
      <c r="Q457">
        <f>_xlfn.XLOOKUP(Table3[[#This Row],[Product Name]],Sales!A:A,Sales!B:B)</f>
        <v>35.119999999999997</v>
      </c>
      <c r="R457">
        <f>_xlfn.XLOOKUP(Table3[[#This Row],[Product Name]],Sales!A:A,Sales!C:C)</f>
        <v>4</v>
      </c>
      <c r="S457">
        <f>_xlfn.XLOOKUP(Table3[[#This Row],[Product Name]],Sales!A:A,Sales!D:D)</f>
        <v>0</v>
      </c>
      <c r="T457">
        <f>_xlfn.XLOOKUP(Table3[[#This Row],[Product Name]],Sales!A:A,Sales!E:E)</f>
        <v>9.1311999999999998</v>
      </c>
    </row>
    <row r="458" spans="1:20" x14ac:dyDescent="0.3">
      <c r="A458">
        <v>454</v>
      </c>
      <c r="B458" t="s">
        <v>1239</v>
      </c>
      <c r="C458">
        <v>20</v>
      </c>
      <c r="D458">
        <v>10</v>
      </c>
      <c r="E458">
        <v>2021</v>
      </c>
      <c r="F458" t="s">
        <v>37</v>
      </c>
      <c r="G458" t="s">
        <v>1240</v>
      </c>
      <c r="H458" t="s">
        <v>2792</v>
      </c>
      <c r="I458" t="s">
        <v>30</v>
      </c>
      <c r="J458" t="s">
        <v>2474</v>
      </c>
      <c r="K458" t="s">
        <v>108</v>
      </c>
      <c r="L458">
        <v>44312</v>
      </c>
      <c r="M458" t="s">
        <v>63</v>
      </c>
      <c r="N458" t="s">
        <v>22</v>
      </c>
      <c r="O458" t="s">
        <v>40</v>
      </c>
      <c r="P458" t="s">
        <v>64</v>
      </c>
      <c r="Q458">
        <f>_xlfn.XLOOKUP(Table3[[#This Row],[Product Name]],Sales!A:A,Sales!B:B)</f>
        <v>1706.184</v>
      </c>
      <c r="R458">
        <f>_xlfn.XLOOKUP(Table3[[#This Row],[Product Name]],Sales!A:A,Sales!C:C)</f>
        <v>9</v>
      </c>
      <c r="S458">
        <f>_xlfn.XLOOKUP(Table3[[#This Row],[Product Name]],Sales!A:A,Sales!D:D)</f>
        <v>0.2</v>
      </c>
      <c r="T458">
        <f>_xlfn.XLOOKUP(Table3[[#This Row],[Product Name]],Sales!A:A,Sales!E:E)</f>
        <v>85.309200000000004</v>
      </c>
    </row>
    <row r="459" spans="1:20" x14ac:dyDescent="0.3">
      <c r="A459">
        <v>455</v>
      </c>
      <c r="B459" t="s">
        <v>1239</v>
      </c>
      <c r="C459">
        <v>20</v>
      </c>
      <c r="D459">
        <v>10</v>
      </c>
      <c r="E459">
        <v>2021</v>
      </c>
      <c r="F459" t="s">
        <v>37</v>
      </c>
      <c r="G459" t="s">
        <v>1240</v>
      </c>
      <c r="H459" t="s">
        <v>2792</v>
      </c>
      <c r="I459" t="s">
        <v>30</v>
      </c>
      <c r="J459" t="s">
        <v>2474</v>
      </c>
      <c r="K459" t="s">
        <v>108</v>
      </c>
      <c r="L459">
        <v>44312</v>
      </c>
      <c r="M459" t="s">
        <v>1241</v>
      </c>
      <c r="N459" t="s">
        <v>33</v>
      </c>
      <c r="O459" t="s">
        <v>43</v>
      </c>
      <c r="P459" t="s">
        <v>1242</v>
      </c>
      <c r="Q459">
        <f>_xlfn.XLOOKUP(Table3[[#This Row],[Product Name]],Sales!A:A,Sales!B:B)</f>
        <v>665.40800000000002</v>
      </c>
      <c r="R459">
        <f>_xlfn.XLOOKUP(Table3[[#This Row],[Product Name]],Sales!A:A,Sales!C:C)</f>
        <v>2</v>
      </c>
      <c r="S459">
        <f>_xlfn.XLOOKUP(Table3[[#This Row],[Product Name]],Sales!A:A,Sales!D:D)</f>
        <v>0.2</v>
      </c>
      <c r="T459">
        <f>_xlfn.XLOOKUP(Table3[[#This Row],[Product Name]],Sales!A:A,Sales!E:E)</f>
        <v>66.540800000000004</v>
      </c>
    </row>
    <row r="460" spans="1:20" x14ac:dyDescent="0.3">
      <c r="A460">
        <v>456</v>
      </c>
      <c r="B460" t="s">
        <v>1243</v>
      </c>
      <c r="C460">
        <v>13</v>
      </c>
      <c r="D460">
        <v>12</v>
      </c>
      <c r="E460">
        <v>2020</v>
      </c>
      <c r="F460" t="s">
        <v>37</v>
      </c>
      <c r="G460" t="s">
        <v>1180</v>
      </c>
      <c r="H460" t="s">
        <v>2785</v>
      </c>
      <c r="I460" t="s">
        <v>30</v>
      </c>
      <c r="J460" t="s">
        <v>2533</v>
      </c>
      <c r="K460" t="s">
        <v>79</v>
      </c>
      <c r="L460">
        <v>73071</v>
      </c>
      <c r="M460" t="s">
        <v>1244</v>
      </c>
      <c r="N460" t="s">
        <v>54</v>
      </c>
      <c r="O460" t="s">
        <v>118</v>
      </c>
      <c r="P460" t="s">
        <v>1245</v>
      </c>
      <c r="Q460">
        <f>_xlfn.XLOOKUP(Table3[[#This Row],[Product Name]],Sales!A:A,Sales!B:B)</f>
        <v>63.88</v>
      </c>
      <c r="R460">
        <f>_xlfn.XLOOKUP(Table3[[#This Row],[Product Name]],Sales!A:A,Sales!C:C)</f>
        <v>4</v>
      </c>
      <c r="S460">
        <f>_xlfn.XLOOKUP(Table3[[#This Row],[Product Name]],Sales!A:A,Sales!D:D)</f>
        <v>0</v>
      </c>
      <c r="T460">
        <f>_xlfn.XLOOKUP(Table3[[#This Row],[Product Name]],Sales!A:A,Sales!E:E)</f>
        <v>24.9132</v>
      </c>
    </row>
    <row r="461" spans="1:20" x14ac:dyDescent="0.3">
      <c r="A461">
        <v>457</v>
      </c>
      <c r="B461" t="s">
        <v>1246</v>
      </c>
      <c r="C461">
        <v>12</v>
      </c>
      <c r="D461">
        <v>2</v>
      </c>
      <c r="E461">
        <v>2018</v>
      </c>
      <c r="F461" t="s">
        <v>37</v>
      </c>
      <c r="G461" t="s">
        <v>1247</v>
      </c>
      <c r="H461" t="s">
        <v>2793</v>
      </c>
      <c r="I461" t="s">
        <v>19</v>
      </c>
      <c r="J461" t="s">
        <v>2534</v>
      </c>
      <c r="K461" t="s">
        <v>31</v>
      </c>
      <c r="L461">
        <v>94521</v>
      </c>
      <c r="M461" t="s">
        <v>1248</v>
      </c>
      <c r="N461" t="s">
        <v>22</v>
      </c>
      <c r="O461" t="s">
        <v>26</v>
      </c>
      <c r="P461" t="s">
        <v>1249</v>
      </c>
      <c r="Q461">
        <f>_xlfn.XLOOKUP(Table3[[#This Row],[Product Name]],Sales!A:A,Sales!B:B)</f>
        <v>129.56800000000001</v>
      </c>
      <c r="R461">
        <f>_xlfn.XLOOKUP(Table3[[#This Row],[Product Name]],Sales!A:A,Sales!C:C)</f>
        <v>2</v>
      </c>
      <c r="S461">
        <f>_xlfn.XLOOKUP(Table3[[#This Row],[Product Name]],Sales!A:A,Sales!D:D)</f>
        <v>0.2</v>
      </c>
      <c r="T461">
        <f>_xlfn.XLOOKUP(Table3[[#This Row],[Product Name]],Sales!A:A,Sales!E:E)</f>
        <v>-24.294</v>
      </c>
    </row>
    <row r="462" spans="1:20" x14ac:dyDescent="0.3">
      <c r="A462">
        <v>458</v>
      </c>
      <c r="B462" t="s">
        <v>1250</v>
      </c>
      <c r="C462">
        <v>26</v>
      </c>
      <c r="D462">
        <v>9</v>
      </c>
      <c r="E462">
        <v>2020</v>
      </c>
      <c r="F462" t="s">
        <v>37</v>
      </c>
      <c r="G462" t="s">
        <v>1167</v>
      </c>
      <c r="H462" t="s">
        <v>2783</v>
      </c>
      <c r="I462" t="s">
        <v>19</v>
      </c>
      <c r="J462" t="s">
        <v>2467</v>
      </c>
      <c r="K462" t="s">
        <v>79</v>
      </c>
      <c r="L462">
        <v>62521</v>
      </c>
      <c r="M462" t="s">
        <v>1251</v>
      </c>
      <c r="N462" t="s">
        <v>22</v>
      </c>
      <c r="O462" t="s">
        <v>26</v>
      </c>
      <c r="P462" t="s">
        <v>1252</v>
      </c>
      <c r="Q462">
        <f>_xlfn.XLOOKUP(Table3[[#This Row],[Product Name]],Sales!A:A,Sales!B:B)</f>
        <v>747.55799999999999</v>
      </c>
      <c r="R462">
        <f>_xlfn.XLOOKUP(Table3[[#This Row],[Product Name]],Sales!A:A,Sales!C:C)</f>
        <v>3</v>
      </c>
      <c r="S462">
        <f>_xlfn.XLOOKUP(Table3[[#This Row],[Product Name]],Sales!A:A,Sales!D:D)</f>
        <v>0.3</v>
      </c>
      <c r="T462">
        <f>_xlfn.XLOOKUP(Table3[[#This Row],[Product Name]],Sales!A:A,Sales!E:E)</f>
        <v>-96.114599999999996</v>
      </c>
    </row>
    <row r="463" spans="1:20" x14ac:dyDescent="0.3">
      <c r="A463">
        <v>459</v>
      </c>
      <c r="B463" t="s">
        <v>1250</v>
      </c>
      <c r="C463">
        <v>26</v>
      </c>
      <c r="D463">
        <v>9</v>
      </c>
      <c r="E463">
        <v>2020</v>
      </c>
      <c r="F463" t="s">
        <v>37</v>
      </c>
      <c r="G463" t="s">
        <v>1167</v>
      </c>
      <c r="H463" t="s">
        <v>2783</v>
      </c>
      <c r="I463" t="s">
        <v>19</v>
      </c>
      <c r="J463" t="s">
        <v>2467</v>
      </c>
      <c r="K463" t="s">
        <v>79</v>
      </c>
      <c r="L463">
        <v>62521</v>
      </c>
      <c r="M463" t="s">
        <v>1253</v>
      </c>
      <c r="N463" t="s">
        <v>33</v>
      </c>
      <c r="O463" t="s">
        <v>129</v>
      </c>
      <c r="P463" t="s">
        <v>505</v>
      </c>
      <c r="Q463">
        <f>_xlfn.XLOOKUP(Table3[[#This Row],[Product Name]],Sales!A:A,Sales!B:B)</f>
        <v>28.4</v>
      </c>
      <c r="R463">
        <f>_xlfn.XLOOKUP(Table3[[#This Row],[Product Name]],Sales!A:A,Sales!C:C)</f>
        <v>5</v>
      </c>
      <c r="S463">
        <f>_xlfn.XLOOKUP(Table3[[#This Row],[Product Name]],Sales!A:A,Sales!D:D)</f>
        <v>0</v>
      </c>
      <c r="T463">
        <f>_xlfn.XLOOKUP(Table3[[#This Row],[Product Name]],Sales!A:A,Sales!E:E)</f>
        <v>13.348000000000001</v>
      </c>
    </row>
    <row r="464" spans="1:20" x14ac:dyDescent="0.3">
      <c r="A464">
        <v>460</v>
      </c>
      <c r="B464" t="s">
        <v>1254</v>
      </c>
      <c r="C464">
        <v>15</v>
      </c>
      <c r="D464">
        <v>12</v>
      </c>
      <c r="E464">
        <v>2019</v>
      </c>
      <c r="F464" t="s">
        <v>37</v>
      </c>
      <c r="G464" t="s">
        <v>630</v>
      </c>
      <c r="H464" t="s">
        <v>2708</v>
      </c>
      <c r="I464" t="s">
        <v>19</v>
      </c>
      <c r="J464" t="s">
        <v>2418</v>
      </c>
      <c r="K464" t="s">
        <v>31</v>
      </c>
      <c r="L464">
        <v>98115</v>
      </c>
      <c r="M464" t="s">
        <v>1255</v>
      </c>
      <c r="N464" t="s">
        <v>33</v>
      </c>
      <c r="O464" t="s">
        <v>61</v>
      </c>
      <c r="P464" t="s">
        <v>1256</v>
      </c>
      <c r="Q464">
        <f>_xlfn.XLOOKUP(Table3[[#This Row],[Product Name]],Sales!A:A,Sales!B:B)</f>
        <v>103.92</v>
      </c>
      <c r="R464">
        <f>_xlfn.XLOOKUP(Table3[[#This Row],[Product Name]],Sales!A:A,Sales!C:C)</f>
        <v>4</v>
      </c>
      <c r="S464">
        <f>_xlfn.XLOOKUP(Table3[[#This Row],[Product Name]],Sales!A:A,Sales!D:D)</f>
        <v>0</v>
      </c>
      <c r="T464">
        <f>_xlfn.XLOOKUP(Table3[[#This Row],[Product Name]],Sales!A:A,Sales!E:E)</f>
        <v>36.372</v>
      </c>
    </row>
    <row r="465" spans="1:20" x14ac:dyDescent="0.3">
      <c r="A465">
        <v>461</v>
      </c>
      <c r="B465" t="s">
        <v>1254</v>
      </c>
      <c r="C465">
        <v>15</v>
      </c>
      <c r="D465">
        <v>12</v>
      </c>
      <c r="E465">
        <v>2019</v>
      </c>
      <c r="F465" t="s">
        <v>37</v>
      </c>
      <c r="G465" t="s">
        <v>630</v>
      </c>
      <c r="H465" t="s">
        <v>2708</v>
      </c>
      <c r="I465" t="s">
        <v>19</v>
      </c>
      <c r="J465" t="s">
        <v>2418</v>
      </c>
      <c r="K465" t="s">
        <v>31</v>
      </c>
      <c r="L465">
        <v>98115</v>
      </c>
      <c r="M465" t="s">
        <v>1257</v>
      </c>
      <c r="N465" t="s">
        <v>54</v>
      </c>
      <c r="O465" t="s">
        <v>118</v>
      </c>
      <c r="P465" t="s">
        <v>1258</v>
      </c>
      <c r="Q465">
        <f>_xlfn.XLOOKUP(Table3[[#This Row],[Product Name]],Sales!A:A,Sales!B:B)</f>
        <v>899.91</v>
      </c>
      <c r="R465">
        <f>_xlfn.XLOOKUP(Table3[[#This Row],[Product Name]],Sales!A:A,Sales!C:C)</f>
        <v>9</v>
      </c>
      <c r="S465">
        <f>_xlfn.XLOOKUP(Table3[[#This Row],[Product Name]],Sales!A:A,Sales!D:D)</f>
        <v>0</v>
      </c>
      <c r="T465">
        <f>_xlfn.XLOOKUP(Table3[[#This Row],[Product Name]],Sales!A:A,Sales!E:E)</f>
        <v>377.9622</v>
      </c>
    </row>
    <row r="466" spans="1:20" x14ac:dyDescent="0.3">
      <c r="A466">
        <v>462</v>
      </c>
      <c r="B466" t="s">
        <v>1254</v>
      </c>
      <c r="C466">
        <v>15</v>
      </c>
      <c r="D466">
        <v>12</v>
      </c>
      <c r="E466">
        <v>2019</v>
      </c>
      <c r="F466" t="s">
        <v>37</v>
      </c>
      <c r="G466" t="s">
        <v>630</v>
      </c>
      <c r="H466" t="s">
        <v>2708</v>
      </c>
      <c r="I466" t="s">
        <v>19</v>
      </c>
      <c r="J466" t="s">
        <v>2418</v>
      </c>
      <c r="K466" t="s">
        <v>31</v>
      </c>
      <c r="L466">
        <v>98115</v>
      </c>
      <c r="M466" t="s">
        <v>1259</v>
      </c>
      <c r="N466" t="s">
        <v>33</v>
      </c>
      <c r="O466" t="s">
        <v>58</v>
      </c>
      <c r="P466" t="s">
        <v>1260</v>
      </c>
      <c r="Q466">
        <f>_xlfn.XLOOKUP(Table3[[#This Row],[Product Name]],Sales!A:A,Sales!B:B)</f>
        <v>51.311999999999998</v>
      </c>
      <c r="R466">
        <f>_xlfn.XLOOKUP(Table3[[#This Row],[Product Name]],Sales!A:A,Sales!C:C)</f>
        <v>3</v>
      </c>
      <c r="S466">
        <f>_xlfn.XLOOKUP(Table3[[#This Row],[Product Name]],Sales!A:A,Sales!D:D)</f>
        <v>0.2</v>
      </c>
      <c r="T466">
        <f>_xlfn.XLOOKUP(Table3[[#This Row],[Product Name]],Sales!A:A,Sales!E:E)</f>
        <v>18.6006</v>
      </c>
    </row>
    <row r="467" spans="1:20" x14ac:dyDescent="0.3">
      <c r="A467">
        <v>463</v>
      </c>
      <c r="B467" t="s">
        <v>1261</v>
      </c>
      <c r="C467">
        <v>22</v>
      </c>
      <c r="D467">
        <v>4</v>
      </c>
      <c r="E467">
        <v>2020</v>
      </c>
      <c r="F467" t="s">
        <v>37</v>
      </c>
      <c r="G467" t="s">
        <v>1262</v>
      </c>
      <c r="H467" t="s">
        <v>2794</v>
      </c>
      <c r="I467" t="s">
        <v>78</v>
      </c>
      <c r="J467" t="s">
        <v>2456</v>
      </c>
      <c r="K467" t="s">
        <v>31</v>
      </c>
      <c r="L467">
        <v>85023</v>
      </c>
      <c r="M467" t="s">
        <v>1005</v>
      </c>
      <c r="N467" t="s">
        <v>22</v>
      </c>
      <c r="O467" t="s">
        <v>48</v>
      </c>
      <c r="P467" t="s">
        <v>1006</v>
      </c>
      <c r="Q467">
        <f>_xlfn.XLOOKUP(Table3[[#This Row],[Product Name]],Sales!A:A,Sales!B:B)</f>
        <v>47.12</v>
      </c>
      <c r="R467">
        <f>_xlfn.XLOOKUP(Table3[[#This Row],[Product Name]],Sales!A:A,Sales!C:C)</f>
        <v>8</v>
      </c>
      <c r="S467">
        <f>_xlfn.XLOOKUP(Table3[[#This Row],[Product Name]],Sales!A:A,Sales!D:D)</f>
        <v>0</v>
      </c>
      <c r="T467">
        <f>_xlfn.XLOOKUP(Table3[[#This Row],[Product Name]],Sales!A:A,Sales!E:E)</f>
        <v>20.732800000000001</v>
      </c>
    </row>
    <row r="468" spans="1:20" x14ac:dyDescent="0.3">
      <c r="A468">
        <v>464</v>
      </c>
      <c r="B468" t="s">
        <v>1261</v>
      </c>
      <c r="C468">
        <v>22</v>
      </c>
      <c r="D468">
        <v>4</v>
      </c>
      <c r="E468">
        <v>2020</v>
      </c>
      <c r="F468" t="s">
        <v>37</v>
      </c>
      <c r="G468" t="s">
        <v>1262</v>
      </c>
      <c r="H468" t="s">
        <v>2794</v>
      </c>
      <c r="I468" t="s">
        <v>78</v>
      </c>
      <c r="J468" t="s">
        <v>2456</v>
      </c>
      <c r="K468" t="s">
        <v>31</v>
      </c>
      <c r="L468">
        <v>85023</v>
      </c>
      <c r="M468" t="s">
        <v>1263</v>
      </c>
      <c r="N468" t="s">
        <v>22</v>
      </c>
      <c r="O468" t="s">
        <v>40</v>
      </c>
      <c r="P468" t="s">
        <v>1264</v>
      </c>
      <c r="Q468">
        <f>_xlfn.XLOOKUP(Table3[[#This Row],[Product Name]],Sales!A:A,Sales!B:B)</f>
        <v>1272.6300000000001</v>
      </c>
      <c r="R468">
        <f>_xlfn.XLOOKUP(Table3[[#This Row],[Product Name]],Sales!A:A,Sales!C:C)</f>
        <v>6</v>
      </c>
      <c r="S468">
        <f>_xlfn.XLOOKUP(Table3[[#This Row],[Product Name]],Sales!A:A,Sales!D:D)</f>
        <v>0.5</v>
      </c>
      <c r="T468">
        <f>_xlfn.XLOOKUP(Table3[[#This Row],[Product Name]],Sales!A:A,Sales!E:E)</f>
        <v>-814.48320000000001</v>
      </c>
    </row>
    <row r="469" spans="1:20" x14ac:dyDescent="0.3">
      <c r="A469">
        <v>465</v>
      </c>
      <c r="B469" t="s">
        <v>1261</v>
      </c>
      <c r="C469">
        <v>22</v>
      </c>
      <c r="D469">
        <v>4</v>
      </c>
      <c r="E469">
        <v>2020</v>
      </c>
      <c r="F469" t="s">
        <v>37</v>
      </c>
      <c r="G469" t="s">
        <v>1262</v>
      </c>
      <c r="H469" t="s">
        <v>2794</v>
      </c>
      <c r="I469" t="s">
        <v>78</v>
      </c>
      <c r="J469" t="s">
        <v>2456</v>
      </c>
      <c r="K469" t="s">
        <v>31</v>
      </c>
      <c r="L469">
        <v>85023</v>
      </c>
      <c r="M469" t="s">
        <v>1265</v>
      </c>
      <c r="N469" t="s">
        <v>33</v>
      </c>
      <c r="O469" t="s">
        <v>58</v>
      </c>
      <c r="P469" t="s">
        <v>1266</v>
      </c>
      <c r="Q469">
        <f>_xlfn.XLOOKUP(Table3[[#This Row],[Product Name]],Sales!A:A,Sales!B:B)</f>
        <v>28.484999999999999</v>
      </c>
      <c r="R469">
        <f>_xlfn.XLOOKUP(Table3[[#This Row],[Product Name]],Sales!A:A,Sales!C:C)</f>
        <v>5</v>
      </c>
      <c r="S469">
        <f>_xlfn.XLOOKUP(Table3[[#This Row],[Product Name]],Sales!A:A,Sales!D:D)</f>
        <v>0.7</v>
      </c>
      <c r="T469">
        <f>_xlfn.XLOOKUP(Table3[[#This Row],[Product Name]],Sales!A:A,Sales!E:E)</f>
        <v>-20.888999999999999</v>
      </c>
    </row>
    <row r="470" spans="1:20" x14ac:dyDescent="0.3">
      <c r="A470">
        <v>466</v>
      </c>
      <c r="B470" t="s">
        <v>1261</v>
      </c>
      <c r="C470">
        <v>22</v>
      </c>
      <c r="D470">
        <v>4</v>
      </c>
      <c r="E470">
        <v>2020</v>
      </c>
      <c r="F470" t="s">
        <v>37</v>
      </c>
      <c r="G470" t="s">
        <v>1262</v>
      </c>
      <c r="H470" t="s">
        <v>2794</v>
      </c>
      <c r="I470" t="s">
        <v>78</v>
      </c>
      <c r="J470" t="s">
        <v>2456</v>
      </c>
      <c r="K470" t="s">
        <v>31</v>
      </c>
      <c r="L470">
        <v>85023</v>
      </c>
      <c r="M470" t="s">
        <v>1267</v>
      </c>
      <c r="N470" t="s">
        <v>33</v>
      </c>
      <c r="O470" t="s">
        <v>438</v>
      </c>
      <c r="P470" t="s">
        <v>1268</v>
      </c>
      <c r="Q470">
        <f>_xlfn.XLOOKUP(Table3[[#This Row],[Product Name]],Sales!A:A,Sales!B:B)</f>
        <v>185.376</v>
      </c>
      <c r="R470">
        <f>_xlfn.XLOOKUP(Table3[[#This Row],[Product Name]],Sales!A:A,Sales!C:C)</f>
        <v>2</v>
      </c>
      <c r="S470">
        <f>_xlfn.XLOOKUP(Table3[[#This Row],[Product Name]],Sales!A:A,Sales!D:D)</f>
        <v>0.2</v>
      </c>
      <c r="T470">
        <f>_xlfn.XLOOKUP(Table3[[#This Row],[Product Name]],Sales!A:A,Sales!E:E)</f>
        <v>-34.758000000000003</v>
      </c>
    </row>
    <row r="471" spans="1:20" x14ac:dyDescent="0.3">
      <c r="A471">
        <v>467</v>
      </c>
      <c r="B471" t="s">
        <v>1261</v>
      </c>
      <c r="C471">
        <v>22</v>
      </c>
      <c r="D471">
        <v>4</v>
      </c>
      <c r="E471">
        <v>2020</v>
      </c>
      <c r="F471" t="s">
        <v>37</v>
      </c>
      <c r="G471" t="s">
        <v>1262</v>
      </c>
      <c r="H471" t="s">
        <v>2794</v>
      </c>
      <c r="I471" t="s">
        <v>78</v>
      </c>
      <c r="J471" t="s">
        <v>2456</v>
      </c>
      <c r="K471" t="s">
        <v>31</v>
      </c>
      <c r="L471">
        <v>85023</v>
      </c>
      <c r="M471" t="s">
        <v>1269</v>
      </c>
      <c r="N471" t="s">
        <v>33</v>
      </c>
      <c r="O471" t="s">
        <v>61</v>
      </c>
      <c r="P471" t="s">
        <v>1270</v>
      </c>
      <c r="Q471">
        <f>_xlfn.XLOOKUP(Table3[[#This Row],[Product Name]],Sales!A:A,Sales!B:B)</f>
        <v>78.272000000000006</v>
      </c>
      <c r="R471">
        <f>_xlfn.XLOOKUP(Table3[[#This Row],[Product Name]],Sales!A:A,Sales!C:C)</f>
        <v>2</v>
      </c>
      <c r="S471">
        <f>_xlfn.XLOOKUP(Table3[[#This Row],[Product Name]],Sales!A:A,Sales!D:D)</f>
        <v>0.2</v>
      </c>
      <c r="T471">
        <f>_xlfn.XLOOKUP(Table3[[#This Row],[Product Name]],Sales!A:A,Sales!E:E)</f>
        <v>5.8704000000000001</v>
      </c>
    </row>
    <row r="472" spans="1:20" x14ac:dyDescent="0.3">
      <c r="A472">
        <v>468</v>
      </c>
      <c r="B472" t="s">
        <v>1271</v>
      </c>
      <c r="C472">
        <v>17</v>
      </c>
      <c r="D472">
        <v>1</v>
      </c>
      <c r="E472">
        <v>2019</v>
      </c>
      <c r="F472" t="s">
        <v>37</v>
      </c>
      <c r="G472" t="s">
        <v>1272</v>
      </c>
      <c r="H472" t="s">
        <v>2795</v>
      </c>
      <c r="I472" t="s">
        <v>78</v>
      </c>
      <c r="J472" t="s">
        <v>2535</v>
      </c>
      <c r="K472" t="s">
        <v>79</v>
      </c>
      <c r="L472">
        <v>60068</v>
      </c>
      <c r="M472" t="s">
        <v>843</v>
      </c>
      <c r="N472" t="s">
        <v>22</v>
      </c>
      <c r="O472" t="s">
        <v>48</v>
      </c>
      <c r="P472" t="s">
        <v>844</v>
      </c>
      <c r="Q472">
        <f>_xlfn.XLOOKUP(Table3[[#This Row],[Product Name]],Sales!A:A,Sales!B:B)</f>
        <v>218.352</v>
      </c>
      <c r="R472">
        <f>_xlfn.XLOOKUP(Table3[[#This Row],[Product Name]],Sales!A:A,Sales!C:C)</f>
        <v>3</v>
      </c>
      <c r="S472">
        <f>_xlfn.XLOOKUP(Table3[[#This Row],[Product Name]],Sales!A:A,Sales!D:D)</f>
        <v>0.2</v>
      </c>
      <c r="T472">
        <f>_xlfn.XLOOKUP(Table3[[#This Row],[Product Name]],Sales!A:A,Sales!E:E)</f>
        <v>-24.564599999999999</v>
      </c>
    </row>
    <row r="473" spans="1:20" x14ac:dyDescent="0.3">
      <c r="A473">
        <v>469</v>
      </c>
      <c r="B473" t="s">
        <v>1273</v>
      </c>
      <c r="C473">
        <v>31</v>
      </c>
      <c r="D473">
        <v>3</v>
      </c>
      <c r="E473">
        <v>2021</v>
      </c>
      <c r="F473" t="s">
        <v>37</v>
      </c>
      <c r="G473" t="s">
        <v>670</v>
      </c>
      <c r="H473" t="s">
        <v>2713</v>
      </c>
      <c r="I473" t="s">
        <v>30</v>
      </c>
      <c r="J473" t="s">
        <v>2536</v>
      </c>
      <c r="K473" t="s">
        <v>79</v>
      </c>
      <c r="L473">
        <v>79109</v>
      </c>
      <c r="M473" t="s">
        <v>1274</v>
      </c>
      <c r="N473" t="s">
        <v>22</v>
      </c>
      <c r="O473" t="s">
        <v>23</v>
      </c>
      <c r="P473" t="s">
        <v>1275</v>
      </c>
      <c r="Q473">
        <f>_xlfn.XLOOKUP(Table3[[#This Row],[Product Name]],Sales!A:A,Sales!B:B)</f>
        <v>205.33279999999999</v>
      </c>
      <c r="R473">
        <f>_xlfn.XLOOKUP(Table3[[#This Row],[Product Name]],Sales!A:A,Sales!C:C)</f>
        <v>2</v>
      </c>
      <c r="S473">
        <f>_xlfn.XLOOKUP(Table3[[#This Row],[Product Name]],Sales!A:A,Sales!D:D)</f>
        <v>0.32</v>
      </c>
      <c r="T473">
        <f>_xlfn.XLOOKUP(Table3[[#This Row],[Product Name]],Sales!A:A,Sales!E:E)</f>
        <v>-36.235199999999999</v>
      </c>
    </row>
    <row r="474" spans="1:20" x14ac:dyDescent="0.3">
      <c r="A474">
        <v>470</v>
      </c>
      <c r="B474" t="s">
        <v>1276</v>
      </c>
      <c r="C474">
        <v>16</v>
      </c>
      <c r="D474">
        <v>12</v>
      </c>
      <c r="E474">
        <v>2020</v>
      </c>
      <c r="F474" t="s">
        <v>17</v>
      </c>
      <c r="G474" t="s">
        <v>743</v>
      </c>
      <c r="H474" t="s">
        <v>2723</v>
      </c>
      <c r="I474" t="s">
        <v>19</v>
      </c>
      <c r="J474" t="s">
        <v>2436</v>
      </c>
      <c r="K474" t="s">
        <v>79</v>
      </c>
      <c r="L474">
        <v>60610</v>
      </c>
      <c r="M474" t="s">
        <v>1277</v>
      </c>
      <c r="N474" t="s">
        <v>33</v>
      </c>
      <c r="O474" t="s">
        <v>58</v>
      </c>
      <c r="P474" t="s">
        <v>1278</v>
      </c>
      <c r="Q474">
        <f>_xlfn.XLOOKUP(Table3[[#This Row],[Product Name]],Sales!A:A,Sales!B:B)</f>
        <v>4.7880000000000003</v>
      </c>
      <c r="R474">
        <f>_xlfn.XLOOKUP(Table3[[#This Row],[Product Name]],Sales!A:A,Sales!C:C)</f>
        <v>3</v>
      </c>
      <c r="S474">
        <f>_xlfn.XLOOKUP(Table3[[#This Row],[Product Name]],Sales!A:A,Sales!D:D)</f>
        <v>0.8</v>
      </c>
      <c r="T474">
        <f>_xlfn.XLOOKUP(Table3[[#This Row],[Product Name]],Sales!A:A,Sales!E:E)</f>
        <v>-7.9001999999999999</v>
      </c>
    </row>
    <row r="475" spans="1:20" x14ac:dyDescent="0.3">
      <c r="A475">
        <v>471</v>
      </c>
      <c r="B475" t="s">
        <v>1279</v>
      </c>
      <c r="C475">
        <v>20</v>
      </c>
      <c r="D475">
        <v>12</v>
      </c>
      <c r="E475">
        <v>2019</v>
      </c>
      <c r="F475" t="s">
        <v>37</v>
      </c>
      <c r="G475" t="s">
        <v>1280</v>
      </c>
      <c r="H475" t="s">
        <v>2796</v>
      </c>
      <c r="I475" t="s">
        <v>30</v>
      </c>
      <c r="J475" t="s">
        <v>2537</v>
      </c>
      <c r="K475" t="s">
        <v>108</v>
      </c>
      <c r="L475">
        <v>11757</v>
      </c>
      <c r="M475" t="s">
        <v>1281</v>
      </c>
      <c r="N475" t="s">
        <v>33</v>
      </c>
      <c r="O475" t="s">
        <v>70</v>
      </c>
      <c r="P475" t="s">
        <v>1282</v>
      </c>
      <c r="Q475">
        <f>_xlfn.XLOOKUP(Table3[[#This Row],[Product Name]],Sales!A:A,Sales!B:B)</f>
        <v>55.48</v>
      </c>
      <c r="R475">
        <f>_xlfn.XLOOKUP(Table3[[#This Row],[Product Name]],Sales!A:A,Sales!C:C)</f>
        <v>1</v>
      </c>
      <c r="S475">
        <f>_xlfn.XLOOKUP(Table3[[#This Row],[Product Name]],Sales!A:A,Sales!D:D)</f>
        <v>0</v>
      </c>
      <c r="T475">
        <f>_xlfn.XLOOKUP(Table3[[#This Row],[Product Name]],Sales!A:A,Sales!E:E)</f>
        <v>26.630400000000002</v>
      </c>
    </row>
    <row r="476" spans="1:20" x14ac:dyDescent="0.3">
      <c r="A476">
        <v>472</v>
      </c>
      <c r="B476" t="s">
        <v>1283</v>
      </c>
      <c r="C476">
        <v>9</v>
      </c>
      <c r="D476">
        <v>11</v>
      </c>
      <c r="E476">
        <v>2018</v>
      </c>
      <c r="F476" t="s">
        <v>17</v>
      </c>
      <c r="G476" t="s">
        <v>1284</v>
      </c>
      <c r="H476" t="s">
        <v>2797</v>
      </c>
      <c r="I476" t="s">
        <v>19</v>
      </c>
      <c r="J476" t="s">
        <v>2422</v>
      </c>
      <c r="K476" t="s">
        <v>31</v>
      </c>
      <c r="L476">
        <v>94110</v>
      </c>
      <c r="M476" t="s">
        <v>1285</v>
      </c>
      <c r="N476" t="s">
        <v>33</v>
      </c>
      <c r="O476" t="s">
        <v>43</v>
      </c>
      <c r="P476" t="s">
        <v>1286</v>
      </c>
      <c r="Q476">
        <f>_xlfn.XLOOKUP(Table3[[#This Row],[Product Name]],Sales!A:A,Sales!B:B)</f>
        <v>340.92</v>
      </c>
      <c r="R476">
        <f>_xlfn.XLOOKUP(Table3[[#This Row],[Product Name]],Sales!A:A,Sales!C:C)</f>
        <v>3</v>
      </c>
      <c r="S476">
        <f>_xlfn.XLOOKUP(Table3[[#This Row],[Product Name]],Sales!A:A,Sales!D:D)</f>
        <v>0</v>
      </c>
      <c r="T476">
        <f>_xlfn.XLOOKUP(Table3[[#This Row],[Product Name]],Sales!A:A,Sales!E:E)</f>
        <v>3.4091999999999998</v>
      </c>
    </row>
    <row r="477" spans="1:20" x14ac:dyDescent="0.3">
      <c r="A477">
        <v>473</v>
      </c>
      <c r="B477" t="s">
        <v>1283</v>
      </c>
      <c r="C477">
        <v>9</v>
      </c>
      <c r="D477">
        <v>11</v>
      </c>
      <c r="E477">
        <v>2018</v>
      </c>
      <c r="F477" t="s">
        <v>17</v>
      </c>
      <c r="G477" t="s">
        <v>1284</v>
      </c>
      <c r="H477" t="s">
        <v>2797</v>
      </c>
      <c r="I477" t="s">
        <v>19</v>
      </c>
      <c r="J477" t="s">
        <v>2422</v>
      </c>
      <c r="K477" t="s">
        <v>31</v>
      </c>
      <c r="L477">
        <v>94110</v>
      </c>
      <c r="M477" t="s">
        <v>1287</v>
      </c>
      <c r="N477" t="s">
        <v>22</v>
      </c>
      <c r="O477" t="s">
        <v>23</v>
      </c>
      <c r="P477" t="s">
        <v>1288</v>
      </c>
      <c r="Q477">
        <f>_xlfn.XLOOKUP(Table3[[#This Row],[Product Name]],Sales!A:A,Sales!B:B)</f>
        <v>222.666</v>
      </c>
      <c r="R477">
        <f>_xlfn.XLOOKUP(Table3[[#This Row],[Product Name]],Sales!A:A,Sales!C:C)</f>
        <v>2</v>
      </c>
      <c r="S477">
        <f>_xlfn.XLOOKUP(Table3[[#This Row],[Product Name]],Sales!A:A,Sales!D:D)</f>
        <v>0.15</v>
      </c>
      <c r="T477">
        <f>_xlfn.XLOOKUP(Table3[[#This Row],[Product Name]],Sales!A:A,Sales!E:E)</f>
        <v>10.478400000000001</v>
      </c>
    </row>
    <row r="478" spans="1:20" x14ac:dyDescent="0.3">
      <c r="A478">
        <v>474</v>
      </c>
      <c r="B478" t="s">
        <v>1283</v>
      </c>
      <c r="C478">
        <v>9</v>
      </c>
      <c r="D478">
        <v>11</v>
      </c>
      <c r="E478">
        <v>2018</v>
      </c>
      <c r="F478" t="s">
        <v>17</v>
      </c>
      <c r="G478" t="s">
        <v>1284</v>
      </c>
      <c r="H478" t="s">
        <v>2797</v>
      </c>
      <c r="I478" t="s">
        <v>19</v>
      </c>
      <c r="J478" t="s">
        <v>2422</v>
      </c>
      <c r="K478" t="s">
        <v>31</v>
      </c>
      <c r="L478">
        <v>94110</v>
      </c>
      <c r="M478" t="s">
        <v>1289</v>
      </c>
      <c r="N478" t="s">
        <v>54</v>
      </c>
      <c r="O478" t="s">
        <v>55</v>
      </c>
      <c r="P478" t="s">
        <v>1290</v>
      </c>
      <c r="Q478">
        <f>_xlfn.XLOOKUP(Table3[[#This Row],[Product Name]],Sales!A:A,Sales!B:B)</f>
        <v>703.96799999999996</v>
      </c>
      <c r="R478">
        <f>_xlfn.XLOOKUP(Table3[[#This Row],[Product Name]],Sales!A:A,Sales!C:C)</f>
        <v>4</v>
      </c>
      <c r="S478">
        <f>_xlfn.XLOOKUP(Table3[[#This Row],[Product Name]],Sales!A:A,Sales!D:D)</f>
        <v>0.2</v>
      </c>
      <c r="T478">
        <f>_xlfn.XLOOKUP(Table3[[#This Row],[Product Name]],Sales!A:A,Sales!E:E)</f>
        <v>87.995999999999995</v>
      </c>
    </row>
    <row r="479" spans="1:20" x14ac:dyDescent="0.3">
      <c r="A479">
        <v>475</v>
      </c>
      <c r="B479" t="s">
        <v>1283</v>
      </c>
      <c r="C479">
        <v>9</v>
      </c>
      <c r="D479">
        <v>11</v>
      </c>
      <c r="E479">
        <v>2018</v>
      </c>
      <c r="F479" t="s">
        <v>17</v>
      </c>
      <c r="G479" t="s">
        <v>1284</v>
      </c>
      <c r="H479" t="s">
        <v>2797</v>
      </c>
      <c r="I479" t="s">
        <v>19</v>
      </c>
      <c r="J479" t="s">
        <v>2422</v>
      </c>
      <c r="K479" t="s">
        <v>31</v>
      </c>
      <c r="L479">
        <v>94110</v>
      </c>
      <c r="M479" t="s">
        <v>1291</v>
      </c>
      <c r="N479" t="s">
        <v>33</v>
      </c>
      <c r="O479" t="s">
        <v>43</v>
      </c>
      <c r="P479" t="s">
        <v>1292</v>
      </c>
      <c r="Q479">
        <f>_xlfn.XLOOKUP(Table3[[#This Row],[Product Name]],Sales!A:A,Sales!B:B)</f>
        <v>92.52</v>
      </c>
      <c r="R479">
        <f>_xlfn.XLOOKUP(Table3[[#This Row],[Product Name]],Sales!A:A,Sales!C:C)</f>
        <v>6</v>
      </c>
      <c r="S479">
        <f>_xlfn.XLOOKUP(Table3[[#This Row],[Product Name]],Sales!A:A,Sales!D:D)</f>
        <v>0</v>
      </c>
      <c r="T479">
        <f>_xlfn.XLOOKUP(Table3[[#This Row],[Product Name]],Sales!A:A,Sales!E:E)</f>
        <v>24.980399999999999</v>
      </c>
    </row>
    <row r="480" spans="1:20" x14ac:dyDescent="0.3">
      <c r="A480">
        <v>476</v>
      </c>
      <c r="B480" t="s">
        <v>1283</v>
      </c>
      <c r="C480">
        <v>9</v>
      </c>
      <c r="D480">
        <v>11</v>
      </c>
      <c r="E480">
        <v>2018</v>
      </c>
      <c r="F480" t="s">
        <v>17</v>
      </c>
      <c r="G480" t="s">
        <v>1284</v>
      </c>
      <c r="H480" t="s">
        <v>2797</v>
      </c>
      <c r="I480" t="s">
        <v>19</v>
      </c>
      <c r="J480" t="s">
        <v>2422</v>
      </c>
      <c r="K480" t="s">
        <v>31</v>
      </c>
      <c r="L480">
        <v>94110</v>
      </c>
      <c r="M480" t="s">
        <v>1293</v>
      </c>
      <c r="N480" t="s">
        <v>33</v>
      </c>
      <c r="O480" t="s">
        <v>70</v>
      </c>
      <c r="P480" t="s">
        <v>1294</v>
      </c>
      <c r="Q480">
        <f>_xlfn.XLOOKUP(Table3[[#This Row],[Product Name]],Sales!A:A,Sales!B:B)</f>
        <v>62.65</v>
      </c>
      <c r="R480">
        <f>_xlfn.XLOOKUP(Table3[[#This Row],[Product Name]],Sales!A:A,Sales!C:C)</f>
        <v>7</v>
      </c>
      <c r="S480">
        <f>_xlfn.XLOOKUP(Table3[[#This Row],[Product Name]],Sales!A:A,Sales!D:D)</f>
        <v>0</v>
      </c>
      <c r="T480">
        <f>_xlfn.XLOOKUP(Table3[[#This Row],[Product Name]],Sales!A:A,Sales!E:E)</f>
        <v>28.818999999999999</v>
      </c>
    </row>
    <row r="481" spans="1:20" x14ac:dyDescent="0.3">
      <c r="A481">
        <v>477</v>
      </c>
      <c r="B481" t="s">
        <v>1283</v>
      </c>
      <c r="C481">
        <v>9</v>
      </c>
      <c r="D481">
        <v>11</v>
      </c>
      <c r="E481">
        <v>2018</v>
      </c>
      <c r="F481" t="s">
        <v>17</v>
      </c>
      <c r="G481" t="s">
        <v>1284</v>
      </c>
      <c r="H481" t="s">
        <v>2797</v>
      </c>
      <c r="I481" t="s">
        <v>19</v>
      </c>
      <c r="J481" t="s">
        <v>2422</v>
      </c>
      <c r="K481" t="s">
        <v>31</v>
      </c>
      <c r="L481">
        <v>94110</v>
      </c>
      <c r="M481" t="s">
        <v>1295</v>
      </c>
      <c r="N481" t="s">
        <v>33</v>
      </c>
      <c r="O481" t="s">
        <v>70</v>
      </c>
      <c r="P481" t="s">
        <v>1296</v>
      </c>
      <c r="Q481">
        <f>_xlfn.XLOOKUP(Table3[[#This Row],[Product Name]],Sales!A:A,Sales!B:B)</f>
        <v>94.85</v>
      </c>
      <c r="R481">
        <f>_xlfn.XLOOKUP(Table3[[#This Row],[Product Name]],Sales!A:A,Sales!C:C)</f>
        <v>5</v>
      </c>
      <c r="S481">
        <f>_xlfn.XLOOKUP(Table3[[#This Row],[Product Name]],Sales!A:A,Sales!D:D)</f>
        <v>0</v>
      </c>
      <c r="T481">
        <f>_xlfn.XLOOKUP(Table3[[#This Row],[Product Name]],Sales!A:A,Sales!E:E)</f>
        <v>45.527999999999999</v>
      </c>
    </row>
    <row r="482" spans="1:20" x14ac:dyDescent="0.3">
      <c r="A482">
        <v>478</v>
      </c>
      <c r="B482" t="s">
        <v>1297</v>
      </c>
      <c r="C482">
        <v>12</v>
      </c>
      <c r="D482">
        <v>7</v>
      </c>
      <c r="E482">
        <v>2020</v>
      </c>
      <c r="F482" t="s">
        <v>37</v>
      </c>
      <c r="G482" t="s">
        <v>780</v>
      </c>
      <c r="H482" t="s">
        <v>2730</v>
      </c>
      <c r="I482" t="s">
        <v>30</v>
      </c>
      <c r="J482" t="s">
        <v>2415</v>
      </c>
      <c r="K482" t="s">
        <v>31</v>
      </c>
      <c r="L482">
        <v>90008</v>
      </c>
      <c r="M482" t="s">
        <v>1298</v>
      </c>
      <c r="N482" t="s">
        <v>54</v>
      </c>
      <c r="O482" t="s">
        <v>55</v>
      </c>
      <c r="P482" t="s">
        <v>1299</v>
      </c>
      <c r="Q482">
        <f>_xlfn.XLOOKUP(Table3[[#This Row],[Product Name]],Sales!A:A,Sales!B:B)</f>
        <v>95.76</v>
      </c>
      <c r="R482">
        <f>_xlfn.XLOOKUP(Table3[[#This Row],[Product Name]],Sales!A:A,Sales!C:C)</f>
        <v>6</v>
      </c>
      <c r="S482">
        <f>_xlfn.XLOOKUP(Table3[[#This Row],[Product Name]],Sales!A:A,Sales!D:D)</f>
        <v>0.2</v>
      </c>
      <c r="T482">
        <f>_xlfn.XLOOKUP(Table3[[#This Row],[Product Name]],Sales!A:A,Sales!E:E)</f>
        <v>7.1820000000000004</v>
      </c>
    </row>
    <row r="483" spans="1:20" x14ac:dyDescent="0.3">
      <c r="A483">
        <v>479</v>
      </c>
      <c r="B483" t="s">
        <v>1300</v>
      </c>
      <c r="C483">
        <v>27</v>
      </c>
      <c r="D483">
        <v>10</v>
      </c>
      <c r="E483">
        <v>2020</v>
      </c>
      <c r="F483" t="s">
        <v>37</v>
      </c>
      <c r="G483" t="s">
        <v>1301</v>
      </c>
      <c r="H483" t="s">
        <v>2798</v>
      </c>
      <c r="I483" t="s">
        <v>19</v>
      </c>
      <c r="J483" t="s">
        <v>2435</v>
      </c>
      <c r="K483" t="s">
        <v>108</v>
      </c>
      <c r="L483">
        <v>12180</v>
      </c>
      <c r="M483" t="s">
        <v>865</v>
      </c>
      <c r="N483" t="s">
        <v>22</v>
      </c>
      <c r="O483" t="s">
        <v>48</v>
      </c>
      <c r="P483" t="s">
        <v>866</v>
      </c>
      <c r="Q483">
        <f>_xlfn.XLOOKUP(Table3[[#This Row],[Product Name]],Sales!A:A,Sales!B:B)</f>
        <v>26.8</v>
      </c>
      <c r="R483">
        <f>_xlfn.XLOOKUP(Table3[[#This Row],[Product Name]],Sales!A:A,Sales!C:C)</f>
        <v>2</v>
      </c>
      <c r="S483">
        <f>_xlfn.XLOOKUP(Table3[[#This Row],[Product Name]],Sales!A:A,Sales!D:D)</f>
        <v>0</v>
      </c>
      <c r="T483">
        <f>_xlfn.XLOOKUP(Table3[[#This Row],[Product Name]],Sales!A:A,Sales!E:E)</f>
        <v>12.864000000000001</v>
      </c>
    </row>
    <row r="484" spans="1:20" x14ac:dyDescent="0.3">
      <c r="A484">
        <v>480</v>
      </c>
      <c r="B484" t="s">
        <v>1302</v>
      </c>
      <c r="C484">
        <v>26</v>
      </c>
      <c r="D484">
        <v>6</v>
      </c>
      <c r="E484">
        <v>2020</v>
      </c>
      <c r="F484" t="s">
        <v>37</v>
      </c>
      <c r="G484" t="s">
        <v>1303</v>
      </c>
      <c r="H484" t="s">
        <v>2799</v>
      </c>
      <c r="I484" t="s">
        <v>30</v>
      </c>
      <c r="J484" t="s">
        <v>2434</v>
      </c>
      <c r="K484" t="s">
        <v>108</v>
      </c>
      <c r="L484">
        <v>10024</v>
      </c>
      <c r="M484" t="s">
        <v>1304</v>
      </c>
      <c r="N484" t="s">
        <v>33</v>
      </c>
      <c r="O484" t="s">
        <v>51</v>
      </c>
      <c r="P484" t="s">
        <v>1305</v>
      </c>
      <c r="Q484">
        <f>_xlfn.XLOOKUP(Table3[[#This Row],[Product Name]],Sales!A:A,Sales!B:B)</f>
        <v>14.7</v>
      </c>
      <c r="R484">
        <f>_xlfn.XLOOKUP(Table3[[#This Row],[Product Name]],Sales!A:A,Sales!C:C)</f>
        <v>5</v>
      </c>
      <c r="S484">
        <f>_xlfn.XLOOKUP(Table3[[#This Row],[Product Name]],Sales!A:A,Sales!D:D)</f>
        <v>0</v>
      </c>
      <c r="T484">
        <f>_xlfn.XLOOKUP(Table3[[#This Row],[Product Name]],Sales!A:A,Sales!E:E)</f>
        <v>6.6150000000000002</v>
      </c>
    </row>
    <row r="485" spans="1:20" x14ac:dyDescent="0.3">
      <c r="A485">
        <v>481</v>
      </c>
      <c r="B485" t="s">
        <v>1302</v>
      </c>
      <c r="C485">
        <v>26</v>
      </c>
      <c r="D485">
        <v>6</v>
      </c>
      <c r="E485">
        <v>2020</v>
      </c>
      <c r="F485" t="s">
        <v>37</v>
      </c>
      <c r="G485" t="s">
        <v>1303</v>
      </c>
      <c r="H485" t="s">
        <v>2799</v>
      </c>
      <c r="I485" t="s">
        <v>30</v>
      </c>
      <c r="J485" t="s">
        <v>2434</v>
      </c>
      <c r="K485" t="s">
        <v>108</v>
      </c>
      <c r="L485">
        <v>10024</v>
      </c>
      <c r="M485" t="s">
        <v>1306</v>
      </c>
      <c r="N485" t="s">
        <v>33</v>
      </c>
      <c r="O485" t="s">
        <v>43</v>
      </c>
      <c r="P485" t="s">
        <v>1307</v>
      </c>
      <c r="Q485">
        <f>_xlfn.XLOOKUP(Table3[[#This Row],[Product Name]],Sales!A:A,Sales!B:B)</f>
        <v>704.25</v>
      </c>
      <c r="R485">
        <f>_xlfn.XLOOKUP(Table3[[#This Row],[Product Name]],Sales!A:A,Sales!C:C)</f>
        <v>5</v>
      </c>
      <c r="S485">
        <f>_xlfn.XLOOKUP(Table3[[#This Row],[Product Name]],Sales!A:A,Sales!D:D)</f>
        <v>0</v>
      </c>
      <c r="T485">
        <f>_xlfn.XLOOKUP(Table3[[#This Row],[Product Name]],Sales!A:A,Sales!E:E)</f>
        <v>84.51</v>
      </c>
    </row>
    <row r="486" spans="1:20" x14ac:dyDescent="0.3">
      <c r="A486">
        <v>482</v>
      </c>
      <c r="B486" t="s">
        <v>1308</v>
      </c>
      <c r="C486">
        <v>6</v>
      </c>
      <c r="D486">
        <v>10</v>
      </c>
      <c r="E486">
        <v>2018</v>
      </c>
      <c r="F486" t="s">
        <v>37</v>
      </c>
      <c r="G486" t="s">
        <v>1309</v>
      </c>
      <c r="H486" t="s">
        <v>2800</v>
      </c>
      <c r="I486" t="s">
        <v>19</v>
      </c>
      <c r="J486" t="s">
        <v>2487</v>
      </c>
      <c r="K486" t="s">
        <v>31</v>
      </c>
      <c r="L486">
        <v>92024</v>
      </c>
      <c r="M486" t="s">
        <v>1310</v>
      </c>
      <c r="N486" t="s">
        <v>54</v>
      </c>
      <c r="O486" t="s">
        <v>118</v>
      </c>
      <c r="P486" t="s">
        <v>1311</v>
      </c>
      <c r="Q486">
        <f>_xlfn.XLOOKUP(Table3[[#This Row],[Product Name]],Sales!A:A,Sales!B:B)</f>
        <v>9.09</v>
      </c>
      <c r="R486">
        <f>_xlfn.XLOOKUP(Table3[[#This Row],[Product Name]],Sales!A:A,Sales!C:C)</f>
        <v>3</v>
      </c>
      <c r="S486">
        <f>_xlfn.XLOOKUP(Table3[[#This Row],[Product Name]],Sales!A:A,Sales!D:D)</f>
        <v>0</v>
      </c>
      <c r="T486">
        <f>_xlfn.XLOOKUP(Table3[[#This Row],[Product Name]],Sales!A:A,Sales!E:E)</f>
        <v>1.9089</v>
      </c>
    </row>
    <row r="487" spans="1:20" x14ac:dyDescent="0.3">
      <c r="A487">
        <v>483</v>
      </c>
      <c r="B487" t="s">
        <v>1312</v>
      </c>
      <c r="C487">
        <v>22</v>
      </c>
      <c r="D487">
        <v>7</v>
      </c>
      <c r="E487">
        <v>2018</v>
      </c>
      <c r="F487" t="s">
        <v>37</v>
      </c>
      <c r="G487" t="s">
        <v>1313</v>
      </c>
      <c r="H487" t="s">
        <v>2801</v>
      </c>
      <c r="I487" t="s">
        <v>19</v>
      </c>
      <c r="J487" t="s">
        <v>2434</v>
      </c>
      <c r="K487" t="s">
        <v>108</v>
      </c>
      <c r="L487">
        <v>10024</v>
      </c>
      <c r="M487" t="s">
        <v>274</v>
      </c>
      <c r="N487" t="s">
        <v>33</v>
      </c>
      <c r="O487" t="s">
        <v>51</v>
      </c>
      <c r="P487" t="s">
        <v>275</v>
      </c>
      <c r="Q487">
        <f>_xlfn.XLOOKUP(Table3[[#This Row],[Product Name]],Sales!A:A,Sales!B:B)</f>
        <v>14.9</v>
      </c>
      <c r="R487">
        <f>_xlfn.XLOOKUP(Table3[[#This Row],[Product Name]],Sales!A:A,Sales!C:C)</f>
        <v>5</v>
      </c>
      <c r="S487">
        <f>_xlfn.XLOOKUP(Table3[[#This Row],[Product Name]],Sales!A:A,Sales!D:D)</f>
        <v>0</v>
      </c>
      <c r="T487">
        <f>_xlfn.XLOOKUP(Table3[[#This Row],[Product Name]],Sales!A:A,Sales!E:E)</f>
        <v>4.1719999999999997</v>
      </c>
    </row>
    <row r="488" spans="1:20" x14ac:dyDescent="0.3">
      <c r="A488">
        <v>484</v>
      </c>
      <c r="B488" t="s">
        <v>1312</v>
      </c>
      <c r="C488">
        <v>22</v>
      </c>
      <c r="D488">
        <v>7</v>
      </c>
      <c r="E488">
        <v>2018</v>
      </c>
      <c r="F488" t="s">
        <v>37</v>
      </c>
      <c r="G488" t="s">
        <v>1313</v>
      </c>
      <c r="H488" t="s">
        <v>2801</v>
      </c>
      <c r="I488" t="s">
        <v>19</v>
      </c>
      <c r="J488" t="s">
        <v>2434</v>
      </c>
      <c r="K488" t="s">
        <v>108</v>
      </c>
      <c r="L488">
        <v>10024</v>
      </c>
      <c r="M488" t="s">
        <v>1314</v>
      </c>
      <c r="N488" t="s">
        <v>54</v>
      </c>
      <c r="O488" t="s">
        <v>118</v>
      </c>
      <c r="P488" t="s">
        <v>1315</v>
      </c>
      <c r="Q488">
        <f>_xlfn.XLOOKUP(Table3[[#This Row],[Product Name]],Sales!A:A,Sales!B:B)</f>
        <v>159.97999999999999</v>
      </c>
      <c r="R488">
        <f>_xlfn.XLOOKUP(Table3[[#This Row],[Product Name]],Sales!A:A,Sales!C:C)</f>
        <v>2</v>
      </c>
      <c r="S488">
        <f>_xlfn.XLOOKUP(Table3[[#This Row],[Product Name]],Sales!A:A,Sales!D:D)</f>
        <v>0</v>
      </c>
      <c r="T488">
        <f>_xlfn.XLOOKUP(Table3[[#This Row],[Product Name]],Sales!A:A,Sales!E:E)</f>
        <v>57.592799999999997</v>
      </c>
    </row>
    <row r="489" spans="1:20" x14ac:dyDescent="0.3">
      <c r="A489">
        <v>485</v>
      </c>
      <c r="B489" t="s">
        <v>1316</v>
      </c>
      <c r="C489">
        <v>10</v>
      </c>
      <c r="D489">
        <v>6</v>
      </c>
      <c r="E489">
        <v>2021</v>
      </c>
      <c r="F489" t="s">
        <v>142</v>
      </c>
      <c r="G489" t="s">
        <v>1317</v>
      </c>
      <c r="H489" t="s">
        <v>2802</v>
      </c>
      <c r="I489" t="s">
        <v>78</v>
      </c>
      <c r="J489" t="s">
        <v>2415</v>
      </c>
      <c r="K489" t="s">
        <v>31</v>
      </c>
      <c r="L489">
        <v>90045</v>
      </c>
      <c r="M489" t="s">
        <v>1318</v>
      </c>
      <c r="N489" t="s">
        <v>33</v>
      </c>
      <c r="O489" t="s">
        <v>34</v>
      </c>
      <c r="P489" t="s">
        <v>1319</v>
      </c>
      <c r="Q489">
        <f>_xlfn.XLOOKUP(Table3[[#This Row],[Product Name]],Sales!A:A,Sales!B:B)</f>
        <v>29.6</v>
      </c>
      <c r="R489">
        <f>_xlfn.XLOOKUP(Table3[[#This Row],[Product Name]],Sales!A:A,Sales!C:C)</f>
        <v>2</v>
      </c>
      <c r="S489">
        <f>_xlfn.XLOOKUP(Table3[[#This Row],[Product Name]],Sales!A:A,Sales!D:D)</f>
        <v>0</v>
      </c>
      <c r="T489">
        <f>_xlfn.XLOOKUP(Table3[[#This Row],[Product Name]],Sales!A:A,Sales!E:E)</f>
        <v>14.8</v>
      </c>
    </row>
    <row r="490" spans="1:20" x14ac:dyDescent="0.3">
      <c r="A490">
        <v>486</v>
      </c>
      <c r="B490" t="s">
        <v>1316</v>
      </c>
      <c r="C490">
        <v>10</v>
      </c>
      <c r="D490">
        <v>6</v>
      </c>
      <c r="E490">
        <v>2021</v>
      </c>
      <c r="F490" t="s">
        <v>142</v>
      </c>
      <c r="G490" t="s">
        <v>1317</v>
      </c>
      <c r="H490" t="s">
        <v>2802</v>
      </c>
      <c r="I490" t="s">
        <v>78</v>
      </c>
      <c r="J490" t="s">
        <v>2415</v>
      </c>
      <c r="K490" t="s">
        <v>31</v>
      </c>
      <c r="L490">
        <v>90045</v>
      </c>
      <c r="M490" t="s">
        <v>1320</v>
      </c>
      <c r="N490" t="s">
        <v>22</v>
      </c>
      <c r="O490" t="s">
        <v>23</v>
      </c>
      <c r="P490" t="s">
        <v>1321</v>
      </c>
      <c r="Q490">
        <f>_xlfn.XLOOKUP(Table3[[#This Row],[Product Name]],Sales!A:A,Sales!B:B)</f>
        <v>514.16499999999996</v>
      </c>
      <c r="R490">
        <f>_xlfn.XLOOKUP(Table3[[#This Row],[Product Name]],Sales!A:A,Sales!C:C)</f>
        <v>5</v>
      </c>
      <c r="S490">
        <f>_xlfn.XLOOKUP(Table3[[#This Row],[Product Name]],Sales!A:A,Sales!D:D)</f>
        <v>0.15</v>
      </c>
      <c r="T490">
        <f>_xlfn.XLOOKUP(Table3[[#This Row],[Product Name]],Sales!A:A,Sales!E:E)</f>
        <v>-30.245000000000001</v>
      </c>
    </row>
    <row r="491" spans="1:20" x14ac:dyDescent="0.3">
      <c r="A491">
        <v>487</v>
      </c>
      <c r="B491" t="s">
        <v>1316</v>
      </c>
      <c r="C491">
        <v>10</v>
      </c>
      <c r="D491">
        <v>6</v>
      </c>
      <c r="E491">
        <v>2021</v>
      </c>
      <c r="F491" t="s">
        <v>142</v>
      </c>
      <c r="G491" t="s">
        <v>1317</v>
      </c>
      <c r="H491" t="s">
        <v>2802</v>
      </c>
      <c r="I491" t="s">
        <v>78</v>
      </c>
      <c r="J491" t="s">
        <v>2415</v>
      </c>
      <c r="K491" t="s">
        <v>31</v>
      </c>
      <c r="L491">
        <v>90045</v>
      </c>
      <c r="M491" t="s">
        <v>1322</v>
      </c>
      <c r="N491" t="s">
        <v>54</v>
      </c>
      <c r="O491" t="s">
        <v>55</v>
      </c>
      <c r="P491" t="s">
        <v>1323</v>
      </c>
      <c r="Q491">
        <f>_xlfn.XLOOKUP(Table3[[#This Row],[Product Name]],Sales!A:A,Sales!B:B)</f>
        <v>279.95999999999998</v>
      </c>
      <c r="R491">
        <f>_xlfn.XLOOKUP(Table3[[#This Row],[Product Name]],Sales!A:A,Sales!C:C)</f>
        <v>5</v>
      </c>
      <c r="S491">
        <f>_xlfn.XLOOKUP(Table3[[#This Row],[Product Name]],Sales!A:A,Sales!D:D)</f>
        <v>0.2</v>
      </c>
      <c r="T491">
        <f>_xlfn.XLOOKUP(Table3[[#This Row],[Product Name]],Sales!A:A,Sales!E:E)</f>
        <v>17.497499999999999</v>
      </c>
    </row>
    <row r="492" spans="1:20" x14ac:dyDescent="0.3">
      <c r="A492">
        <v>488</v>
      </c>
      <c r="B492" t="s">
        <v>1324</v>
      </c>
      <c r="C492">
        <v>29</v>
      </c>
      <c r="D492">
        <v>10</v>
      </c>
      <c r="E492">
        <v>2018</v>
      </c>
      <c r="F492" t="s">
        <v>142</v>
      </c>
      <c r="G492" t="s">
        <v>1325</v>
      </c>
      <c r="H492" t="s">
        <v>2803</v>
      </c>
      <c r="I492" t="s">
        <v>19</v>
      </c>
      <c r="J492" t="s">
        <v>2436</v>
      </c>
      <c r="K492" t="s">
        <v>79</v>
      </c>
      <c r="L492">
        <v>60610</v>
      </c>
      <c r="M492" t="s">
        <v>1326</v>
      </c>
      <c r="N492" t="s">
        <v>54</v>
      </c>
      <c r="O492" t="s">
        <v>55</v>
      </c>
      <c r="P492" t="s">
        <v>1327</v>
      </c>
      <c r="Q492">
        <f>_xlfn.XLOOKUP(Table3[[#This Row],[Product Name]],Sales!A:A,Sales!B:B)</f>
        <v>2735.9520000000002</v>
      </c>
      <c r="R492">
        <f>_xlfn.XLOOKUP(Table3[[#This Row],[Product Name]],Sales!A:A,Sales!C:C)</f>
        <v>6</v>
      </c>
      <c r="S492">
        <f>_xlfn.XLOOKUP(Table3[[#This Row],[Product Name]],Sales!A:A,Sales!D:D)</f>
        <v>0.2</v>
      </c>
      <c r="T492">
        <f>_xlfn.XLOOKUP(Table3[[#This Row],[Product Name]],Sales!A:A,Sales!E:E)</f>
        <v>341.99400000000003</v>
      </c>
    </row>
    <row r="493" spans="1:20" x14ac:dyDescent="0.3">
      <c r="A493">
        <v>489</v>
      </c>
      <c r="B493" t="s">
        <v>1328</v>
      </c>
      <c r="C493">
        <v>9</v>
      </c>
      <c r="D493">
        <v>6</v>
      </c>
      <c r="E493">
        <v>2018</v>
      </c>
      <c r="F493" t="s">
        <v>17</v>
      </c>
      <c r="G493" t="s">
        <v>1329</v>
      </c>
      <c r="H493" t="s">
        <v>2804</v>
      </c>
      <c r="I493" t="s">
        <v>78</v>
      </c>
      <c r="J493" t="s">
        <v>2538</v>
      </c>
      <c r="K493" t="s">
        <v>79</v>
      </c>
      <c r="L493">
        <v>77340</v>
      </c>
      <c r="M493" t="s">
        <v>1330</v>
      </c>
      <c r="N493" t="s">
        <v>54</v>
      </c>
      <c r="O493" t="s">
        <v>55</v>
      </c>
      <c r="P493" t="s">
        <v>1331</v>
      </c>
      <c r="Q493">
        <f>_xlfn.XLOOKUP(Table3[[#This Row],[Product Name]],Sales!A:A,Sales!B:B)</f>
        <v>7.992</v>
      </c>
      <c r="R493">
        <f>_xlfn.XLOOKUP(Table3[[#This Row],[Product Name]],Sales!A:A,Sales!C:C)</f>
        <v>1</v>
      </c>
      <c r="S493">
        <f>_xlfn.XLOOKUP(Table3[[#This Row],[Product Name]],Sales!A:A,Sales!D:D)</f>
        <v>0.2</v>
      </c>
      <c r="T493">
        <f>_xlfn.XLOOKUP(Table3[[#This Row],[Product Name]],Sales!A:A,Sales!E:E)</f>
        <v>0.59940000000000004</v>
      </c>
    </row>
    <row r="494" spans="1:20" x14ac:dyDescent="0.3">
      <c r="A494">
        <v>490</v>
      </c>
      <c r="B494" t="s">
        <v>1328</v>
      </c>
      <c r="C494">
        <v>9</v>
      </c>
      <c r="D494">
        <v>6</v>
      </c>
      <c r="E494">
        <v>2018</v>
      </c>
      <c r="F494" t="s">
        <v>17</v>
      </c>
      <c r="G494" t="s">
        <v>1329</v>
      </c>
      <c r="H494" t="s">
        <v>2804</v>
      </c>
      <c r="I494" t="s">
        <v>78</v>
      </c>
      <c r="J494" t="s">
        <v>2538</v>
      </c>
      <c r="K494" t="s">
        <v>79</v>
      </c>
      <c r="L494">
        <v>77340</v>
      </c>
      <c r="M494" t="s">
        <v>1332</v>
      </c>
      <c r="N494" t="s">
        <v>54</v>
      </c>
      <c r="O494" t="s">
        <v>118</v>
      </c>
      <c r="P494" t="s">
        <v>1333</v>
      </c>
      <c r="Q494">
        <f>_xlfn.XLOOKUP(Table3[[#This Row],[Product Name]],Sales!A:A,Sales!B:B)</f>
        <v>63.984000000000002</v>
      </c>
      <c r="R494">
        <f>_xlfn.XLOOKUP(Table3[[#This Row],[Product Name]],Sales!A:A,Sales!C:C)</f>
        <v>2</v>
      </c>
      <c r="S494">
        <f>_xlfn.XLOOKUP(Table3[[#This Row],[Product Name]],Sales!A:A,Sales!D:D)</f>
        <v>0.2</v>
      </c>
      <c r="T494">
        <f>_xlfn.XLOOKUP(Table3[[#This Row],[Product Name]],Sales!A:A,Sales!E:E)</f>
        <v>10.397399999999999</v>
      </c>
    </row>
    <row r="495" spans="1:20" x14ac:dyDescent="0.3">
      <c r="A495">
        <v>491</v>
      </c>
      <c r="B495" t="s">
        <v>1328</v>
      </c>
      <c r="C495">
        <v>9</v>
      </c>
      <c r="D495">
        <v>6</v>
      </c>
      <c r="E495">
        <v>2018</v>
      </c>
      <c r="F495" t="s">
        <v>17</v>
      </c>
      <c r="G495" t="s">
        <v>1329</v>
      </c>
      <c r="H495" t="s">
        <v>2804</v>
      </c>
      <c r="I495" t="s">
        <v>78</v>
      </c>
      <c r="J495" t="s">
        <v>2538</v>
      </c>
      <c r="K495" t="s">
        <v>79</v>
      </c>
      <c r="L495">
        <v>77340</v>
      </c>
      <c r="M495" t="s">
        <v>1231</v>
      </c>
      <c r="N495" t="s">
        <v>33</v>
      </c>
      <c r="O495" t="s">
        <v>51</v>
      </c>
      <c r="P495" t="s">
        <v>1232</v>
      </c>
      <c r="Q495">
        <f>_xlfn.XLOOKUP(Table3[[#This Row],[Product Name]],Sales!A:A,Sales!B:B)</f>
        <v>263.88</v>
      </c>
      <c r="R495">
        <f>_xlfn.XLOOKUP(Table3[[#This Row],[Product Name]],Sales!A:A,Sales!C:C)</f>
        <v>6</v>
      </c>
      <c r="S495">
        <f>_xlfn.XLOOKUP(Table3[[#This Row],[Product Name]],Sales!A:A,Sales!D:D)</f>
        <v>0</v>
      </c>
      <c r="T495">
        <f>_xlfn.XLOOKUP(Table3[[#This Row],[Product Name]],Sales!A:A,Sales!E:E)</f>
        <v>71.247600000000006</v>
      </c>
    </row>
    <row r="496" spans="1:20" x14ac:dyDescent="0.3">
      <c r="A496">
        <v>492</v>
      </c>
      <c r="B496" t="s">
        <v>1334</v>
      </c>
      <c r="C496">
        <v>14</v>
      </c>
      <c r="D496">
        <v>9</v>
      </c>
      <c r="E496">
        <v>2018</v>
      </c>
      <c r="F496" t="s">
        <v>37</v>
      </c>
      <c r="G496" t="s">
        <v>1335</v>
      </c>
      <c r="H496" t="s">
        <v>2805</v>
      </c>
      <c r="I496" t="s">
        <v>19</v>
      </c>
      <c r="J496" t="s">
        <v>2539</v>
      </c>
      <c r="K496" t="s">
        <v>108</v>
      </c>
      <c r="L496">
        <v>14609</v>
      </c>
      <c r="M496" t="s">
        <v>1336</v>
      </c>
      <c r="N496" t="s">
        <v>33</v>
      </c>
      <c r="O496" t="s">
        <v>43</v>
      </c>
      <c r="P496" t="s">
        <v>1337</v>
      </c>
      <c r="Q496">
        <f>_xlfn.XLOOKUP(Table3[[#This Row],[Product Name]],Sales!A:A,Sales!B:B)</f>
        <v>449.15</v>
      </c>
      <c r="R496">
        <f>_xlfn.XLOOKUP(Table3[[#This Row],[Product Name]],Sales!A:A,Sales!C:C)</f>
        <v>5</v>
      </c>
      <c r="S496">
        <f>_xlfn.XLOOKUP(Table3[[#This Row],[Product Name]],Sales!A:A,Sales!D:D)</f>
        <v>0</v>
      </c>
      <c r="T496">
        <f>_xlfn.XLOOKUP(Table3[[#This Row],[Product Name]],Sales!A:A,Sales!E:E)</f>
        <v>8.9830000000000005</v>
      </c>
    </row>
    <row r="497" spans="1:20" x14ac:dyDescent="0.3">
      <c r="A497">
        <v>493</v>
      </c>
      <c r="B497" t="s">
        <v>1334</v>
      </c>
      <c r="C497">
        <v>14</v>
      </c>
      <c r="D497">
        <v>9</v>
      </c>
      <c r="E497">
        <v>2018</v>
      </c>
      <c r="F497" t="s">
        <v>37</v>
      </c>
      <c r="G497" t="s">
        <v>1335</v>
      </c>
      <c r="H497" t="s">
        <v>2805</v>
      </c>
      <c r="I497" t="s">
        <v>19</v>
      </c>
      <c r="J497" t="s">
        <v>2539</v>
      </c>
      <c r="K497" t="s">
        <v>108</v>
      </c>
      <c r="L497">
        <v>14609</v>
      </c>
      <c r="M497" t="s">
        <v>1338</v>
      </c>
      <c r="N497" t="s">
        <v>33</v>
      </c>
      <c r="O497" t="s">
        <v>129</v>
      </c>
      <c r="P497" t="s">
        <v>1339</v>
      </c>
      <c r="Q497">
        <f>_xlfn.XLOOKUP(Table3[[#This Row],[Product Name]],Sales!A:A,Sales!B:B)</f>
        <v>11.07</v>
      </c>
      <c r="R497">
        <f>_xlfn.XLOOKUP(Table3[[#This Row],[Product Name]],Sales!A:A,Sales!C:C)</f>
        <v>3</v>
      </c>
      <c r="S497">
        <f>_xlfn.XLOOKUP(Table3[[#This Row],[Product Name]],Sales!A:A,Sales!D:D)</f>
        <v>0</v>
      </c>
      <c r="T497">
        <f>_xlfn.XLOOKUP(Table3[[#This Row],[Product Name]],Sales!A:A,Sales!E:E)</f>
        <v>5.0922000000000001</v>
      </c>
    </row>
    <row r="498" spans="1:20" x14ac:dyDescent="0.3">
      <c r="A498">
        <v>494</v>
      </c>
      <c r="B498" t="s">
        <v>1340</v>
      </c>
      <c r="C498">
        <v>9</v>
      </c>
      <c r="D498">
        <v>5</v>
      </c>
      <c r="E498">
        <v>2020</v>
      </c>
      <c r="F498" t="s">
        <v>37</v>
      </c>
      <c r="G498" t="s">
        <v>1341</v>
      </c>
      <c r="H498" t="s">
        <v>2806</v>
      </c>
      <c r="I498" t="s">
        <v>19</v>
      </c>
      <c r="J498" t="s">
        <v>2418</v>
      </c>
      <c r="K498" t="s">
        <v>31</v>
      </c>
      <c r="L498">
        <v>98115</v>
      </c>
      <c r="M498" t="s">
        <v>1342</v>
      </c>
      <c r="N498" t="s">
        <v>54</v>
      </c>
      <c r="O498" t="s">
        <v>118</v>
      </c>
      <c r="P498" t="s">
        <v>1343</v>
      </c>
      <c r="Q498">
        <f>_xlfn.XLOOKUP(Table3[[#This Row],[Product Name]],Sales!A:A,Sales!B:B)</f>
        <v>93.98</v>
      </c>
      <c r="R498">
        <f>_xlfn.XLOOKUP(Table3[[#This Row],[Product Name]],Sales!A:A,Sales!C:C)</f>
        <v>2</v>
      </c>
      <c r="S498">
        <f>_xlfn.XLOOKUP(Table3[[#This Row],[Product Name]],Sales!A:A,Sales!D:D)</f>
        <v>0</v>
      </c>
      <c r="T498">
        <f>_xlfn.XLOOKUP(Table3[[#This Row],[Product Name]],Sales!A:A,Sales!E:E)</f>
        <v>13.1572</v>
      </c>
    </row>
    <row r="499" spans="1:20" x14ac:dyDescent="0.3">
      <c r="A499">
        <v>495</v>
      </c>
      <c r="B499" t="s">
        <v>1344</v>
      </c>
      <c r="C499">
        <v>18</v>
      </c>
      <c r="D499">
        <v>3</v>
      </c>
      <c r="E499">
        <v>2020</v>
      </c>
      <c r="F499" t="s">
        <v>17</v>
      </c>
      <c r="G499" t="s">
        <v>1345</v>
      </c>
      <c r="H499" t="s">
        <v>2807</v>
      </c>
      <c r="I499" t="s">
        <v>19</v>
      </c>
      <c r="J499" t="s">
        <v>2440</v>
      </c>
      <c r="K499" t="s">
        <v>20</v>
      </c>
      <c r="L499">
        <v>38109</v>
      </c>
      <c r="M499" t="s">
        <v>1346</v>
      </c>
      <c r="N499" t="s">
        <v>22</v>
      </c>
      <c r="O499" t="s">
        <v>40</v>
      </c>
      <c r="P499" t="s">
        <v>1347</v>
      </c>
      <c r="Q499">
        <f>_xlfn.XLOOKUP(Table3[[#This Row],[Product Name]],Sales!A:A,Sales!B:B)</f>
        <v>189.88200000000001</v>
      </c>
      <c r="R499">
        <f>_xlfn.XLOOKUP(Table3[[#This Row],[Product Name]],Sales!A:A,Sales!C:C)</f>
        <v>3</v>
      </c>
      <c r="S499">
        <f>_xlfn.XLOOKUP(Table3[[#This Row],[Product Name]],Sales!A:A,Sales!D:D)</f>
        <v>0.4</v>
      </c>
      <c r="T499">
        <f>_xlfn.XLOOKUP(Table3[[#This Row],[Product Name]],Sales!A:A,Sales!E:E)</f>
        <v>-94.941000000000003</v>
      </c>
    </row>
    <row r="500" spans="1:20" x14ac:dyDescent="0.3">
      <c r="A500">
        <v>496</v>
      </c>
      <c r="B500" t="s">
        <v>1348</v>
      </c>
      <c r="C500">
        <v>27</v>
      </c>
      <c r="D500">
        <v>12</v>
      </c>
      <c r="E500">
        <v>2019</v>
      </c>
      <c r="F500" t="s">
        <v>37</v>
      </c>
      <c r="G500" t="s">
        <v>1349</v>
      </c>
      <c r="H500" t="s">
        <v>2808</v>
      </c>
      <c r="I500" t="s">
        <v>19</v>
      </c>
      <c r="J500" t="s">
        <v>2540</v>
      </c>
      <c r="K500" t="s">
        <v>20</v>
      </c>
      <c r="L500">
        <v>72701</v>
      </c>
      <c r="M500" t="s">
        <v>1350</v>
      </c>
      <c r="N500" t="s">
        <v>33</v>
      </c>
      <c r="O500" t="s">
        <v>129</v>
      </c>
      <c r="P500" t="s">
        <v>1351</v>
      </c>
      <c r="Q500">
        <f>_xlfn.XLOOKUP(Table3[[#This Row],[Product Name]],Sales!A:A,Sales!B:B)</f>
        <v>105.42</v>
      </c>
      <c r="R500">
        <f>_xlfn.XLOOKUP(Table3[[#This Row],[Product Name]],Sales!A:A,Sales!C:C)</f>
        <v>2</v>
      </c>
      <c r="S500">
        <f>_xlfn.XLOOKUP(Table3[[#This Row],[Product Name]],Sales!A:A,Sales!D:D)</f>
        <v>0</v>
      </c>
      <c r="T500">
        <f>_xlfn.XLOOKUP(Table3[[#This Row],[Product Name]],Sales!A:A,Sales!E:E)</f>
        <v>51.655799999999999</v>
      </c>
    </row>
    <row r="501" spans="1:20" x14ac:dyDescent="0.3">
      <c r="A501">
        <v>497</v>
      </c>
      <c r="B501" t="s">
        <v>1352</v>
      </c>
      <c r="C501">
        <v>25</v>
      </c>
      <c r="D501">
        <v>7</v>
      </c>
      <c r="E501">
        <v>2020</v>
      </c>
      <c r="F501" t="s">
        <v>37</v>
      </c>
      <c r="G501" t="s">
        <v>1247</v>
      </c>
      <c r="H501" t="s">
        <v>2793</v>
      </c>
      <c r="I501" t="s">
        <v>19</v>
      </c>
      <c r="J501" t="s">
        <v>2541</v>
      </c>
      <c r="K501" t="s">
        <v>31</v>
      </c>
      <c r="L501">
        <v>92627</v>
      </c>
      <c r="M501" t="s">
        <v>1353</v>
      </c>
      <c r="N501" t="s">
        <v>33</v>
      </c>
      <c r="O501" t="s">
        <v>58</v>
      </c>
      <c r="P501" t="s">
        <v>1354</v>
      </c>
      <c r="Q501">
        <f>_xlfn.XLOOKUP(Table3[[#This Row],[Product Name]],Sales!A:A,Sales!B:B)</f>
        <v>119.616</v>
      </c>
      <c r="R501">
        <f>_xlfn.XLOOKUP(Table3[[#This Row],[Product Name]],Sales!A:A,Sales!C:C)</f>
        <v>8</v>
      </c>
      <c r="S501">
        <f>_xlfn.XLOOKUP(Table3[[#This Row],[Product Name]],Sales!A:A,Sales!D:D)</f>
        <v>0.2</v>
      </c>
      <c r="T501">
        <f>_xlfn.XLOOKUP(Table3[[#This Row],[Product Name]],Sales!A:A,Sales!E:E)</f>
        <v>40.370399999999997</v>
      </c>
    </row>
    <row r="502" spans="1:20" x14ac:dyDescent="0.3">
      <c r="A502">
        <v>498</v>
      </c>
      <c r="B502" t="s">
        <v>1352</v>
      </c>
      <c r="C502">
        <v>25</v>
      </c>
      <c r="D502">
        <v>7</v>
      </c>
      <c r="E502">
        <v>2020</v>
      </c>
      <c r="F502" t="s">
        <v>37</v>
      </c>
      <c r="G502" t="s">
        <v>1247</v>
      </c>
      <c r="H502" t="s">
        <v>2793</v>
      </c>
      <c r="I502" t="s">
        <v>19</v>
      </c>
      <c r="J502" t="s">
        <v>2541</v>
      </c>
      <c r="K502" t="s">
        <v>31</v>
      </c>
      <c r="L502">
        <v>92627</v>
      </c>
      <c r="M502" t="s">
        <v>1355</v>
      </c>
      <c r="N502" t="s">
        <v>22</v>
      </c>
      <c r="O502" t="s">
        <v>48</v>
      </c>
      <c r="P502" t="s">
        <v>1356</v>
      </c>
      <c r="Q502">
        <f>_xlfn.XLOOKUP(Table3[[#This Row],[Product Name]],Sales!A:A,Sales!B:B)</f>
        <v>255.76</v>
      </c>
      <c r="R502">
        <f>_xlfn.XLOOKUP(Table3[[#This Row],[Product Name]],Sales!A:A,Sales!C:C)</f>
        <v>4</v>
      </c>
      <c r="S502">
        <f>_xlfn.XLOOKUP(Table3[[#This Row],[Product Name]],Sales!A:A,Sales!D:D)</f>
        <v>0</v>
      </c>
      <c r="T502">
        <f>_xlfn.XLOOKUP(Table3[[#This Row],[Product Name]],Sales!A:A,Sales!E:E)</f>
        <v>81.843199999999996</v>
      </c>
    </row>
    <row r="503" spans="1:20" x14ac:dyDescent="0.3">
      <c r="A503">
        <v>499</v>
      </c>
      <c r="B503" t="s">
        <v>1352</v>
      </c>
      <c r="C503">
        <v>25</v>
      </c>
      <c r="D503">
        <v>7</v>
      </c>
      <c r="E503">
        <v>2020</v>
      </c>
      <c r="F503" t="s">
        <v>37</v>
      </c>
      <c r="G503" t="s">
        <v>1247</v>
      </c>
      <c r="H503" t="s">
        <v>2793</v>
      </c>
      <c r="I503" t="s">
        <v>19</v>
      </c>
      <c r="J503" t="s">
        <v>2541</v>
      </c>
      <c r="K503" t="s">
        <v>31</v>
      </c>
      <c r="L503">
        <v>92627</v>
      </c>
      <c r="M503" t="s">
        <v>906</v>
      </c>
      <c r="N503" t="s">
        <v>22</v>
      </c>
      <c r="O503" t="s">
        <v>26</v>
      </c>
      <c r="P503" t="s">
        <v>907</v>
      </c>
      <c r="Q503">
        <f>_xlfn.XLOOKUP(Table3[[#This Row],[Product Name]],Sales!A:A,Sales!B:B)</f>
        <v>135.88200000000001</v>
      </c>
      <c r="R503">
        <f>_xlfn.XLOOKUP(Table3[[#This Row],[Product Name]],Sales!A:A,Sales!C:C)</f>
        <v>1</v>
      </c>
      <c r="S503">
        <f>_xlfn.XLOOKUP(Table3[[#This Row],[Product Name]],Sales!A:A,Sales!D:D)</f>
        <v>0.1</v>
      </c>
      <c r="T503">
        <f>_xlfn.XLOOKUP(Table3[[#This Row],[Product Name]],Sales!A:A,Sales!E:E)</f>
        <v>24.1568</v>
      </c>
    </row>
    <row r="504" spans="1:20" x14ac:dyDescent="0.3">
      <c r="A504">
        <v>500</v>
      </c>
      <c r="B504" t="s">
        <v>1352</v>
      </c>
      <c r="C504">
        <v>25</v>
      </c>
      <c r="D504">
        <v>7</v>
      </c>
      <c r="E504">
        <v>2020</v>
      </c>
      <c r="F504" t="s">
        <v>37</v>
      </c>
      <c r="G504" t="s">
        <v>1247</v>
      </c>
      <c r="H504" t="s">
        <v>2793</v>
      </c>
      <c r="I504" t="s">
        <v>19</v>
      </c>
      <c r="J504" t="s">
        <v>2541</v>
      </c>
      <c r="K504" t="s">
        <v>31</v>
      </c>
      <c r="L504">
        <v>92627</v>
      </c>
      <c r="M504" t="s">
        <v>1357</v>
      </c>
      <c r="N504" t="s">
        <v>22</v>
      </c>
      <c r="O504" t="s">
        <v>48</v>
      </c>
      <c r="P504" t="s">
        <v>1358</v>
      </c>
      <c r="Q504">
        <f>_xlfn.XLOOKUP(Table3[[#This Row],[Product Name]],Sales!A:A,Sales!B:B)</f>
        <v>69.3</v>
      </c>
      <c r="R504">
        <f>_xlfn.XLOOKUP(Table3[[#This Row],[Product Name]],Sales!A:A,Sales!C:C)</f>
        <v>9</v>
      </c>
      <c r="S504">
        <f>_xlfn.XLOOKUP(Table3[[#This Row],[Product Name]],Sales!A:A,Sales!D:D)</f>
        <v>0</v>
      </c>
      <c r="T504">
        <f>_xlfn.XLOOKUP(Table3[[#This Row],[Product Name]],Sales!A:A,Sales!E:E)</f>
        <v>22.869</v>
      </c>
    </row>
    <row r="505" spans="1:20" x14ac:dyDescent="0.3">
      <c r="A505">
        <v>500</v>
      </c>
      <c r="B505" t="s">
        <v>1352</v>
      </c>
      <c r="C505">
        <v>25</v>
      </c>
      <c r="D505">
        <v>7</v>
      </c>
      <c r="E505">
        <v>2020</v>
      </c>
      <c r="F505" t="s">
        <v>37</v>
      </c>
      <c r="G505" t="s">
        <v>1247</v>
      </c>
      <c r="H505" t="s">
        <v>2793</v>
      </c>
      <c r="I505" t="s">
        <v>19</v>
      </c>
      <c r="J505" t="s">
        <v>2541</v>
      </c>
      <c r="K505" t="s">
        <v>31</v>
      </c>
      <c r="L505">
        <v>92627</v>
      </c>
      <c r="M505" t="s">
        <v>1357</v>
      </c>
      <c r="N505" t="s">
        <v>22</v>
      </c>
      <c r="O505" t="s">
        <v>48</v>
      </c>
      <c r="P505" t="s">
        <v>1358</v>
      </c>
      <c r="Q505">
        <f>_xlfn.XLOOKUP(Table3[[#This Row],[Product Name]],Sales!A:A,Sales!B:B)</f>
        <v>69.3</v>
      </c>
      <c r="R505">
        <f>_xlfn.XLOOKUP(Table3[[#This Row],[Product Name]],Sales!A:A,Sales!C:C)</f>
        <v>9</v>
      </c>
      <c r="S505">
        <f>_xlfn.XLOOKUP(Table3[[#This Row],[Product Name]],Sales!A:A,Sales!D:D)</f>
        <v>0</v>
      </c>
      <c r="T505">
        <f>_xlfn.XLOOKUP(Table3[[#This Row],[Product Name]],Sales!A:A,Sales!E:E)</f>
        <v>22.869</v>
      </c>
    </row>
    <row r="506" spans="1:20" x14ac:dyDescent="0.3">
      <c r="A506">
        <v>501</v>
      </c>
      <c r="B506" t="s">
        <v>1359</v>
      </c>
      <c r="C506">
        <v>30</v>
      </c>
      <c r="D506">
        <v>5</v>
      </c>
      <c r="E506">
        <v>2020</v>
      </c>
      <c r="F506" t="s">
        <v>37</v>
      </c>
      <c r="G506" t="s">
        <v>1360</v>
      </c>
      <c r="H506" t="s">
        <v>2809</v>
      </c>
      <c r="I506" t="s">
        <v>30</v>
      </c>
      <c r="J506" t="s">
        <v>2542</v>
      </c>
      <c r="K506" t="s">
        <v>31</v>
      </c>
      <c r="L506">
        <v>80134</v>
      </c>
      <c r="M506" t="s">
        <v>1361</v>
      </c>
      <c r="N506" t="s">
        <v>33</v>
      </c>
      <c r="O506" t="s">
        <v>58</v>
      </c>
      <c r="P506" t="s">
        <v>1362</v>
      </c>
      <c r="Q506">
        <f>_xlfn.XLOOKUP(Table3[[#This Row],[Product Name]],Sales!A:A,Sales!B:B)</f>
        <v>22.62</v>
      </c>
      <c r="R506">
        <f>_xlfn.XLOOKUP(Table3[[#This Row],[Product Name]],Sales!A:A,Sales!C:C)</f>
        <v>2</v>
      </c>
      <c r="S506">
        <f>_xlfn.XLOOKUP(Table3[[#This Row],[Product Name]],Sales!A:A,Sales!D:D)</f>
        <v>0.7</v>
      </c>
      <c r="T506">
        <f>_xlfn.XLOOKUP(Table3[[#This Row],[Product Name]],Sales!A:A,Sales!E:E)</f>
        <v>-15.08</v>
      </c>
    </row>
    <row r="507" spans="1:20" x14ac:dyDescent="0.3">
      <c r="A507">
        <v>502</v>
      </c>
      <c r="B507" t="s">
        <v>1359</v>
      </c>
      <c r="C507">
        <v>30</v>
      </c>
      <c r="D507">
        <v>5</v>
      </c>
      <c r="E507">
        <v>2020</v>
      </c>
      <c r="F507" t="s">
        <v>37</v>
      </c>
      <c r="G507" t="s">
        <v>1360</v>
      </c>
      <c r="H507" t="s">
        <v>2809</v>
      </c>
      <c r="I507" t="s">
        <v>30</v>
      </c>
      <c r="J507" t="s">
        <v>2542</v>
      </c>
      <c r="K507" t="s">
        <v>31</v>
      </c>
      <c r="L507">
        <v>80134</v>
      </c>
      <c r="M507" t="s">
        <v>1363</v>
      </c>
      <c r="N507" t="s">
        <v>33</v>
      </c>
      <c r="O507" t="s">
        <v>58</v>
      </c>
      <c r="P507" t="s">
        <v>1364</v>
      </c>
      <c r="Q507">
        <f>_xlfn.XLOOKUP(Table3[[#This Row],[Product Name]],Sales!A:A,Sales!B:B)</f>
        <v>14.952</v>
      </c>
      <c r="R507">
        <f>_xlfn.XLOOKUP(Table3[[#This Row],[Product Name]],Sales!A:A,Sales!C:C)</f>
        <v>2</v>
      </c>
      <c r="S507">
        <f>_xlfn.XLOOKUP(Table3[[#This Row],[Product Name]],Sales!A:A,Sales!D:D)</f>
        <v>0.7</v>
      </c>
      <c r="T507">
        <f>_xlfn.XLOOKUP(Table3[[#This Row],[Product Name]],Sales!A:A,Sales!E:E)</f>
        <v>-11.961600000000001</v>
      </c>
    </row>
    <row r="508" spans="1:20" x14ac:dyDescent="0.3">
      <c r="A508">
        <v>503</v>
      </c>
      <c r="B508" t="s">
        <v>1359</v>
      </c>
      <c r="C508">
        <v>30</v>
      </c>
      <c r="D508">
        <v>5</v>
      </c>
      <c r="E508">
        <v>2020</v>
      </c>
      <c r="F508" t="s">
        <v>37</v>
      </c>
      <c r="G508" t="s">
        <v>1360</v>
      </c>
      <c r="H508" t="s">
        <v>2809</v>
      </c>
      <c r="I508" t="s">
        <v>30</v>
      </c>
      <c r="J508" t="s">
        <v>2542</v>
      </c>
      <c r="K508" t="s">
        <v>31</v>
      </c>
      <c r="L508">
        <v>80134</v>
      </c>
      <c r="M508" t="s">
        <v>1365</v>
      </c>
      <c r="N508" t="s">
        <v>22</v>
      </c>
      <c r="O508" t="s">
        <v>26</v>
      </c>
      <c r="P508" t="s">
        <v>1366</v>
      </c>
      <c r="Q508">
        <f>_xlfn.XLOOKUP(Table3[[#This Row],[Product Name]],Sales!A:A,Sales!B:B)</f>
        <v>801.56799999999998</v>
      </c>
      <c r="R508">
        <f>_xlfn.XLOOKUP(Table3[[#This Row],[Product Name]],Sales!A:A,Sales!C:C)</f>
        <v>2</v>
      </c>
      <c r="S508">
        <f>_xlfn.XLOOKUP(Table3[[#This Row],[Product Name]],Sales!A:A,Sales!D:D)</f>
        <v>0.2</v>
      </c>
      <c r="T508">
        <f>_xlfn.XLOOKUP(Table3[[#This Row],[Product Name]],Sales!A:A,Sales!E:E)</f>
        <v>50.097999999999999</v>
      </c>
    </row>
    <row r="509" spans="1:20" x14ac:dyDescent="0.3">
      <c r="A509">
        <v>504</v>
      </c>
      <c r="B509" t="s">
        <v>1359</v>
      </c>
      <c r="C509">
        <v>30</v>
      </c>
      <c r="D509">
        <v>5</v>
      </c>
      <c r="E509">
        <v>2020</v>
      </c>
      <c r="F509" t="s">
        <v>37</v>
      </c>
      <c r="G509" t="s">
        <v>1360</v>
      </c>
      <c r="H509" t="s">
        <v>2809</v>
      </c>
      <c r="I509" t="s">
        <v>30</v>
      </c>
      <c r="J509" t="s">
        <v>2542</v>
      </c>
      <c r="K509" t="s">
        <v>31</v>
      </c>
      <c r="L509">
        <v>80134</v>
      </c>
      <c r="M509" t="s">
        <v>1367</v>
      </c>
      <c r="N509" t="s">
        <v>33</v>
      </c>
      <c r="O509" t="s">
        <v>58</v>
      </c>
      <c r="P509" t="s">
        <v>1368</v>
      </c>
      <c r="Q509">
        <f>_xlfn.XLOOKUP(Table3[[#This Row],[Product Name]],Sales!A:A,Sales!B:B)</f>
        <v>2.3759999999999999</v>
      </c>
      <c r="R509">
        <f>_xlfn.XLOOKUP(Table3[[#This Row],[Product Name]],Sales!A:A,Sales!C:C)</f>
        <v>3</v>
      </c>
      <c r="S509">
        <f>_xlfn.XLOOKUP(Table3[[#This Row],[Product Name]],Sales!A:A,Sales!D:D)</f>
        <v>0.7</v>
      </c>
      <c r="T509">
        <f>_xlfn.XLOOKUP(Table3[[#This Row],[Product Name]],Sales!A:A,Sales!E:E)</f>
        <v>-1.9008</v>
      </c>
    </row>
    <row r="510" spans="1:20" x14ac:dyDescent="0.3">
      <c r="A510">
        <v>505</v>
      </c>
      <c r="B510" t="s">
        <v>1359</v>
      </c>
      <c r="C510">
        <v>30</v>
      </c>
      <c r="D510">
        <v>5</v>
      </c>
      <c r="E510">
        <v>2020</v>
      </c>
      <c r="F510" t="s">
        <v>37</v>
      </c>
      <c r="G510" t="s">
        <v>1360</v>
      </c>
      <c r="H510" t="s">
        <v>2809</v>
      </c>
      <c r="I510" t="s">
        <v>30</v>
      </c>
      <c r="J510" t="s">
        <v>2542</v>
      </c>
      <c r="K510" t="s">
        <v>31</v>
      </c>
      <c r="L510">
        <v>80134</v>
      </c>
      <c r="M510" t="s">
        <v>1369</v>
      </c>
      <c r="N510" t="s">
        <v>33</v>
      </c>
      <c r="O510" t="s">
        <v>70</v>
      </c>
      <c r="P510" t="s">
        <v>1370</v>
      </c>
      <c r="Q510">
        <f>_xlfn.XLOOKUP(Table3[[#This Row],[Product Name]],Sales!A:A,Sales!B:B)</f>
        <v>32.792000000000002</v>
      </c>
      <c r="R510">
        <f>_xlfn.XLOOKUP(Table3[[#This Row],[Product Name]],Sales!A:A,Sales!C:C)</f>
        <v>1</v>
      </c>
      <c r="S510">
        <f>_xlfn.XLOOKUP(Table3[[#This Row],[Product Name]],Sales!A:A,Sales!D:D)</f>
        <v>0.2</v>
      </c>
      <c r="T510">
        <f>_xlfn.XLOOKUP(Table3[[#This Row],[Product Name]],Sales!A:A,Sales!E:E)</f>
        <v>11.8871</v>
      </c>
    </row>
    <row r="511" spans="1:20" x14ac:dyDescent="0.3">
      <c r="A511">
        <v>506</v>
      </c>
      <c r="B511" t="s">
        <v>1371</v>
      </c>
      <c r="C511">
        <v>12</v>
      </c>
      <c r="D511">
        <v>11</v>
      </c>
      <c r="E511">
        <v>2021</v>
      </c>
      <c r="F511" t="s">
        <v>17</v>
      </c>
      <c r="G511" t="s">
        <v>1240</v>
      </c>
      <c r="H511" t="s">
        <v>2792</v>
      </c>
      <c r="I511" t="s">
        <v>30</v>
      </c>
      <c r="J511" t="s">
        <v>2434</v>
      </c>
      <c r="K511" t="s">
        <v>108</v>
      </c>
      <c r="L511">
        <v>10024</v>
      </c>
      <c r="M511" t="s">
        <v>408</v>
      </c>
      <c r="N511" t="s">
        <v>33</v>
      </c>
      <c r="O511" t="s">
        <v>58</v>
      </c>
      <c r="P511" t="s">
        <v>409</v>
      </c>
      <c r="Q511">
        <f>_xlfn.XLOOKUP(Table3[[#This Row],[Product Name]],Sales!A:A,Sales!B:B)</f>
        <v>2.3879999999999999</v>
      </c>
      <c r="R511">
        <f>_xlfn.XLOOKUP(Table3[[#This Row],[Product Name]],Sales!A:A,Sales!C:C)</f>
        <v>2</v>
      </c>
      <c r="S511">
        <f>_xlfn.XLOOKUP(Table3[[#This Row],[Product Name]],Sales!A:A,Sales!D:D)</f>
        <v>0.7</v>
      </c>
      <c r="T511">
        <f>_xlfn.XLOOKUP(Table3[[#This Row],[Product Name]],Sales!A:A,Sales!E:E)</f>
        <v>-1.8308</v>
      </c>
    </row>
    <row r="512" spans="1:20" x14ac:dyDescent="0.3">
      <c r="A512">
        <v>507</v>
      </c>
      <c r="B512" t="s">
        <v>1372</v>
      </c>
      <c r="C512">
        <v>16</v>
      </c>
      <c r="D512">
        <v>3</v>
      </c>
      <c r="E512">
        <v>2019</v>
      </c>
      <c r="F512" t="s">
        <v>37</v>
      </c>
      <c r="G512" t="s">
        <v>1373</v>
      </c>
      <c r="H512" t="s">
        <v>2810</v>
      </c>
      <c r="I512" t="s">
        <v>19</v>
      </c>
      <c r="J512" t="s">
        <v>2543</v>
      </c>
      <c r="K512" t="s">
        <v>20</v>
      </c>
      <c r="L512">
        <v>30318</v>
      </c>
      <c r="M512" t="s">
        <v>1374</v>
      </c>
      <c r="N512" t="s">
        <v>33</v>
      </c>
      <c r="O512" t="s">
        <v>51</v>
      </c>
      <c r="P512" t="s">
        <v>1375</v>
      </c>
      <c r="Q512">
        <f>_xlfn.XLOOKUP(Table3[[#This Row],[Product Name]],Sales!A:A,Sales!B:B)</f>
        <v>2.74</v>
      </c>
      <c r="R512">
        <f>_xlfn.XLOOKUP(Table3[[#This Row],[Product Name]],Sales!A:A,Sales!C:C)</f>
        <v>1</v>
      </c>
      <c r="S512">
        <f>_xlfn.XLOOKUP(Table3[[#This Row],[Product Name]],Sales!A:A,Sales!D:D)</f>
        <v>0</v>
      </c>
      <c r="T512">
        <f>_xlfn.XLOOKUP(Table3[[#This Row],[Product Name]],Sales!A:A,Sales!E:E)</f>
        <v>0.73980000000000001</v>
      </c>
    </row>
    <row r="513" spans="1:20" x14ac:dyDescent="0.3">
      <c r="A513">
        <v>508</v>
      </c>
      <c r="B513" t="s">
        <v>1372</v>
      </c>
      <c r="C513">
        <v>16</v>
      </c>
      <c r="D513">
        <v>3</v>
      </c>
      <c r="E513">
        <v>2019</v>
      </c>
      <c r="F513" t="s">
        <v>37</v>
      </c>
      <c r="G513" t="s">
        <v>1373</v>
      </c>
      <c r="H513" t="s">
        <v>2810</v>
      </c>
      <c r="I513" t="s">
        <v>19</v>
      </c>
      <c r="J513" t="s">
        <v>2543</v>
      </c>
      <c r="K513" t="s">
        <v>20</v>
      </c>
      <c r="L513">
        <v>30318</v>
      </c>
      <c r="M513" t="s">
        <v>1376</v>
      </c>
      <c r="N513" t="s">
        <v>33</v>
      </c>
      <c r="O513" t="s">
        <v>51</v>
      </c>
      <c r="P513" t="s">
        <v>1377</v>
      </c>
      <c r="Q513">
        <f>_xlfn.XLOOKUP(Table3[[#This Row],[Product Name]],Sales!A:A,Sales!B:B)</f>
        <v>8.34</v>
      </c>
      <c r="R513">
        <f>_xlfn.XLOOKUP(Table3[[#This Row],[Product Name]],Sales!A:A,Sales!C:C)</f>
        <v>3</v>
      </c>
      <c r="S513">
        <f>_xlfn.XLOOKUP(Table3[[#This Row],[Product Name]],Sales!A:A,Sales!D:D)</f>
        <v>0</v>
      </c>
      <c r="T513">
        <f>_xlfn.XLOOKUP(Table3[[#This Row],[Product Name]],Sales!A:A,Sales!E:E)</f>
        <v>2.1684000000000001</v>
      </c>
    </row>
    <row r="514" spans="1:20" x14ac:dyDescent="0.3">
      <c r="A514">
        <v>509</v>
      </c>
      <c r="B514" t="s">
        <v>1372</v>
      </c>
      <c r="C514">
        <v>16</v>
      </c>
      <c r="D514">
        <v>3</v>
      </c>
      <c r="E514">
        <v>2019</v>
      </c>
      <c r="F514" t="s">
        <v>37</v>
      </c>
      <c r="G514" t="s">
        <v>1373</v>
      </c>
      <c r="H514" t="s">
        <v>2810</v>
      </c>
      <c r="I514" t="s">
        <v>19</v>
      </c>
      <c r="J514" t="s">
        <v>2543</v>
      </c>
      <c r="K514" t="s">
        <v>20</v>
      </c>
      <c r="L514">
        <v>30318</v>
      </c>
      <c r="M514" t="s">
        <v>732</v>
      </c>
      <c r="N514" t="s">
        <v>33</v>
      </c>
      <c r="O514" t="s">
        <v>43</v>
      </c>
      <c r="P514" t="s">
        <v>1378</v>
      </c>
      <c r="Q514">
        <f>_xlfn.XLOOKUP(Table3[[#This Row],[Product Name]],Sales!A:A,Sales!B:B)</f>
        <v>46.74</v>
      </c>
      <c r="R514">
        <f>_xlfn.XLOOKUP(Table3[[#This Row],[Product Name]],Sales!A:A,Sales!C:C)</f>
        <v>3</v>
      </c>
      <c r="S514">
        <f>_xlfn.XLOOKUP(Table3[[#This Row],[Product Name]],Sales!A:A,Sales!D:D)</f>
        <v>0</v>
      </c>
      <c r="T514">
        <f>_xlfn.XLOOKUP(Table3[[#This Row],[Product Name]],Sales!A:A,Sales!E:E)</f>
        <v>11.685</v>
      </c>
    </row>
    <row r="515" spans="1:20" x14ac:dyDescent="0.3">
      <c r="A515">
        <v>510</v>
      </c>
      <c r="B515" t="s">
        <v>1372</v>
      </c>
      <c r="C515">
        <v>16</v>
      </c>
      <c r="D515">
        <v>3</v>
      </c>
      <c r="E515">
        <v>2019</v>
      </c>
      <c r="F515" t="s">
        <v>37</v>
      </c>
      <c r="G515" t="s">
        <v>1373</v>
      </c>
      <c r="H515" t="s">
        <v>2810</v>
      </c>
      <c r="I515" t="s">
        <v>19</v>
      </c>
      <c r="J515" t="s">
        <v>2543</v>
      </c>
      <c r="K515" t="s">
        <v>20</v>
      </c>
      <c r="L515">
        <v>30318</v>
      </c>
      <c r="M515" t="s">
        <v>1379</v>
      </c>
      <c r="N515" t="s">
        <v>33</v>
      </c>
      <c r="O515" t="s">
        <v>58</v>
      </c>
      <c r="P515" t="s">
        <v>1380</v>
      </c>
      <c r="Q515">
        <f>_xlfn.XLOOKUP(Table3[[#This Row],[Product Name]],Sales!A:A,Sales!B:B)</f>
        <v>6354.95</v>
      </c>
      <c r="R515">
        <f>_xlfn.XLOOKUP(Table3[[#This Row],[Product Name]],Sales!A:A,Sales!C:C)</f>
        <v>5</v>
      </c>
      <c r="S515">
        <f>_xlfn.XLOOKUP(Table3[[#This Row],[Product Name]],Sales!A:A,Sales!D:D)</f>
        <v>0</v>
      </c>
      <c r="T515">
        <f>_xlfn.XLOOKUP(Table3[[#This Row],[Product Name]],Sales!A:A,Sales!E:E)</f>
        <v>3177.4749999999999</v>
      </c>
    </row>
    <row r="516" spans="1:20" x14ac:dyDescent="0.3">
      <c r="A516">
        <v>511</v>
      </c>
      <c r="B516" t="s">
        <v>1381</v>
      </c>
      <c r="C516">
        <v>26</v>
      </c>
      <c r="D516">
        <v>11</v>
      </c>
      <c r="E516">
        <v>2021</v>
      </c>
      <c r="F516" t="s">
        <v>142</v>
      </c>
      <c r="G516" t="s">
        <v>1382</v>
      </c>
      <c r="H516" t="s">
        <v>2811</v>
      </c>
      <c r="I516" t="s">
        <v>19</v>
      </c>
      <c r="J516" t="s">
        <v>2544</v>
      </c>
      <c r="K516" t="s">
        <v>79</v>
      </c>
      <c r="L516">
        <v>64118</v>
      </c>
      <c r="M516" t="s">
        <v>1383</v>
      </c>
      <c r="N516" t="s">
        <v>22</v>
      </c>
      <c r="O516" t="s">
        <v>48</v>
      </c>
      <c r="P516" t="s">
        <v>1384</v>
      </c>
      <c r="Q516">
        <f>_xlfn.XLOOKUP(Table3[[#This Row],[Product Name]],Sales!A:A,Sales!B:B)</f>
        <v>126.3</v>
      </c>
      <c r="R516">
        <f>_xlfn.XLOOKUP(Table3[[#This Row],[Product Name]],Sales!A:A,Sales!C:C)</f>
        <v>3</v>
      </c>
      <c r="S516">
        <f>_xlfn.XLOOKUP(Table3[[#This Row],[Product Name]],Sales!A:A,Sales!D:D)</f>
        <v>0</v>
      </c>
      <c r="T516">
        <f>_xlfn.XLOOKUP(Table3[[#This Row],[Product Name]],Sales!A:A,Sales!E:E)</f>
        <v>40.415999999999997</v>
      </c>
    </row>
    <row r="517" spans="1:20" x14ac:dyDescent="0.3">
      <c r="A517">
        <v>512</v>
      </c>
      <c r="B517" t="s">
        <v>1381</v>
      </c>
      <c r="C517">
        <v>26</v>
      </c>
      <c r="D517">
        <v>11</v>
      </c>
      <c r="E517">
        <v>2021</v>
      </c>
      <c r="F517" t="s">
        <v>142</v>
      </c>
      <c r="G517" t="s">
        <v>1382</v>
      </c>
      <c r="H517" t="s">
        <v>2811</v>
      </c>
      <c r="I517" t="s">
        <v>19</v>
      </c>
      <c r="J517" t="s">
        <v>2544</v>
      </c>
      <c r="K517" t="s">
        <v>79</v>
      </c>
      <c r="L517">
        <v>64118</v>
      </c>
      <c r="M517" t="s">
        <v>1385</v>
      </c>
      <c r="N517" t="s">
        <v>54</v>
      </c>
      <c r="O517" t="s">
        <v>118</v>
      </c>
      <c r="P517" t="s">
        <v>1386</v>
      </c>
      <c r="Q517">
        <f>_xlfn.XLOOKUP(Table3[[#This Row],[Product Name]],Sales!A:A,Sales!B:B)</f>
        <v>38.04</v>
      </c>
      <c r="R517">
        <f>_xlfn.XLOOKUP(Table3[[#This Row],[Product Name]],Sales!A:A,Sales!C:C)</f>
        <v>2</v>
      </c>
      <c r="S517">
        <f>_xlfn.XLOOKUP(Table3[[#This Row],[Product Name]],Sales!A:A,Sales!D:D)</f>
        <v>0</v>
      </c>
      <c r="T517">
        <f>_xlfn.XLOOKUP(Table3[[#This Row],[Product Name]],Sales!A:A,Sales!E:E)</f>
        <v>12.172800000000001</v>
      </c>
    </row>
    <row r="518" spans="1:20" x14ac:dyDescent="0.3">
      <c r="A518">
        <v>513</v>
      </c>
      <c r="B518" t="s">
        <v>1387</v>
      </c>
      <c r="C518">
        <v>20</v>
      </c>
      <c r="D518">
        <v>10</v>
      </c>
      <c r="E518">
        <v>2020</v>
      </c>
      <c r="F518" t="s">
        <v>142</v>
      </c>
      <c r="G518" t="s">
        <v>1110</v>
      </c>
      <c r="H518" t="s">
        <v>2776</v>
      </c>
      <c r="I518" t="s">
        <v>19</v>
      </c>
      <c r="J518" t="s">
        <v>2460</v>
      </c>
      <c r="K518" t="s">
        <v>108</v>
      </c>
      <c r="L518">
        <v>43055</v>
      </c>
      <c r="M518" t="s">
        <v>274</v>
      </c>
      <c r="N518" t="s">
        <v>33</v>
      </c>
      <c r="O518" t="s">
        <v>51</v>
      </c>
      <c r="P518" t="s">
        <v>275</v>
      </c>
      <c r="Q518">
        <f>_xlfn.XLOOKUP(Table3[[#This Row],[Product Name]],Sales!A:A,Sales!B:B)</f>
        <v>14.9</v>
      </c>
      <c r="R518">
        <f>_xlfn.XLOOKUP(Table3[[#This Row],[Product Name]],Sales!A:A,Sales!C:C)</f>
        <v>5</v>
      </c>
      <c r="S518">
        <f>_xlfn.XLOOKUP(Table3[[#This Row],[Product Name]],Sales!A:A,Sales!D:D)</f>
        <v>0</v>
      </c>
      <c r="T518">
        <f>_xlfn.XLOOKUP(Table3[[#This Row],[Product Name]],Sales!A:A,Sales!E:E)</f>
        <v>4.1719999999999997</v>
      </c>
    </row>
    <row r="519" spans="1:20" x14ac:dyDescent="0.3">
      <c r="A519">
        <v>514</v>
      </c>
      <c r="B519" t="s">
        <v>1388</v>
      </c>
      <c r="C519">
        <v>21</v>
      </c>
      <c r="D519">
        <v>12</v>
      </c>
      <c r="E519">
        <v>2021</v>
      </c>
      <c r="F519" t="s">
        <v>37</v>
      </c>
      <c r="G519" t="s">
        <v>1389</v>
      </c>
      <c r="H519" t="s">
        <v>2812</v>
      </c>
      <c r="I519" t="s">
        <v>19</v>
      </c>
      <c r="J519" t="s">
        <v>2415</v>
      </c>
      <c r="K519" t="s">
        <v>31</v>
      </c>
      <c r="L519">
        <v>90049</v>
      </c>
      <c r="M519" t="s">
        <v>1390</v>
      </c>
      <c r="N519" t="s">
        <v>33</v>
      </c>
      <c r="O519" t="s">
        <v>51</v>
      </c>
      <c r="P519" t="s">
        <v>1391</v>
      </c>
      <c r="Q519">
        <f>_xlfn.XLOOKUP(Table3[[#This Row],[Product Name]],Sales!A:A,Sales!B:B)</f>
        <v>6.63</v>
      </c>
      <c r="R519">
        <f>_xlfn.XLOOKUP(Table3[[#This Row],[Product Name]],Sales!A:A,Sales!C:C)</f>
        <v>3</v>
      </c>
      <c r="S519">
        <f>_xlfn.XLOOKUP(Table3[[#This Row],[Product Name]],Sales!A:A,Sales!D:D)</f>
        <v>0</v>
      </c>
      <c r="T519">
        <f>_xlfn.XLOOKUP(Table3[[#This Row],[Product Name]],Sales!A:A,Sales!E:E)</f>
        <v>1.7901</v>
      </c>
    </row>
    <row r="520" spans="1:20" x14ac:dyDescent="0.3">
      <c r="A520">
        <v>515</v>
      </c>
      <c r="B520" t="s">
        <v>1388</v>
      </c>
      <c r="C520">
        <v>21</v>
      </c>
      <c r="D520">
        <v>12</v>
      </c>
      <c r="E520">
        <v>2021</v>
      </c>
      <c r="F520" t="s">
        <v>37</v>
      </c>
      <c r="G520" t="s">
        <v>1389</v>
      </c>
      <c r="H520" t="s">
        <v>2812</v>
      </c>
      <c r="I520" t="s">
        <v>19</v>
      </c>
      <c r="J520" t="s">
        <v>2415</v>
      </c>
      <c r="K520" t="s">
        <v>31</v>
      </c>
      <c r="L520">
        <v>90049</v>
      </c>
      <c r="M520" t="s">
        <v>1392</v>
      </c>
      <c r="N520" t="s">
        <v>33</v>
      </c>
      <c r="O520" t="s">
        <v>51</v>
      </c>
      <c r="P520" t="s">
        <v>1393</v>
      </c>
      <c r="Q520">
        <f>_xlfn.XLOOKUP(Table3[[#This Row],[Product Name]],Sales!A:A,Sales!B:B)</f>
        <v>5.88</v>
      </c>
      <c r="R520">
        <f>_xlfn.XLOOKUP(Table3[[#This Row],[Product Name]],Sales!A:A,Sales!C:C)</f>
        <v>2</v>
      </c>
      <c r="S520">
        <f>_xlfn.XLOOKUP(Table3[[#This Row],[Product Name]],Sales!A:A,Sales!D:D)</f>
        <v>0</v>
      </c>
      <c r="T520">
        <f>_xlfn.XLOOKUP(Table3[[#This Row],[Product Name]],Sales!A:A,Sales!E:E)</f>
        <v>1.7052</v>
      </c>
    </row>
    <row r="521" spans="1:20" x14ac:dyDescent="0.3">
      <c r="A521">
        <v>516</v>
      </c>
      <c r="B521" t="s">
        <v>1394</v>
      </c>
      <c r="C521">
        <v>22</v>
      </c>
      <c r="D521">
        <v>1</v>
      </c>
      <c r="E521">
        <v>2021</v>
      </c>
      <c r="F521" t="s">
        <v>37</v>
      </c>
      <c r="G521" t="s">
        <v>399</v>
      </c>
      <c r="H521" t="s">
        <v>2667</v>
      </c>
      <c r="I521" t="s">
        <v>78</v>
      </c>
      <c r="J521" t="s">
        <v>2545</v>
      </c>
      <c r="K521" t="s">
        <v>31</v>
      </c>
      <c r="L521">
        <v>59405</v>
      </c>
      <c r="M521" t="s">
        <v>1395</v>
      </c>
      <c r="N521" t="s">
        <v>54</v>
      </c>
      <c r="O521" t="s">
        <v>949</v>
      </c>
      <c r="P521" t="s">
        <v>1396</v>
      </c>
      <c r="Q521">
        <f>_xlfn.XLOOKUP(Table3[[#This Row],[Product Name]],Sales!A:A,Sales!B:B)</f>
        <v>2999.95</v>
      </c>
      <c r="R521">
        <f>_xlfn.XLOOKUP(Table3[[#This Row],[Product Name]],Sales!A:A,Sales!C:C)</f>
        <v>5</v>
      </c>
      <c r="S521">
        <f>_xlfn.XLOOKUP(Table3[[#This Row],[Product Name]],Sales!A:A,Sales!D:D)</f>
        <v>0</v>
      </c>
      <c r="T521">
        <f>_xlfn.XLOOKUP(Table3[[#This Row],[Product Name]],Sales!A:A,Sales!E:E)</f>
        <v>1379.9770000000001</v>
      </c>
    </row>
    <row r="522" spans="1:20" x14ac:dyDescent="0.3">
      <c r="A522">
        <v>517</v>
      </c>
      <c r="B522" t="s">
        <v>1394</v>
      </c>
      <c r="C522">
        <v>22</v>
      </c>
      <c r="D522">
        <v>1</v>
      </c>
      <c r="E522">
        <v>2021</v>
      </c>
      <c r="F522" t="s">
        <v>37</v>
      </c>
      <c r="G522" t="s">
        <v>399</v>
      </c>
      <c r="H522" t="s">
        <v>2667</v>
      </c>
      <c r="I522" t="s">
        <v>78</v>
      </c>
      <c r="J522" t="s">
        <v>2545</v>
      </c>
      <c r="K522" t="s">
        <v>31</v>
      </c>
      <c r="L522">
        <v>59405</v>
      </c>
      <c r="M522" t="s">
        <v>1397</v>
      </c>
      <c r="N522" t="s">
        <v>33</v>
      </c>
      <c r="O522" t="s">
        <v>43</v>
      </c>
      <c r="P522" t="s">
        <v>1398</v>
      </c>
      <c r="Q522">
        <f>_xlfn.XLOOKUP(Table3[[#This Row],[Product Name]],Sales!A:A,Sales!B:B)</f>
        <v>51.45</v>
      </c>
      <c r="R522">
        <f>_xlfn.XLOOKUP(Table3[[#This Row],[Product Name]],Sales!A:A,Sales!C:C)</f>
        <v>3</v>
      </c>
      <c r="S522">
        <f>_xlfn.XLOOKUP(Table3[[#This Row],[Product Name]],Sales!A:A,Sales!D:D)</f>
        <v>0</v>
      </c>
      <c r="T522">
        <f>_xlfn.XLOOKUP(Table3[[#This Row],[Product Name]],Sales!A:A,Sales!E:E)</f>
        <v>13.891500000000001</v>
      </c>
    </row>
    <row r="523" spans="1:20" x14ac:dyDescent="0.3">
      <c r="A523">
        <v>518</v>
      </c>
      <c r="B523" t="s">
        <v>1394</v>
      </c>
      <c r="C523">
        <v>22</v>
      </c>
      <c r="D523">
        <v>1</v>
      </c>
      <c r="E523">
        <v>2021</v>
      </c>
      <c r="F523" t="s">
        <v>37</v>
      </c>
      <c r="G523" t="s">
        <v>399</v>
      </c>
      <c r="H523" t="s">
        <v>2667</v>
      </c>
      <c r="I523" t="s">
        <v>78</v>
      </c>
      <c r="J523" t="s">
        <v>2545</v>
      </c>
      <c r="K523" t="s">
        <v>31</v>
      </c>
      <c r="L523">
        <v>59405</v>
      </c>
      <c r="M523" t="s">
        <v>1399</v>
      </c>
      <c r="N523" t="s">
        <v>33</v>
      </c>
      <c r="O523" t="s">
        <v>70</v>
      </c>
      <c r="P523" t="s">
        <v>1400</v>
      </c>
      <c r="Q523">
        <f>_xlfn.XLOOKUP(Table3[[#This Row],[Product Name]],Sales!A:A,Sales!B:B)</f>
        <v>11.96</v>
      </c>
      <c r="R523">
        <f>_xlfn.XLOOKUP(Table3[[#This Row],[Product Name]],Sales!A:A,Sales!C:C)</f>
        <v>2</v>
      </c>
      <c r="S523">
        <f>_xlfn.XLOOKUP(Table3[[#This Row],[Product Name]],Sales!A:A,Sales!D:D)</f>
        <v>0</v>
      </c>
      <c r="T523">
        <f>_xlfn.XLOOKUP(Table3[[#This Row],[Product Name]],Sales!A:A,Sales!E:E)</f>
        <v>5.3819999999999997</v>
      </c>
    </row>
    <row r="524" spans="1:20" x14ac:dyDescent="0.3">
      <c r="A524">
        <v>519</v>
      </c>
      <c r="B524" t="s">
        <v>1394</v>
      </c>
      <c r="C524">
        <v>22</v>
      </c>
      <c r="D524">
        <v>1</v>
      </c>
      <c r="E524">
        <v>2021</v>
      </c>
      <c r="F524" t="s">
        <v>37</v>
      </c>
      <c r="G524" t="s">
        <v>399</v>
      </c>
      <c r="H524" t="s">
        <v>2667</v>
      </c>
      <c r="I524" t="s">
        <v>78</v>
      </c>
      <c r="J524" t="s">
        <v>2545</v>
      </c>
      <c r="K524" t="s">
        <v>31</v>
      </c>
      <c r="L524">
        <v>59405</v>
      </c>
      <c r="M524" t="s">
        <v>1401</v>
      </c>
      <c r="N524" t="s">
        <v>33</v>
      </c>
      <c r="O524" t="s">
        <v>43</v>
      </c>
      <c r="P524" t="s">
        <v>1402</v>
      </c>
      <c r="Q524">
        <f>_xlfn.XLOOKUP(Table3[[#This Row],[Product Name]],Sales!A:A,Sales!B:B)</f>
        <v>1126.02</v>
      </c>
      <c r="R524">
        <f>_xlfn.XLOOKUP(Table3[[#This Row],[Product Name]],Sales!A:A,Sales!C:C)</f>
        <v>3</v>
      </c>
      <c r="S524">
        <f>_xlfn.XLOOKUP(Table3[[#This Row],[Product Name]],Sales!A:A,Sales!D:D)</f>
        <v>0</v>
      </c>
      <c r="T524">
        <f>_xlfn.XLOOKUP(Table3[[#This Row],[Product Name]],Sales!A:A,Sales!E:E)</f>
        <v>56.301000000000002</v>
      </c>
    </row>
    <row r="525" spans="1:20" x14ac:dyDescent="0.3">
      <c r="A525">
        <v>520</v>
      </c>
      <c r="B525" t="s">
        <v>1403</v>
      </c>
      <c r="C525">
        <v>22</v>
      </c>
      <c r="D525">
        <v>3</v>
      </c>
      <c r="E525">
        <v>2019</v>
      </c>
      <c r="F525" t="s">
        <v>37</v>
      </c>
      <c r="G525" t="s">
        <v>1404</v>
      </c>
      <c r="H525" t="s">
        <v>2813</v>
      </c>
      <c r="I525" t="s">
        <v>19</v>
      </c>
      <c r="J525" t="s">
        <v>2426</v>
      </c>
      <c r="K525" t="s">
        <v>79</v>
      </c>
      <c r="L525">
        <v>77041</v>
      </c>
      <c r="M525" t="s">
        <v>172</v>
      </c>
      <c r="N525" t="s">
        <v>54</v>
      </c>
      <c r="O525" t="s">
        <v>118</v>
      </c>
      <c r="P525" t="s">
        <v>173</v>
      </c>
      <c r="Q525">
        <f>_xlfn.XLOOKUP(Table3[[#This Row],[Product Name]],Sales!A:A,Sales!B:B)</f>
        <v>45.98</v>
      </c>
      <c r="R525">
        <f>_xlfn.XLOOKUP(Table3[[#This Row],[Product Name]],Sales!A:A,Sales!C:C)</f>
        <v>2</v>
      </c>
      <c r="S525">
        <f>_xlfn.XLOOKUP(Table3[[#This Row],[Product Name]],Sales!A:A,Sales!D:D)</f>
        <v>0</v>
      </c>
      <c r="T525">
        <f>_xlfn.XLOOKUP(Table3[[#This Row],[Product Name]],Sales!A:A,Sales!E:E)</f>
        <v>19.7714</v>
      </c>
    </row>
    <row r="526" spans="1:20" x14ac:dyDescent="0.3">
      <c r="A526">
        <v>521</v>
      </c>
      <c r="B526" t="s">
        <v>1403</v>
      </c>
      <c r="C526">
        <v>22</v>
      </c>
      <c r="D526">
        <v>3</v>
      </c>
      <c r="E526">
        <v>2019</v>
      </c>
      <c r="F526" t="s">
        <v>37</v>
      </c>
      <c r="G526" t="s">
        <v>1404</v>
      </c>
      <c r="H526" t="s">
        <v>2813</v>
      </c>
      <c r="I526" t="s">
        <v>19</v>
      </c>
      <c r="J526" t="s">
        <v>2426</v>
      </c>
      <c r="K526" t="s">
        <v>79</v>
      </c>
      <c r="L526">
        <v>77041</v>
      </c>
      <c r="M526" t="s">
        <v>1405</v>
      </c>
      <c r="N526" t="s">
        <v>33</v>
      </c>
      <c r="O526" t="s">
        <v>43</v>
      </c>
      <c r="P526" t="s">
        <v>1406</v>
      </c>
      <c r="Q526">
        <f>_xlfn.XLOOKUP(Table3[[#This Row],[Product Name]],Sales!A:A,Sales!B:B)</f>
        <v>129.56800000000001</v>
      </c>
      <c r="R526">
        <f>_xlfn.XLOOKUP(Table3[[#This Row],[Product Name]],Sales!A:A,Sales!C:C)</f>
        <v>2</v>
      </c>
      <c r="S526">
        <f>_xlfn.XLOOKUP(Table3[[#This Row],[Product Name]],Sales!A:A,Sales!D:D)</f>
        <v>0.2</v>
      </c>
      <c r="T526">
        <f>_xlfn.XLOOKUP(Table3[[#This Row],[Product Name]],Sales!A:A,Sales!E:E)</f>
        <v>-25.913599999999999</v>
      </c>
    </row>
    <row r="527" spans="1:20" x14ac:dyDescent="0.3">
      <c r="A527">
        <v>522</v>
      </c>
      <c r="B527" t="s">
        <v>1403</v>
      </c>
      <c r="C527">
        <v>22</v>
      </c>
      <c r="D527">
        <v>3</v>
      </c>
      <c r="E527">
        <v>2019</v>
      </c>
      <c r="F527" t="s">
        <v>37</v>
      </c>
      <c r="G527" t="s">
        <v>1404</v>
      </c>
      <c r="H527" t="s">
        <v>2813</v>
      </c>
      <c r="I527" t="s">
        <v>19</v>
      </c>
      <c r="J527" t="s">
        <v>2426</v>
      </c>
      <c r="K527" t="s">
        <v>79</v>
      </c>
      <c r="L527">
        <v>77041</v>
      </c>
      <c r="M527" t="s">
        <v>1407</v>
      </c>
      <c r="N527" t="s">
        <v>33</v>
      </c>
      <c r="O527" t="s">
        <v>58</v>
      </c>
      <c r="P527" t="s">
        <v>1408</v>
      </c>
      <c r="Q527">
        <f>_xlfn.XLOOKUP(Table3[[#This Row],[Product Name]],Sales!A:A,Sales!B:B)</f>
        <v>14.112</v>
      </c>
      <c r="R527">
        <f>_xlfn.XLOOKUP(Table3[[#This Row],[Product Name]],Sales!A:A,Sales!C:C)</f>
        <v>9</v>
      </c>
      <c r="S527">
        <f>_xlfn.XLOOKUP(Table3[[#This Row],[Product Name]],Sales!A:A,Sales!D:D)</f>
        <v>0.8</v>
      </c>
      <c r="T527">
        <f>_xlfn.XLOOKUP(Table3[[#This Row],[Product Name]],Sales!A:A,Sales!E:E)</f>
        <v>-21.167999999999999</v>
      </c>
    </row>
    <row r="528" spans="1:20" x14ac:dyDescent="0.3">
      <c r="A528">
        <v>523</v>
      </c>
      <c r="B528" t="s">
        <v>1409</v>
      </c>
      <c r="C528">
        <v>23</v>
      </c>
      <c r="D528">
        <v>1</v>
      </c>
      <c r="E528">
        <v>2021</v>
      </c>
      <c r="F528" t="s">
        <v>142</v>
      </c>
      <c r="G528" t="s">
        <v>1410</v>
      </c>
      <c r="H528" t="s">
        <v>2814</v>
      </c>
      <c r="I528" t="s">
        <v>30</v>
      </c>
      <c r="J528" t="s">
        <v>2482</v>
      </c>
      <c r="K528" t="s">
        <v>79</v>
      </c>
      <c r="L528">
        <v>48234</v>
      </c>
      <c r="M528" t="s">
        <v>1346</v>
      </c>
      <c r="N528" t="s">
        <v>22</v>
      </c>
      <c r="O528" t="s">
        <v>40</v>
      </c>
      <c r="P528" t="s">
        <v>1347</v>
      </c>
      <c r="Q528">
        <f>_xlfn.XLOOKUP(Table3[[#This Row],[Product Name]],Sales!A:A,Sales!B:B)</f>
        <v>189.88200000000001</v>
      </c>
      <c r="R528">
        <f>_xlfn.XLOOKUP(Table3[[#This Row],[Product Name]],Sales!A:A,Sales!C:C)</f>
        <v>3</v>
      </c>
      <c r="S528">
        <f>_xlfn.XLOOKUP(Table3[[#This Row],[Product Name]],Sales!A:A,Sales!D:D)</f>
        <v>0.4</v>
      </c>
      <c r="T528">
        <f>_xlfn.XLOOKUP(Table3[[#This Row],[Product Name]],Sales!A:A,Sales!E:E)</f>
        <v>-94.941000000000003</v>
      </c>
    </row>
    <row r="529" spans="1:20" x14ac:dyDescent="0.3">
      <c r="A529">
        <v>524</v>
      </c>
      <c r="B529" t="s">
        <v>1411</v>
      </c>
      <c r="C529">
        <v>21</v>
      </c>
      <c r="D529">
        <v>5</v>
      </c>
      <c r="E529">
        <v>2020</v>
      </c>
      <c r="F529" t="s">
        <v>142</v>
      </c>
      <c r="G529" t="s">
        <v>723</v>
      </c>
      <c r="H529" t="s">
        <v>2719</v>
      </c>
      <c r="I529" t="s">
        <v>19</v>
      </c>
      <c r="J529" t="s">
        <v>2415</v>
      </c>
      <c r="K529" t="s">
        <v>31</v>
      </c>
      <c r="L529">
        <v>90032</v>
      </c>
      <c r="M529" t="s">
        <v>1412</v>
      </c>
      <c r="N529" t="s">
        <v>54</v>
      </c>
      <c r="O529" t="s">
        <v>55</v>
      </c>
      <c r="P529" t="s">
        <v>1413</v>
      </c>
      <c r="Q529">
        <f>_xlfn.XLOOKUP(Table3[[#This Row],[Product Name]],Sales!A:A,Sales!B:B)</f>
        <v>55.176000000000002</v>
      </c>
      <c r="R529">
        <f>_xlfn.XLOOKUP(Table3[[#This Row],[Product Name]],Sales!A:A,Sales!C:C)</f>
        <v>3</v>
      </c>
      <c r="S529">
        <f>_xlfn.XLOOKUP(Table3[[#This Row],[Product Name]],Sales!A:A,Sales!D:D)</f>
        <v>0.2</v>
      </c>
      <c r="T529">
        <f>_xlfn.XLOOKUP(Table3[[#This Row],[Product Name]],Sales!A:A,Sales!E:E)</f>
        <v>-12.4146</v>
      </c>
    </row>
    <row r="530" spans="1:20" x14ac:dyDescent="0.3">
      <c r="A530">
        <v>525</v>
      </c>
      <c r="B530" t="s">
        <v>1411</v>
      </c>
      <c r="C530">
        <v>21</v>
      </c>
      <c r="D530">
        <v>5</v>
      </c>
      <c r="E530">
        <v>2020</v>
      </c>
      <c r="F530" t="s">
        <v>142</v>
      </c>
      <c r="G530" t="s">
        <v>723</v>
      </c>
      <c r="H530" t="s">
        <v>2719</v>
      </c>
      <c r="I530" t="s">
        <v>19</v>
      </c>
      <c r="J530" t="s">
        <v>2415</v>
      </c>
      <c r="K530" t="s">
        <v>31</v>
      </c>
      <c r="L530">
        <v>90032</v>
      </c>
      <c r="M530" t="s">
        <v>694</v>
      </c>
      <c r="N530" t="s">
        <v>54</v>
      </c>
      <c r="O530" t="s">
        <v>118</v>
      </c>
      <c r="P530" t="s">
        <v>1414</v>
      </c>
      <c r="Q530">
        <f>_xlfn.XLOOKUP(Table3[[#This Row],[Product Name]],Sales!A:A,Sales!B:B)</f>
        <v>66.260000000000005</v>
      </c>
      <c r="R530">
        <f>_xlfn.XLOOKUP(Table3[[#This Row],[Product Name]],Sales!A:A,Sales!C:C)</f>
        <v>2</v>
      </c>
      <c r="S530">
        <f>_xlfn.XLOOKUP(Table3[[#This Row],[Product Name]],Sales!A:A,Sales!D:D)</f>
        <v>0</v>
      </c>
      <c r="T530">
        <f>_xlfn.XLOOKUP(Table3[[#This Row],[Product Name]],Sales!A:A,Sales!E:E)</f>
        <v>27.166599999999999</v>
      </c>
    </row>
    <row r="531" spans="1:20" x14ac:dyDescent="0.3">
      <c r="A531">
        <v>526</v>
      </c>
      <c r="B531" t="s">
        <v>1415</v>
      </c>
      <c r="C531">
        <v>26</v>
      </c>
      <c r="D531">
        <v>12</v>
      </c>
      <c r="E531">
        <v>2019</v>
      </c>
      <c r="F531" t="s">
        <v>37</v>
      </c>
      <c r="G531" t="s">
        <v>1416</v>
      </c>
      <c r="H531" t="s">
        <v>2815</v>
      </c>
      <c r="I531" t="s">
        <v>19</v>
      </c>
      <c r="J531" t="s">
        <v>2525</v>
      </c>
      <c r="K531" t="s">
        <v>108</v>
      </c>
      <c r="L531">
        <v>1841</v>
      </c>
      <c r="M531" t="s">
        <v>1417</v>
      </c>
      <c r="N531" t="s">
        <v>33</v>
      </c>
      <c r="O531" t="s">
        <v>199</v>
      </c>
      <c r="P531" t="s">
        <v>424</v>
      </c>
      <c r="Q531">
        <f>_xlfn.XLOOKUP(Table3[[#This Row],[Product Name]],Sales!A:A,Sales!B:B)</f>
        <v>21.456</v>
      </c>
      <c r="R531">
        <f>_xlfn.XLOOKUP(Table3[[#This Row],[Product Name]],Sales!A:A,Sales!C:C)</f>
        <v>9</v>
      </c>
      <c r="S531">
        <f>_xlfn.XLOOKUP(Table3[[#This Row],[Product Name]],Sales!A:A,Sales!D:D)</f>
        <v>0.2</v>
      </c>
      <c r="T531">
        <f>_xlfn.XLOOKUP(Table3[[#This Row],[Product Name]],Sales!A:A,Sales!E:E)</f>
        <v>6.9732000000000003</v>
      </c>
    </row>
    <row r="532" spans="1:20" x14ac:dyDescent="0.3">
      <c r="A532">
        <v>527</v>
      </c>
      <c r="B532" t="s">
        <v>1418</v>
      </c>
      <c r="C532">
        <v>21</v>
      </c>
      <c r="D532">
        <v>10</v>
      </c>
      <c r="E532">
        <v>2021</v>
      </c>
      <c r="F532" t="s">
        <v>37</v>
      </c>
      <c r="G532" t="s">
        <v>1419</v>
      </c>
      <c r="H532" t="s">
        <v>2816</v>
      </c>
      <c r="I532" t="s">
        <v>78</v>
      </c>
      <c r="J532" t="s">
        <v>2546</v>
      </c>
      <c r="K532" t="s">
        <v>20</v>
      </c>
      <c r="L532">
        <v>33801</v>
      </c>
      <c r="M532" t="s">
        <v>1420</v>
      </c>
      <c r="N532" t="s">
        <v>22</v>
      </c>
      <c r="O532" t="s">
        <v>26</v>
      </c>
      <c r="P532" t="s">
        <v>1421</v>
      </c>
      <c r="Q532">
        <f>_xlfn.XLOOKUP(Table3[[#This Row],[Product Name]],Sales!A:A,Sales!B:B)</f>
        <v>683.952</v>
      </c>
      <c r="R532">
        <f>_xlfn.XLOOKUP(Table3[[#This Row],[Product Name]],Sales!A:A,Sales!C:C)</f>
        <v>3</v>
      </c>
      <c r="S532">
        <f>_xlfn.XLOOKUP(Table3[[#This Row],[Product Name]],Sales!A:A,Sales!D:D)</f>
        <v>0.2</v>
      </c>
      <c r="T532">
        <f>_xlfn.XLOOKUP(Table3[[#This Row],[Product Name]],Sales!A:A,Sales!E:E)</f>
        <v>42.747</v>
      </c>
    </row>
    <row r="533" spans="1:20" x14ac:dyDescent="0.3">
      <c r="A533">
        <v>528</v>
      </c>
      <c r="B533" t="s">
        <v>1418</v>
      </c>
      <c r="C533">
        <v>21</v>
      </c>
      <c r="D533">
        <v>10</v>
      </c>
      <c r="E533">
        <v>2021</v>
      </c>
      <c r="F533" t="s">
        <v>37</v>
      </c>
      <c r="G533" t="s">
        <v>1419</v>
      </c>
      <c r="H533" t="s">
        <v>2816</v>
      </c>
      <c r="I533" t="s">
        <v>78</v>
      </c>
      <c r="J533" t="s">
        <v>2546</v>
      </c>
      <c r="K533" t="s">
        <v>20</v>
      </c>
      <c r="L533">
        <v>33801</v>
      </c>
      <c r="M533" t="s">
        <v>886</v>
      </c>
      <c r="N533" t="s">
        <v>22</v>
      </c>
      <c r="O533" t="s">
        <v>48</v>
      </c>
      <c r="P533" t="s">
        <v>887</v>
      </c>
      <c r="Q533">
        <f>_xlfn.XLOOKUP(Table3[[#This Row],[Product Name]],Sales!A:A,Sales!B:B)</f>
        <v>15.231999999999999</v>
      </c>
      <c r="R533">
        <f>_xlfn.XLOOKUP(Table3[[#This Row],[Product Name]],Sales!A:A,Sales!C:C)</f>
        <v>1</v>
      </c>
      <c r="S533">
        <f>_xlfn.XLOOKUP(Table3[[#This Row],[Product Name]],Sales!A:A,Sales!D:D)</f>
        <v>0.2</v>
      </c>
      <c r="T533">
        <f>_xlfn.XLOOKUP(Table3[[#This Row],[Product Name]],Sales!A:A,Sales!E:E)</f>
        <v>1.7136</v>
      </c>
    </row>
    <row r="534" spans="1:20" x14ac:dyDescent="0.3">
      <c r="A534">
        <v>529</v>
      </c>
      <c r="B534" t="s">
        <v>1422</v>
      </c>
      <c r="C534">
        <v>3</v>
      </c>
      <c r="D534">
        <v>9</v>
      </c>
      <c r="E534">
        <v>2019</v>
      </c>
      <c r="F534" t="s">
        <v>37</v>
      </c>
      <c r="G534" t="s">
        <v>1423</v>
      </c>
      <c r="H534" t="s">
        <v>2817</v>
      </c>
      <c r="I534" t="s">
        <v>19</v>
      </c>
      <c r="J534" t="s">
        <v>2424</v>
      </c>
      <c r="K534" t="s">
        <v>108</v>
      </c>
      <c r="L534">
        <v>19134</v>
      </c>
      <c r="M534" t="s">
        <v>1424</v>
      </c>
      <c r="N534" t="s">
        <v>33</v>
      </c>
      <c r="O534" t="s">
        <v>43</v>
      </c>
      <c r="P534" t="s">
        <v>1425</v>
      </c>
      <c r="Q534">
        <f>_xlfn.XLOOKUP(Table3[[#This Row],[Product Name]],Sales!A:A,Sales!B:B)</f>
        <v>36.335999999999999</v>
      </c>
      <c r="R534">
        <f>_xlfn.XLOOKUP(Table3[[#This Row],[Product Name]],Sales!A:A,Sales!C:C)</f>
        <v>3</v>
      </c>
      <c r="S534">
        <f>_xlfn.XLOOKUP(Table3[[#This Row],[Product Name]],Sales!A:A,Sales!D:D)</f>
        <v>0.2</v>
      </c>
      <c r="T534">
        <f>_xlfn.XLOOKUP(Table3[[#This Row],[Product Name]],Sales!A:A,Sales!E:E)</f>
        <v>-7.2671999999999999</v>
      </c>
    </row>
    <row r="535" spans="1:20" x14ac:dyDescent="0.3">
      <c r="A535">
        <v>530</v>
      </c>
      <c r="B535" t="s">
        <v>1422</v>
      </c>
      <c r="C535">
        <v>3</v>
      </c>
      <c r="D535">
        <v>9</v>
      </c>
      <c r="E535">
        <v>2019</v>
      </c>
      <c r="F535" t="s">
        <v>37</v>
      </c>
      <c r="G535" t="s">
        <v>1423</v>
      </c>
      <c r="H535" t="s">
        <v>2817</v>
      </c>
      <c r="I535" t="s">
        <v>19</v>
      </c>
      <c r="J535" t="s">
        <v>2424</v>
      </c>
      <c r="K535" t="s">
        <v>108</v>
      </c>
      <c r="L535">
        <v>19134</v>
      </c>
      <c r="M535" t="s">
        <v>1426</v>
      </c>
      <c r="N535" t="s">
        <v>33</v>
      </c>
      <c r="O535" t="s">
        <v>438</v>
      </c>
      <c r="P535" t="s">
        <v>1427</v>
      </c>
      <c r="Q535">
        <f>_xlfn.XLOOKUP(Table3[[#This Row],[Product Name]],Sales!A:A,Sales!B:B)</f>
        <v>666.24800000000005</v>
      </c>
      <c r="R535">
        <f>_xlfn.XLOOKUP(Table3[[#This Row],[Product Name]],Sales!A:A,Sales!C:C)</f>
        <v>1</v>
      </c>
      <c r="S535">
        <f>_xlfn.XLOOKUP(Table3[[#This Row],[Product Name]],Sales!A:A,Sales!D:D)</f>
        <v>0.2</v>
      </c>
      <c r="T535">
        <f>_xlfn.XLOOKUP(Table3[[#This Row],[Product Name]],Sales!A:A,Sales!E:E)</f>
        <v>-149.9058</v>
      </c>
    </row>
    <row r="536" spans="1:20" x14ac:dyDescent="0.3">
      <c r="A536">
        <v>531</v>
      </c>
      <c r="B536" t="s">
        <v>1422</v>
      </c>
      <c r="C536">
        <v>3</v>
      </c>
      <c r="D536">
        <v>9</v>
      </c>
      <c r="E536">
        <v>2019</v>
      </c>
      <c r="F536" t="s">
        <v>37</v>
      </c>
      <c r="G536" t="s">
        <v>1423</v>
      </c>
      <c r="H536" t="s">
        <v>2817</v>
      </c>
      <c r="I536" t="s">
        <v>19</v>
      </c>
      <c r="J536" t="s">
        <v>2424</v>
      </c>
      <c r="K536" t="s">
        <v>108</v>
      </c>
      <c r="L536">
        <v>19134</v>
      </c>
      <c r="M536" t="s">
        <v>1428</v>
      </c>
      <c r="N536" t="s">
        <v>33</v>
      </c>
      <c r="O536" t="s">
        <v>129</v>
      </c>
      <c r="P536" t="s">
        <v>1429</v>
      </c>
      <c r="Q536">
        <f>_xlfn.XLOOKUP(Table3[[#This Row],[Product Name]],Sales!A:A,Sales!B:B)</f>
        <v>52.512</v>
      </c>
      <c r="R536">
        <f>_xlfn.XLOOKUP(Table3[[#This Row],[Product Name]],Sales!A:A,Sales!C:C)</f>
        <v>6</v>
      </c>
      <c r="S536">
        <f>_xlfn.XLOOKUP(Table3[[#This Row],[Product Name]],Sales!A:A,Sales!D:D)</f>
        <v>0.2</v>
      </c>
      <c r="T536">
        <f>_xlfn.XLOOKUP(Table3[[#This Row],[Product Name]],Sales!A:A,Sales!E:E)</f>
        <v>19.692</v>
      </c>
    </row>
    <row r="537" spans="1:20" x14ac:dyDescent="0.3">
      <c r="A537">
        <v>532</v>
      </c>
      <c r="B537" t="s">
        <v>1430</v>
      </c>
      <c r="C537">
        <v>7</v>
      </c>
      <c r="D537">
        <v>11</v>
      </c>
      <c r="E537">
        <v>2019</v>
      </c>
      <c r="F537" t="s">
        <v>17</v>
      </c>
      <c r="G537" t="s">
        <v>1431</v>
      </c>
      <c r="H537" t="s">
        <v>2818</v>
      </c>
      <c r="I537" t="s">
        <v>30</v>
      </c>
      <c r="J537" t="s">
        <v>2415</v>
      </c>
      <c r="K537" t="s">
        <v>31</v>
      </c>
      <c r="L537">
        <v>90036</v>
      </c>
      <c r="M537" t="s">
        <v>1432</v>
      </c>
      <c r="N537" t="s">
        <v>22</v>
      </c>
      <c r="O537" t="s">
        <v>26</v>
      </c>
      <c r="P537" t="s">
        <v>1433</v>
      </c>
      <c r="Q537">
        <f>_xlfn.XLOOKUP(Table3[[#This Row],[Product Name]],Sales!A:A,Sales!B:B)</f>
        <v>190.72</v>
      </c>
      <c r="R537">
        <f>_xlfn.XLOOKUP(Table3[[#This Row],[Product Name]],Sales!A:A,Sales!C:C)</f>
        <v>1</v>
      </c>
      <c r="S537">
        <f>_xlfn.XLOOKUP(Table3[[#This Row],[Product Name]],Sales!A:A,Sales!D:D)</f>
        <v>0.2</v>
      </c>
      <c r="T537">
        <f>_xlfn.XLOOKUP(Table3[[#This Row],[Product Name]],Sales!A:A,Sales!E:E)</f>
        <v>11.92</v>
      </c>
    </row>
    <row r="538" spans="1:20" x14ac:dyDescent="0.3">
      <c r="A538">
        <v>533</v>
      </c>
      <c r="B538" t="s">
        <v>1434</v>
      </c>
      <c r="C538">
        <v>7</v>
      </c>
      <c r="D538">
        <v>9</v>
      </c>
      <c r="E538">
        <v>2021</v>
      </c>
      <c r="F538" t="s">
        <v>37</v>
      </c>
      <c r="G538" t="s">
        <v>1435</v>
      </c>
      <c r="H538" t="s">
        <v>2819</v>
      </c>
      <c r="I538" t="s">
        <v>19</v>
      </c>
      <c r="J538" t="s">
        <v>2415</v>
      </c>
      <c r="K538" t="s">
        <v>31</v>
      </c>
      <c r="L538">
        <v>90032</v>
      </c>
      <c r="M538" t="s">
        <v>1436</v>
      </c>
      <c r="N538" t="s">
        <v>22</v>
      </c>
      <c r="O538" t="s">
        <v>48</v>
      </c>
      <c r="P538" t="s">
        <v>1437</v>
      </c>
      <c r="Q538">
        <f>_xlfn.XLOOKUP(Table3[[#This Row],[Product Name]],Sales!A:A,Sales!B:B)</f>
        <v>47.94</v>
      </c>
      <c r="R538">
        <f>_xlfn.XLOOKUP(Table3[[#This Row],[Product Name]],Sales!A:A,Sales!C:C)</f>
        <v>3</v>
      </c>
      <c r="S538">
        <f>_xlfn.XLOOKUP(Table3[[#This Row],[Product Name]],Sales!A:A,Sales!D:D)</f>
        <v>0</v>
      </c>
      <c r="T538">
        <f>_xlfn.XLOOKUP(Table3[[#This Row],[Product Name]],Sales!A:A,Sales!E:E)</f>
        <v>2.3969999999999998</v>
      </c>
    </row>
    <row r="539" spans="1:20" x14ac:dyDescent="0.3">
      <c r="A539">
        <v>534</v>
      </c>
      <c r="B539" t="s">
        <v>1438</v>
      </c>
      <c r="C539">
        <v>29</v>
      </c>
      <c r="D539">
        <v>5</v>
      </c>
      <c r="E539">
        <v>2020</v>
      </c>
      <c r="F539" t="s">
        <v>17</v>
      </c>
      <c r="G539" t="s">
        <v>1439</v>
      </c>
      <c r="H539" t="s">
        <v>2820</v>
      </c>
      <c r="I539" t="s">
        <v>19</v>
      </c>
      <c r="J539" t="s">
        <v>2547</v>
      </c>
      <c r="K539" t="s">
        <v>20</v>
      </c>
      <c r="L539">
        <v>36116</v>
      </c>
      <c r="M539" t="s">
        <v>1440</v>
      </c>
      <c r="N539" t="s">
        <v>54</v>
      </c>
      <c r="O539" t="s">
        <v>55</v>
      </c>
      <c r="P539" t="s">
        <v>1441</v>
      </c>
      <c r="Q539">
        <f>_xlfn.XLOOKUP(Table3[[#This Row],[Product Name]],Sales!A:A,Sales!B:B)</f>
        <v>979.95</v>
      </c>
      <c r="R539">
        <f>_xlfn.XLOOKUP(Table3[[#This Row],[Product Name]],Sales!A:A,Sales!C:C)</f>
        <v>5</v>
      </c>
      <c r="S539">
        <f>_xlfn.XLOOKUP(Table3[[#This Row],[Product Name]],Sales!A:A,Sales!D:D)</f>
        <v>0</v>
      </c>
      <c r="T539">
        <f>_xlfn.XLOOKUP(Table3[[#This Row],[Product Name]],Sales!A:A,Sales!E:E)</f>
        <v>274.38600000000002</v>
      </c>
    </row>
    <row r="540" spans="1:20" x14ac:dyDescent="0.3">
      <c r="A540">
        <v>535</v>
      </c>
      <c r="B540" t="s">
        <v>1438</v>
      </c>
      <c r="C540">
        <v>29</v>
      </c>
      <c r="D540">
        <v>5</v>
      </c>
      <c r="E540">
        <v>2020</v>
      </c>
      <c r="F540" t="s">
        <v>17</v>
      </c>
      <c r="G540" t="s">
        <v>1439</v>
      </c>
      <c r="H540" t="s">
        <v>2820</v>
      </c>
      <c r="I540" t="s">
        <v>19</v>
      </c>
      <c r="J540" t="s">
        <v>2547</v>
      </c>
      <c r="K540" t="s">
        <v>20</v>
      </c>
      <c r="L540">
        <v>36116</v>
      </c>
      <c r="M540" t="s">
        <v>788</v>
      </c>
      <c r="N540" t="s">
        <v>33</v>
      </c>
      <c r="O540" t="s">
        <v>58</v>
      </c>
      <c r="P540" t="s">
        <v>789</v>
      </c>
      <c r="Q540">
        <f>_xlfn.XLOOKUP(Table3[[#This Row],[Product Name]],Sales!A:A,Sales!B:B)</f>
        <v>10.92</v>
      </c>
      <c r="R540">
        <f>_xlfn.XLOOKUP(Table3[[#This Row],[Product Name]],Sales!A:A,Sales!C:C)</f>
        <v>3</v>
      </c>
      <c r="S540">
        <f>_xlfn.XLOOKUP(Table3[[#This Row],[Product Name]],Sales!A:A,Sales!D:D)</f>
        <v>0.2</v>
      </c>
      <c r="T540">
        <f>_xlfn.XLOOKUP(Table3[[#This Row],[Product Name]],Sales!A:A,Sales!E:E)</f>
        <v>4.0949999999999998</v>
      </c>
    </row>
    <row r="541" spans="1:20" x14ac:dyDescent="0.3">
      <c r="A541">
        <v>536</v>
      </c>
      <c r="B541" t="s">
        <v>1442</v>
      </c>
      <c r="C541">
        <v>10</v>
      </c>
      <c r="D541">
        <v>7</v>
      </c>
      <c r="E541">
        <v>2020</v>
      </c>
      <c r="F541" t="s">
        <v>37</v>
      </c>
      <c r="G541" t="s">
        <v>1443</v>
      </c>
      <c r="H541" t="s">
        <v>2821</v>
      </c>
      <c r="I541" t="s">
        <v>19</v>
      </c>
      <c r="J541" t="s">
        <v>2548</v>
      </c>
      <c r="K541" t="s">
        <v>31</v>
      </c>
      <c r="L541">
        <v>85204</v>
      </c>
      <c r="M541" t="s">
        <v>1444</v>
      </c>
      <c r="N541" t="s">
        <v>33</v>
      </c>
      <c r="O541" t="s">
        <v>43</v>
      </c>
      <c r="P541" t="s">
        <v>1445</v>
      </c>
      <c r="Q541">
        <f>_xlfn.XLOOKUP(Table3[[#This Row],[Product Name]],Sales!A:A,Sales!B:B)</f>
        <v>16.768000000000001</v>
      </c>
      <c r="R541">
        <f>_xlfn.XLOOKUP(Table3[[#This Row],[Product Name]],Sales!A:A,Sales!C:C)</f>
        <v>2</v>
      </c>
      <c r="S541">
        <f>_xlfn.XLOOKUP(Table3[[#This Row],[Product Name]],Sales!A:A,Sales!D:D)</f>
        <v>0.2</v>
      </c>
      <c r="T541">
        <f>_xlfn.XLOOKUP(Table3[[#This Row],[Product Name]],Sales!A:A,Sales!E:E)</f>
        <v>1.4672000000000001</v>
      </c>
    </row>
    <row r="542" spans="1:20" x14ac:dyDescent="0.3">
      <c r="A542">
        <v>537</v>
      </c>
      <c r="B542" t="s">
        <v>1446</v>
      </c>
      <c r="C542">
        <v>3</v>
      </c>
      <c r="D542">
        <v>9</v>
      </c>
      <c r="E542">
        <v>2021</v>
      </c>
      <c r="F542" t="s">
        <v>17</v>
      </c>
      <c r="G542" t="s">
        <v>1447</v>
      </c>
      <c r="H542" t="s">
        <v>2822</v>
      </c>
      <c r="I542" t="s">
        <v>19</v>
      </c>
      <c r="J542" t="s">
        <v>2436</v>
      </c>
      <c r="K542" t="s">
        <v>79</v>
      </c>
      <c r="L542">
        <v>60653</v>
      </c>
      <c r="M542" t="s">
        <v>1448</v>
      </c>
      <c r="N542" t="s">
        <v>33</v>
      </c>
      <c r="O542" t="s">
        <v>58</v>
      </c>
      <c r="P542" t="s">
        <v>1449</v>
      </c>
      <c r="Q542">
        <f>_xlfn.XLOOKUP(Table3[[#This Row],[Product Name]],Sales!A:A,Sales!B:B)</f>
        <v>42.616</v>
      </c>
      <c r="R542">
        <f>_xlfn.XLOOKUP(Table3[[#This Row],[Product Name]],Sales!A:A,Sales!C:C)</f>
        <v>7</v>
      </c>
      <c r="S542">
        <f>_xlfn.XLOOKUP(Table3[[#This Row],[Product Name]],Sales!A:A,Sales!D:D)</f>
        <v>0.8</v>
      </c>
      <c r="T542">
        <f>_xlfn.XLOOKUP(Table3[[#This Row],[Product Name]],Sales!A:A,Sales!E:E)</f>
        <v>-68.185599999999994</v>
      </c>
    </row>
    <row r="543" spans="1:20" x14ac:dyDescent="0.3">
      <c r="A543">
        <v>538</v>
      </c>
      <c r="B543" t="s">
        <v>1450</v>
      </c>
      <c r="C543">
        <v>3</v>
      </c>
      <c r="D543">
        <v>12</v>
      </c>
      <c r="E543">
        <v>2019</v>
      </c>
      <c r="F543" t="s">
        <v>37</v>
      </c>
      <c r="G543" t="s">
        <v>581</v>
      </c>
      <c r="H543" t="s">
        <v>2698</v>
      </c>
      <c r="I543" t="s">
        <v>78</v>
      </c>
      <c r="J543" t="s">
        <v>2434</v>
      </c>
      <c r="K543" t="s">
        <v>108</v>
      </c>
      <c r="L543">
        <v>10009</v>
      </c>
      <c r="M543" t="s">
        <v>1451</v>
      </c>
      <c r="N543" t="s">
        <v>33</v>
      </c>
      <c r="O543" t="s">
        <v>58</v>
      </c>
      <c r="P543" t="s">
        <v>1452</v>
      </c>
      <c r="Q543">
        <f>_xlfn.XLOOKUP(Table3[[#This Row],[Product Name]],Sales!A:A,Sales!B:B)</f>
        <v>10.752000000000001</v>
      </c>
      <c r="R543">
        <f>_xlfn.XLOOKUP(Table3[[#This Row],[Product Name]],Sales!A:A,Sales!C:C)</f>
        <v>4</v>
      </c>
      <c r="S543">
        <f>_xlfn.XLOOKUP(Table3[[#This Row],[Product Name]],Sales!A:A,Sales!D:D)</f>
        <v>0.2</v>
      </c>
      <c r="T543">
        <f>_xlfn.XLOOKUP(Table3[[#This Row],[Product Name]],Sales!A:A,Sales!E:E)</f>
        <v>3.36</v>
      </c>
    </row>
    <row r="544" spans="1:20" x14ac:dyDescent="0.3">
      <c r="A544">
        <v>539</v>
      </c>
      <c r="B544" t="s">
        <v>1453</v>
      </c>
      <c r="C544">
        <v>7</v>
      </c>
      <c r="D544">
        <v>12</v>
      </c>
      <c r="E544">
        <v>2019</v>
      </c>
      <c r="F544" t="s">
        <v>37</v>
      </c>
      <c r="G544" t="s">
        <v>1454</v>
      </c>
      <c r="H544" t="s">
        <v>2823</v>
      </c>
      <c r="I544" t="s">
        <v>19</v>
      </c>
      <c r="J544" t="s">
        <v>2414</v>
      </c>
      <c r="K544" t="s">
        <v>20</v>
      </c>
      <c r="L544">
        <v>42420</v>
      </c>
      <c r="M544" t="s">
        <v>1455</v>
      </c>
      <c r="N544" t="s">
        <v>33</v>
      </c>
      <c r="O544" t="s">
        <v>61</v>
      </c>
      <c r="P544" t="s">
        <v>1456</v>
      </c>
      <c r="Q544">
        <f>_xlfn.XLOOKUP(Table3[[#This Row],[Product Name]],Sales!A:A,Sales!B:B)</f>
        <v>152.94</v>
      </c>
      <c r="R544">
        <f>_xlfn.XLOOKUP(Table3[[#This Row],[Product Name]],Sales!A:A,Sales!C:C)</f>
        <v>3</v>
      </c>
      <c r="S544">
        <f>_xlfn.XLOOKUP(Table3[[#This Row],[Product Name]],Sales!A:A,Sales!D:D)</f>
        <v>0</v>
      </c>
      <c r="T544">
        <f>_xlfn.XLOOKUP(Table3[[#This Row],[Product Name]],Sales!A:A,Sales!E:E)</f>
        <v>41.293799999999997</v>
      </c>
    </row>
    <row r="545" spans="1:20" x14ac:dyDescent="0.3">
      <c r="A545">
        <v>540</v>
      </c>
      <c r="B545" t="s">
        <v>1453</v>
      </c>
      <c r="C545">
        <v>7</v>
      </c>
      <c r="D545">
        <v>12</v>
      </c>
      <c r="E545">
        <v>2019</v>
      </c>
      <c r="F545" t="s">
        <v>37</v>
      </c>
      <c r="G545" t="s">
        <v>1454</v>
      </c>
      <c r="H545" t="s">
        <v>2823</v>
      </c>
      <c r="I545" t="s">
        <v>19</v>
      </c>
      <c r="J545" t="s">
        <v>2414</v>
      </c>
      <c r="K545" t="s">
        <v>20</v>
      </c>
      <c r="L545">
        <v>42420</v>
      </c>
      <c r="M545" t="s">
        <v>1457</v>
      </c>
      <c r="N545" t="s">
        <v>22</v>
      </c>
      <c r="O545" t="s">
        <v>26</v>
      </c>
      <c r="P545" t="s">
        <v>1458</v>
      </c>
      <c r="Q545">
        <f>_xlfn.XLOOKUP(Table3[[#This Row],[Product Name]],Sales!A:A,Sales!B:B)</f>
        <v>283.92</v>
      </c>
      <c r="R545">
        <f>_xlfn.XLOOKUP(Table3[[#This Row],[Product Name]],Sales!A:A,Sales!C:C)</f>
        <v>4</v>
      </c>
      <c r="S545">
        <f>_xlfn.XLOOKUP(Table3[[#This Row],[Product Name]],Sales!A:A,Sales!D:D)</f>
        <v>0</v>
      </c>
      <c r="T545">
        <f>_xlfn.XLOOKUP(Table3[[#This Row],[Product Name]],Sales!A:A,Sales!E:E)</f>
        <v>70.98</v>
      </c>
    </row>
    <row r="546" spans="1:20" x14ac:dyDescent="0.3">
      <c r="A546">
        <v>541</v>
      </c>
      <c r="B546" t="s">
        <v>1459</v>
      </c>
      <c r="C546">
        <v>1</v>
      </c>
      <c r="D546">
        <v>2</v>
      </c>
      <c r="E546">
        <v>2018</v>
      </c>
      <c r="F546" t="s">
        <v>142</v>
      </c>
      <c r="G546" t="s">
        <v>1460</v>
      </c>
      <c r="H546" t="s">
        <v>2824</v>
      </c>
      <c r="I546" t="s">
        <v>19</v>
      </c>
      <c r="J546" t="s">
        <v>2549</v>
      </c>
      <c r="K546" t="s">
        <v>79</v>
      </c>
      <c r="L546">
        <v>54302</v>
      </c>
      <c r="M546" t="s">
        <v>1461</v>
      </c>
      <c r="N546" t="s">
        <v>54</v>
      </c>
      <c r="O546" t="s">
        <v>118</v>
      </c>
      <c r="P546" t="s">
        <v>1462</v>
      </c>
      <c r="Q546">
        <f>_xlfn.XLOOKUP(Table3[[#This Row],[Product Name]],Sales!A:A,Sales!B:B)</f>
        <v>468.9</v>
      </c>
      <c r="R546">
        <f>_xlfn.XLOOKUP(Table3[[#This Row],[Product Name]],Sales!A:A,Sales!C:C)</f>
        <v>6</v>
      </c>
      <c r="S546">
        <f>_xlfn.XLOOKUP(Table3[[#This Row],[Product Name]],Sales!A:A,Sales!D:D)</f>
        <v>0</v>
      </c>
      <c r="T546">
        <f>_xlfn.XLOOKUP(Table3[[#This Row],[Product Name]],Sales!A:A,Sales!E:E)</f>
        <v>206.316</v>
      </c>
    </row>
    <row r="547" spans="1:20" x14ac:dyDescent="0.3">
      <c r="A547">
        <v>542</v>
      </c>
      <c r="B547" t="s">
        <v>1463</v>
      </c>
      <c r="C547">
        <v>14</v>
      </c>
      <c r="D547">
        <v>7</v>
      </c>
      <c r="E547">
        <v>2020</v>
      </c>
      <c r="F547" t="s">
        <v>142</v>
      </c>
      <c r="G547" t="s">
        <v>167</v>
      </c>
      <c r="H547" t="s">
        <v>2629</v>
      </c>
      <c r="I547" t="s">
        <v>30</v>
      </c>
      <c r="J547" t="s">
        <v>2512</v>
      </c>
      <c r="K547" t="s">
        <v>31</v>
      </c>
      <c r="L547">
        <v>85705</v>
      </c>
      <c r="M547" t="s">
        <v>1464</v>
      </c>
      <c r="N547" t="s">
        <v>54</v>
      </c>
      <c r="O547" t="s">
        <v>55</v>
      </c>
      <c r="P547" t="s">
        <v>1465</v>
      </c>
      <c r="Q547">
        <f>_xlfn.XLOOKUP(Table3[[#This Row],[Product Name]],Sales!A:A,Sales!B:B)</f>
        <v>380.86399999999998</v>
      </c>
      <c r="R547">
        <f>_xlfn.XLOOKUP(Table3[[#This Row],[Product Name]],Sales!A:A,Sales!C:C)</f>
        <v>8</v>
      </c>
      <c r="S547">
        <f>_xlfn.XLOOKUP(Table3[[#This Row],[Product Name]],Sales!A:A,Sales!D:D)</f>
        <v>0.2</v>
      </c>
      <c r="T547">
        <f>_xlfn.XLOOKUP(Table3[[#This Row],[Product Name]],Sales!A:A,Sales!E:E)</f>
        <v>38.086399999999998</v>
      </c>
    </row>
    <row r="548" spans="1:20" x14ac:dyDescent="0.3">
      <c r="A548">
        <v>543</v>
      </c>
      <c r="B548" t="s">
        <v>1466</v>
      </c>
      <c r="C548">
        <v>18</v>
      </c>
      <c r="D548">
        <v>12</v>
      </c>
      <c r="E548">
        <v>2019</v>
      </c>
      <c r="F548" t="s">
        <v>37</v>
      </c>
      <c r="G548" t="s">
        <v>1467</v>
      </c>
      <c r="H548" t="s">
        <v>2825</v>
      </c>
      <c r="I548" t="s">
        <v>19</v>
      </c>
      <c r="J548" t="s">
        <v>2550</v>
      </c>
      <c r="K548" t="s">
        <v>108</v>
      </c>
      <c r="L548">
        <v>45503</v>
      </c>
      <c r="M548" t="s">
        <v>1336</v>
      </c>
      <c r="N548" t="s">
        <v>33</v>
      </c>
      <c r="O548" t="s">
        <v>43</v>
      </c>
      <c r="P548" t="s">
        <v>1337</v>
      </c>
      <c r="Q548">
        <f>_xlfn.XLOOKUP(Table3[[#This Row],[Product Name]],Sales!A:A,Sales!B:B)</f>
        <v>449.15</v>
      </c>
      <c r="R548">
        <f>_xlfn.XLOOKUP(Table3[[#This Row],[Product Name]],Sales!A:A,Sales!C:C)</f>
        <v>5</v>
      </c>
      <c r="S548">
        <f>_xlfn.XLOOKUP(Table3[[#This Row],[Product Name]],Sales!A:A,Sales!D:D)</f>
        <v>0</v>
      </c>
      <c r="T548">
        <f>_xlfn.XLOOKUP(Table3[[#This Row],[Product Name]],Sales!A:A,Sales!E:E)</f>
        <v>8.9830000000000005</v>
      </c>
    </row>
    <row r="549" spans="1:20" x14ac:dyDescent="0.3">
      <c r="A549">
        <v>544</v>
      </c>
      <c r="B549" t="s">
        <v>1468</v>
      </c>
      <c r="C549">
        <v>11</v>
      </c>
      <c r="D549">
        <v>5</v>
      </c>
      <c r="E549">
        <v>2018</v>
      </c>
      <c r="F549" t="s">
        <v>37</v>
      </c>
      <c r="G549" t="s">
        <v>290</v>
      </c>
      <c r="H549" t="s">
        <v>2647</v>
      </c>
      <c r="I549" t="s">
        <v>19</v>
      </c>
      <c r="J549" t="s">
        <v>2419</v>
      </c>
      <c r="K549" t="s">
        <v>79</v>
      </c>
      <c r="L549">
        <v>76106</v>
      </c>
      <c r="M549" t="s">
        <v>1469</v>
      </c>
      <c r="N549" t="s">
        <v>54</v>
      </c>
      <c r="O549" t="s">
        <v>118</v>
      </c>
      <c r="P549" t="s">
        <v>1470</v>
      </c>
      <c r="Q549">
        <f>_xlfn.XLOOKUP(Table3[[#This Row],[Product Name]],Sales!A:A,Sales!B:B)</f>
        <v>58.112000000000002</v>
      </c>
      <c r="R549">
        <f>_xlfn.XLOOKUP(Table3[[#This Row],[Product Name]],Sales!A:A,Sales!C:C)</f>
        <v>2</v>
      </c>
      <c r="S549">
        <f>_xlfn.XLOOKUP(Table3[[#This Row],[Product Name]],Sales!A:A,Sales!D:D)</f>
        <v>0.2</v>
      </c>
      <c r="T549">
        <f>_xlfn.XLOOKUP(Table3[[#This Row],[Product Name]],Sales!A:A,Sales!E:E)</f>
        <v>7.2640000000000002</v>
      </c>
    </row>
    <row r="550" spans="1:20" x14ac:dyDescent="0.3">
      <c r="A550">
        <v>545</v>
      </c>
      <c r="B550" t="s">
        <v>1468</v>
      </c>
      <c r="C550">
        <v>11</v>
      </c>
      <c r="D550">
        <v>5</v>
      </c>
      <c r="E550">
        <v>2018</v>
      </c>
      <c r="F550" t="s">
        <v>37</v>
      </c>
      <c r="G550" t="s">
        <v>290</v>
      </c>
      <c r="H550" t="s">
        <v>2647</v>
      </c>
      <c r="I550" t="s">
        <v>19</v>
      </c>
      <c r="J550" t="s">
        <v>2419</v>
      </c>
      <c r="K550" t="s">
        <v>79</v>
      </c>
      <c r="L550">
        <v>76106</v>
      </c>
      <c r="M550" t="s">
        <v>1471</v>
      </c>
      <c r="N550" t="s">
        <v>54</v>
      </c>
      <c r="O550" t="s">
        <v>55</v>
      </c>
      <c r="P550" t="s">
        <v>1472</v>
      </c>
      <c r="Q550">
        <f>_xlfn.XLOOKUP(Table3[[#This Row],[Product Name]],Sales!A:A,Sales!B:B)</f>
        <v>100.792</v>
      </c>
      <c r="R550">
        <f>_xlfn.XLOOKUP(Table3[[#This Row],[Product Name]],Sales!A:A,Sales!C:C)</f>
        <v>1</v>
      </c>
      <c r="S550">
        <f>_xlfn.XLOOKUP(Table3[[#This Row],[Product Name]],Sales!A:A,Sales!D:D)</f>
        <v>0.2</v>
      </c>
      <c r="T550">
        <f>_xlfn.XLOOKUP(Table3[[#This Row],[Product Name]],Sales!A:A,Sales!E:E)</f>
        <v>6.2995000000000001</v>
      </c>
    </row>
    <row r="551" spans="1:20" x14ac:dyDescent="0.3">
      <c r="A551">
        <v>546</v>
      </c>
      <c r="B551" t="s">
        <v>1468</v>
      </c>
      <c r="C551">
        <v>11</v>
      </c>
      <c r="D551">
        <v>5</v>
      </c>
      <c r="E551">
        <v>2018</v>
      </c>
      <c r="F551" t="s">
        <v>37</v>
      </c>
      <c r="G551" t="s">
        <v>290</v>
      </c>
      <c r="H551" t="s">
        <v>2647</v>
      </c>
      <c r="I551" t="s">
        <v>19</v>
      </c>
      <c r="J551" t="s">
        <v>2419</v>
      </c>
      <c r="K551" t="s">
        <v>79</v>
      </c>
      <c r="L551">
        <v>76106</v>
      </c>
      <c r="M551" t="s">
        <v>1473</v>
      </c>
      <c r="N551" t="s">
        <v>22</v>
      </c>
      <c r="O551" t="s">
        <v>48</v>
      </c>
      <c r="P551" t="s">
        <v>1474</v>
      </c>
      <c r="Q551">
        <f>_xlfn.XLOOKUP(Table3[[#This Row],[Product Name]],Sales!A:A,Sales!B:B)</f>
        <v>66.111999999999995</v>
      </c>
      <c r="R551">
        <f>_xlfn.XLOOKUP(Table3[[#This Row],[Product Name]],Sales!A:A,Sales!C:C)</f>
        <v>4</v>
      </c>
      <c r="S551">
        <f>_xlfn.XLOOKUP(Table3[[#This Row],[Product Name]],Sales!A:A,Sales!D:D)</f>
        <v>0.6</v>
      </c>
      <c r="T551">
        <f>_xlfn.XLOOKUP(Table3[[#This Row],[Product Name]],Sales!A:A,Sales!E:E)</f>
        <v>-84.2928</v>
      </c>
    </row>
    <row r="552" spans="1:20" x14ac:dyDescent="0.3">
      <c r="A552">
        <v>547</v>
      </c>
      <c r="B552" t="s">
        <v>1475</v>
      </c>
      <c r="C552">
        <v>19</v>
      </c>
      <c r="D552">
        <v>11</v>
      </c>
      <c r="E552">
        <v>2021</v>
      </c>
      <c r="F552" t="s">
        <v>142</v>
      </c>
      <c r="G552" t="s">
        <v>1476</v>
      </c>
      <c r="H552" t="s">
        <v>2826</v>
      </c>
      <c r="I552" t="s">
        <v>78</v>
      </c>
      <c r="J552" t="s">
        <v>2434</v>
      </c>
      <c r="K552" t="s">
        <v>108</v>
      </c>
      <c r="L552">
        <v>10035</v>
      </c>
      <c r="M552" t="s">
        <v>1477</v>
      </c>
      <c r="N552" t="s">
        <v>33</v>
      </c>
      <c r="O552" t="s">
        <v>58</v>
      </c>
      <c r="P552" t="s">
        <v>1478</v>
      </c>
      <c r="Q552">
        <f>_xlfn.XLOOKUP(Table3[[#This Row],[Product Name]],Sales!A:A,Sales!B:B)</f>
        <v>41.28</v>
      </c>
      <c r="R552">
        <f>_xlfn.XLOOKUP(Table3[[#This Row],[Product Name]],Sales!A:A,Sales!C:C)</f>
        <v>6</v>
      </c>
      <c r="S552">
        <f>_xlfn.XLOOKUP(Table3[[#This Row],[Product Name]],Sales!A:A,Sales!D:D)</f>
        <v>0.2</v>
      </c>
      <c r="T552">
        <f>_xlfn.XLOOKUP(Table3[[#This Row],[Product Name]],Sales!A:A,Sales!E:E)</f>
        <v>13.932</v>
      </c>
    </row>
    <row r="553" spans="1:20" x14ac:dyDescent="0.3">
      <c r="A553">
        <v>548</v>
      </c>
      <c r="B553" t="s">
        <v>1475</v>
      </c>
      <c r="C553">
        <v>19</v>
      </c>
      <c r="D553">
        <v>11</v>
      </c>
      <c r="E553">
        <v>2021</v>
      </c>
      <c r="F553" t="s">
        <v>142</v>
      </c>
      <c r="G553" t="s">
        <v>1476</v>
      </c>
      <c r="H553" t="s">
        <v>2826</v>
      </c>
      <c r="I553" t="s">
        <v>78</v>
      </c>
      <c r="J553" t="s">
        <v>2434</v>
      </c>
      <c r="K553" t="s">
        <v>108</v>
      </c>
      <c r="L553">
        <v>10035</v>
      </c>
      <c r="M553" t="s">
        <v>1479</v>
      </c>
      <c r="N553" t="s">
        <v>33</v>
      </c>
      <c r="O553" t="s">
        <v>70</v>
      </c>
      <c r="P553" t="s">
        <v>1480</v>
      </c>
      <c r="Q553">
        <f>_xlfn.XLOOKUP(Table3[[#This Row],[Product Name]],Sales!A:A,Sales!B:B)</f>
        <v>13.36</v>
      </c>
      <c r="R553">
        <f>_xlfn.XLOOKUP(Table3[[#This Row],[Product Name]],Sales!A:A,Sales!C:C)</f>
        <v>2</v>
      </c>
      <c r="S553">
        <f>_xlfn.XLOOKUP(Table3[[#This Row],[Product Name]],Sales!A:A,Sales!D:D)</f>
        <v>0</v>
      </c>
      <c r="T553">
        <f>_xlfn.XLOOKUP(Table3[[#This Row],[Product Name]],Sales!A:A,Sales!E:E)</f>
        <v>6.4127999999999998</v>
      </c>
    </row>
    <row r="554" spans="1:20" x14ac:dyDescent="0.3">
      <c r="A554">
        <v>549</v>
      </c>
      <c r="B554" t="s">
        <v>1481</v>
      </c>
      <c r="C554">
        <v>15</v>
      </c>
      <c r="D554">
        <v>11</v>
      </c>
      <c r="E554">
        <v>2019</v>
      </c>
      <c r="F554" t="s">
        <v>17</v>
      </c>
      <c r="G554" t="s">
        <v>1065</v>
      </c>
      <c r="H554" t="s">
        <v>2768</v>
      </c>
      <c r="I554" t="s">
        <v>30</v>
      </c>
      <c r="J554" t="s">
        <v>2436</v>
      </c>
      <c r="K554" t="s">
        <v>79</v>
      </c>
      <c r="L554">
        <v>60653</v>
      </c>
      <c r="M554" t="s">
        <v>205</v>
      </c>
      <c r="N554" t="s">
        <v>33</v>
      </c>
      <c r="O554" t="s">
        <v>43</v>
      </c>
      <c r="P554" t="s">
        <v>206</v>
      </c>
      <c r="Q554">
        <f>_xlfn.XLOOKUP(Table3[[#This Row],[Product Name]],Sales!A:A,Sales!B:B)</f>
        <v>208.56</v>
      </c>
      <c r="R554">
        <f>_xlfn.XLOOKUP(Table3[[#This Row],[Product Name]],Sales!A:A,Sales!C:C)</f>
        <v>6</v>
      </c>
      <c r="S554">
        <f>_xlfn.XLOOKUP(Table3[[#This Row],[Product Name]],Sales!A:A,Sales!D:D)</f>
        <v>0</v>
      </c>
      <c r="T554">
        <f>_xlfn.XLOOKUP(Table3[[#This Row],[Product Name]],Sales!A:A,Sales!E:E)</f>
        <v>52.14</v>
      </c>
    </row>
    <row r="555" spans="1:20" x14ac:dyDescent="0.3">
      <c r="A555">
        <v>550</v>
      </c>
      <c r="B555" t="s">
        <v>1481</v>
      </c>
      <c r="C555">
        <v>15</v>
      </c>
      <c r="D555">
        <v>11</v>
      </c>
      <c r="E555">
        <v>2019</v>
      </c>
      <c r="F555" t="s">
        <v>17</v>
      </c>
      <c r="G555" t="s">
        <v>1065</v>
      </c>
      <c r="H555" t="s">
        <v>2768</v>
      </c>
      <c r="I555" t="s">
        <v>30</v>
      </c>
      <c r="J555" t="s">
        <v>2436</v>
      </c>
      <c r="K555" t="s">
        <v>79</v>
      </c>
      <c r="L555">
        <v>60653</v>
      </c>
      <c r="M555" t="s">
        <v>315</v>
      </c>
      <c r="N555" t="s">
        <v>33</v>
      </c>
      <c r="O555" t="s">
        <v>58</v>
      </c>
      <c r="P555" t="s">
        <v>316</v>
      </c>
      <c r="Q555">
        <f>_xlfn.XLOOKUP(Table3[[#This Row],[Product Name]],Sales!A:A,Sales!B:B)</f>
        <v>5.6820000000000004</v>
      </c>
      <c r="R555">
        <f>_xlfn.XLOOKUP(Table3[[#This Row],[Product Name]],Sales!A:A,Sales!C:C)</f>
        <v>1</v>
      </c>
      <c r="S555">
        <f>_xlfn.XLOOKUP(Table3[[#This Row],[Product Name]],Sales!A:A,Sales!D:D)</f>
        <v>0.7</v>
      </c>
      <c r="T555">
        <f>_xlfn.XLOOKUP(Table3[[#This Row],[Product Name]],Sales!A:A,Sales!E:E)</f>
        <v>-3.7879999999999998</v>
      </c>
    </row>
    <row r="556" spans="1:20" x14ac:dyDescent="0.3">
      <c r="A556">
        <v>551</v>
      </c>
      <c r="B556" t="s">
        <v>1481</v>
      </c>
      <c r="C556">
        <v>15</v>
      </c>
      <c r="D556">
        <v>11</v>
      </c>
      <c r="E556">
        <v>2019</v>
      </c>
      <c r="F556" t="s">
        <v>17</v>
      </c>
      <c r="G556" t="s">
        <v>1065</v>
      </c>
      <c r="H556" t="s">
        <v>2768</v>
      </c>
      <c r="I556" t="s">
        <v>30</v>
      </c>
      <c r="J556" t="s">
        <v>2436</v>
      </c>
      <c r="K556" t="s">
        <v>79</v>
      </c>
      <c r="L556">
        <v>60653</v>
      </c>
      <c r="M556" t="s">
        <v>1482</v>
      </c>
      <c r="N556" t="s">
        <v>33</v>
      </c>
      <c r="O556" t="s">
        <v>438</v>
      </c>
      <c r="P556" t="s">
        <v>1015</v>
      </c>
      <c r="Q556">
        <f>_xlfn.XLOOKUP(Table3[[#This Row],[Product Name]],Sales!A:A,Sales!B:B)</f>
        <v>7.36</v>
      </c>
      <c r="R556">
        <f>_xlfn.XLOOKUP(Table3[[#This Row],[Product Name]],Sales!A:A,Sales!C:C)</f>
        <v>2</v>
      </c>
      <c r="S556">
        <f>_xlfn.XLOOKUP(Table3[[#This Row],[Product Name]],Sales!A:A,Sales!D:D)</f>
        <v>0</v>
      </c>
      <c r="T556">
        <f>_xlfn.XLOOKUP(Table3[[#This Row],[Product Name]],Sales!A:A,Sales!E:E)</f>
        <v>0.1472</v>
      </c>
    </row>
    <row r="557" spans="1:20" x14ac:dyDescent="0.3">
      <c r="A557">
        <v>552</v>
      </c>
      <c r="B557" t="s">
        <v>1483</v>
      </c>
      <c r="C557">
        <v>15</v>
      </c>
      <c r="D557">
        <v>4</v>
      </c>
      <c r="E557">
        <v>2020</v>
      </c>
      <c r="F557" t="s">
        <v>17</v>
      </c>
      <c r="G557" t="s">
        <v>1484</v>
      </c>
      <c r="H557" t="s">
        <v>2827</v>
      </c>
      <c r="I557" t="s">
        <v>19</v>
      </c>
      <c r="J557" t="s">
        <v>2422</v>
      </c>
      <c r="K557" t="s">
        <v>31</v>
      </c>
      <c r="L557">
        <v>94110</v>
      </c>
      <c r="M557" t="s">
        <v>1485</v>
      </c>
      <c r="N557" t="s">
        <v>22</v>
      </c>
      <c r="O557" t="s">
        <v>26</v>
      </c>
      <c r="P557" t="s">
        <v>1486</v>
      </c>
      <c r="Q557">
        <f>_xlfn.XLOOKUP(Table3[[#This Row],[Product Name]],Sales!A:A,Sales!B:B)</f>
        <v>1121.568</v>
      </c>
      <c r="R557">
        <f>_xlfn.XLOOKUP(Table3[[#This Row],[Product Name]],Sales!A:A,Sales!C:C)</f>
        <v>2</v>
      </c>
      <c r="S557">
        <f>_xlfn.XLOOKUP(Table3[[#This Row],[Product Name]],Sales!A:A,Sales!D:D)</f>
        <v>0.2</v>
      </c>
      <c r="T557">
        <f>_xlfn.XLOOKUP(Table3[[#This Row],[Product Name]],Sales!A:A,Sales!E:E)</f>
        <v>0</v>
      </c>
    </row>
    <row r="558" spans="1:20" x14ac:dyDescent="0.3">
      <c r="A558">
        <v>553</v>
      </c>
      <c r="B558" t="s">
        <v>1487</v>
      </c>
      <c r="C558">
        <v>11</v>
      </c>
      <c r="D558">
        <v>9</v>
      </c>
      <c r="E558">
        <v>2021</v>
      </c>
      <c r="F558" t="s">
        <v>142</v>
      </c>
      <c r="G558" t="s">
        <v>372</v>
      </c>
      <c r="H558" t="s">
        <v>2663</v>
      </c>
      <c r="I558" t="s">
        <v>19</v>
      </c>
      <c r="J558" t="s">
        <v>2530</v>
      </c>
      <c r="K558" t="s">
        <v>20</v>
      </c>
      <c r="L558">
        <v>32216</v>
      </c>
      <c r="M558" t="s">
        <v>1488</v>
      </c>
      <c r="N558" t="s">
        <v>22</v>
      </c>
      <c r="O558" t="s">
        <v>48</v>
      </c>
      <c r="P558" t="s">
        <v>1489</v>
      </c>
      <c r="Q558">
        <f>_xlfn.XLOOKUP(Table3[[#This Row],[Product Name]],Sales!A:A,Sales!B:B)</f>
        <v>34.503999999999998</v>
      </c>
      <c r="R558">
        <f>_xlfn.XLOOKUP(Table3[[#This Row],[Product Name]],Sales!A:A,Sales!C:C)</f>
        <v>1</v>
      </c>
      <c r="S558">
        <f>_xlfn.XLOOKUP(Table3[[#This Row],[Product Name]],Sales!A:A,Sales!D:D)</f>
        <v>0.2</v>
      </c>
      <c r="T558">
        <f>_xlfn.XLOOKUP(Table3[[#This Row],[Product Name]],Sales!A:A,Sales!E:E)</f>
        <v>6.0381999999999998</v>
      </c>
    </row>
    <row r="559" spans="1:20" x14ac:dyDescent="0.3">
      <c r="A559">
        <v>554</v>
      </c>
      <c r="B559" t="s">
        <v>1490</v>
      </c>
      <c r="C559">
        <v>24</v>
      </c>
      <c r="D559">
        <v>11</v>
      </c>
      <c r="E559">
        <v>2021</v>
      </c>
      <c r="F559" t="s">
        <v>37</v>
      </c>
      <c r="G559" t="s">
        <v>1491</v>
      </c>
      <c r="H559" t="s">
        <v>2828</v>
      </c>
      <c r="I559" t="s">
        <v>19</v>
      </c>
      <c r="J559" t="s">
        <v>2426</v>
      </c>
      <c r="K559" t="s">
        <v>79</v>
      </c>
      <c r="L559">
        <v>77070</v>
      </c>
      <c r="M559" t="s">
        <v>1492</v>
      </c>
      <c r="N559" t="s">
        <v>33</v>
      </c>
      <c r="O559" t="s">
        <v>199</v>
      </c>
      <c r="P559" t="s">
        <v>1493</v>
      </c>
      <c r="Q559">
        <f>_xlfn.XLOOKUP(Table3[[#This Row],[Product Name]],Sales!A:A,Sales!B:B)</f>
        <v>10.824</v>
      </c>
      <c r="R559">
        <f>_xlfn.XLOOKUP(Table3[[#This Row],[Product Name]],Sales!A:A,Sales!C:C)</f>
        <v>3</v>
      </c>
      <c r="S559">
        <f>_xlfn.XLOOKUP(Table3[[#This Row],[Product Name]],Sales!A:A,Sales!D:D)</f>
        <v>0.2</v>
      </c>
      <c r="T559">
        <f>_xlfn.XLOOKUP(Table3[[#This Row],[Product Name]],Sales!A:A,Sales!E:E)</f>
        <v>2.5707</v>
      </c>
    </row>
    <row r="560" spans="1:20" x14ac:dyDescent="0.3">
      <c r="A560">
        <v>555</v>
      </c>
      <c r="B560" t="s">
        <v>1494</v>
      </c>
      <c r="C560">
        <v>29</v>
      </c>
      <c r="D560">
        <v>6</v>
      </c>
      <c r="E560">
        <v>2021</v>
      </c>
      <c r="F560" t="s">
        <v>17</v>
      </c>
      <c r="G560" t="s">
        <v>1065</v>
      </c>
      <c r="H560" t="s">
        <v>2768</v>
      </c>
      <c r="I560" t="s">
        <v>30</v>
      </c>
      <c r="J560" t="s">
        <v>2551</v>
      </c>
      <c r="K560" t="s">
        <v>31</v>
      </c>
      <c r="L560">
        <v>92804</v>
      </c>
      <c r="M560" t="s">
        <v>1495</v>
      </c>
      <c r="N560" t="s">
        <v>33</v>
      </c>
      <c r="O560" t="s">
        <v>43</v>
      </c>
      <c r="P560" t="s">
        <v>1496</v>
      </c>
      <c r="Q560">
        <f>_xlfn.XLOOKUP(Table3[[#This Row],[Product Name]],Sales!A:A,Sales!B:B)</f>
        <v>1295.78</v>
      </c>
      <c r="R560">
        <f>_xlfn.XLOOKUP(Table3[[#This Row],[Product Name]],Sales!A:A,Sales!C:C)</f>
        <v>2</v>
      </c>
      <c r="S560">
        <f>_xlfn.XLOOKUP(Table3[[#This Row],[Product Name]],Sales!A:A,Sales!D:D)</f>
        <v>0</v>
      </c>
      <c r="T560">
        <f>_xlfn.XLOOKUP(Table3[[#This Row],[Product Name]],Sales!A:A,Sales!E:E)</f>
        <v>310.98719999999997</v>
      </c>
    </row>
    <row r="561" spans="1:20" x14ac:dyDescent="0.3">
      <c r="A561">
        <v>556</v>
      </c>
      <c r="B561" t="s">
        <v>1497</v>
      </c>
      <c r="C561">
        <v>3</v>
      </c>
      <c r="D561">
        <v>3</v>
      </c>
      <c r="E561">
        <v>2018</v>
      </c>
      <c r="F561" t="s">
        <v>17</v>
      </c>
      <c r="G561" t="s">
        <v>1498</v>
      </c>
      <c r="H561" t="s">
        <v>2829</v>
      </c>
      <c r="I561" t="s">
        <v>19</v>
      </c>
      <c r="J561" t="s">
        <v>2521</v>
      </c>
      <c r="K561" t="s">
        <v>20</v>
      </c>
      <c r="L561">
        <v>28403</v>
      </c>
      <c r="M561" t="s">
        <v>1499</v>
      </c>
      <c r="N561" t="s">
        <v>33</v>
      </c>
      <c r="O561" t="s">
        <v>51</v>
      </c>
      <c r="P561" t="s">
        <v>1500</v>
      </c>
      <c r="Q561">
        <f>_xlfn.XLOOKUP(Table3[[#This Row],[Product Name]],Sales!A:A,Sales!B:B)</f>
        <v>19.456</v>
      </c>
      <c r="R561">
        <f>_xlfn.XLOOKUP(Table3[[#This Row],[Product Name]],Sales!A:A,Sales!C:C)</f>
        <v>4</v>
      </c>
      <c r="S561">
        <f>_xlfn.XLOOKUP(Table3[[#This Row],[Product Name]],Sales!A:A,Sales!D:D)</f>
        <v>0.2</v>
      </c>
      <c r="T561">
        <f>_xlfn.XLOOKUP(Table3[[#This Row],[Product Name]],Sales!A:A,Sales!E:E)</f>
        <v>3.4047999999999998</v>
      </c>
    </row>
    <row r="562" spans="1:20" x14ac:dyDescent="0.3">
      <c r="A562">
        <v>557</v>
      </c>
      <c r="B562" t="s">
        <v>1501</v>
      </c>
      <c r="C562">
        <v>10</v>
      </c>
      <c r="D562">
        <v>6</v>
      </c>
      <c r="E562">
        <v>2020</v>
      </c>
      <c r="F562" t="s">
        <v>37</v>
      </c>
      <c r="G562" t="s">
        <v>1502</v>
      </c>
      <c r="H562" t="s">
        <v>2830</v>
      </c>
      <c r="I562" t="s">
        <v>19</v>
      </c>
      <c r="J562" t="s">
        <v>2415</v>
      </c>
      <c r="K562" t="s">
        <v>31</v>
      </c>
      <c r="L562">
        <v>90045</v>
      </c>
      <c r="M562" t="s">
        <v>1503</v>
      </c>
      <c r="N562" t="s">
        <v>33</v>
      </c>
      <c r="O562" t="s">
        <v>34</v>
      </c>
      <c r="P562" t="s">
        <v>1504</v>
      </c>
      <c r="Q562">
        <f>_xlfn.XLOOKUP(Table3[[#This Row],[Product Name]],Sales!A:A,Sales!B:B)</f>
        <v>20.7</v>
      </c>
      <c r="R562">
        <f>_xlfn.XLOOKUP(Table3[[#This Row],[Product Name]],Sales!A:A,Sales!C:C)</f>
        <v>2</v>
      </c>
      <c r="S562">
        <f>_xlfn.XLOOKUP(Table3[[#This Row],[Product Name]],Sales!A:A,Sales!D:D)</f>
        <v>0</v>
      </c>
      <c r="T562">
        <f>_xlfn.XLOOKUP(Table3[[#This Row],[Product Name]],Sales!A:A,Sales!E:E)</f>
        <v>9.9359999999999999</v>
      </c>
    </row>
    <row r="563" spans="1:20" x14ac:dyDescent="0.3">
      <c r="A563">
        <v>558</v>
      </c>
      <c r="B563" t="s">
        <v>1501</v>
      </c>
      <c r="C563">
        <v>10</v>
      </c>
      <c r="D563">
        <v>6</v>
      </c>
      <c r="E563">
        <v>2020</v>
      </c>
      <c r="F563" t="s">
        <v>37</v>
      </c>
      <c r="G563" t="s">
        <v>1502</v>
      </c>
      <c r="H563" t="s">
        <v>2830</v>
      </c>
      <c r="I563" t="s">
        <v>19</v>
      </c>
      <c r="J563" t="s">
        <v>2415</v>
      </c>
      <c r="K563" t="s">
        <v>31</v>
      </c>
      <c r="L563">
        <v>90045</v>
      </c>
      <c r="M563" t="s">
        <v>1505</v>
      </c>
      <c r="N563" t="s">
        <v>22</v>
      </c>
      <c r="O563" t="s">
        <v>40</v>
      </c>
      <c r="P563" t="s">
        <v>1506</v>
      </c>
      <c r="Q563">
        <f>_xlfn.XLOOKUP(Table3[[#This Row],[Product Name]],Sales!A:A,Sales!B:B)</f>
        <v>1335.68</v>
      </c>
      <c r="R563">
        <f>_xlfn.XLOOKUP(Table3[[#This Row],[Product Name]],Sales!A:A,Sales!C:C)</f>
        <v>4</v>
      </c>
      <c r="S563">
        <f>_xlfn.XLOOKUP(Table3[[#This Row],[Product Name]],Sales!A:A,Sales!D:D)</f>
        <v>0.2</v>
      </c>
      <c r="T563">
        <f>_xlfn.XLOOKUP(Table3[[#This Row],[Product Name]],Sales!A:A,Sales!E:E)</f>
        <v>-217.048</v>
      </c>
    </row>
    <row r="564" spans="1:20" x14ac:dyDescent="0.3">
      <c r="A564">
        <v>559</v>
      </c>
      <c r="B564" t="s">
        <v>1501</v>
      </c>
      <c r="C564">
        <v>10</v>
      </c>
      <c r="D564">
        <v>6</v>
      </c>
      <c r="E564">
        <v>2020</v>
      </c>
      <c r="F564" t="s">
        <v>37</v>
      </c>
      <c r="G564" t="s">
        <v>1502</v>
      </c>
      <c r="H564" t="s">
        <v>2830</v>
      </c>
      <c r="I564" t="s">
        <v>19</v>
      </c>
      <c r="J564" t="s">
        <v>2415</v>
      </c>
      <c r="K564" t="s">
        <v>31</v>
      </c>
      <c r="L564">
        <v>90045</v>
      </c>
      <c r="M564" t="s">
        <v>1507</v>
      </c>
      <c r="N564" t="s">
        <v>33</v>
      </c>
      <c r="O564" t="s">
        <v>70</v>
      </c>
      <c r="P564" t="s">
        <v>1508</v>
      </c>
      <c r="Q564">
        <f>_xlfn.XLOOKUP(Table3[[#This Row],[Product Name]],Sales!A:A,Sales!B:B)</f>
        <v>32.4</v>
      </c>
      <c r="R564">
        <f>_xlfn.XLOOKUP(Table3[[#This Row],[Product Name]],Sales!A:A,Sales!C:C)</f>
        <v>5</v>
      </c>
      <c r="S564">
        <f>_xlfn.XLOOKUP(Table3[[#This Row],[Product Name]],Sales!A:A,Sales!D:D)</f>
        <v>0</v>
      </c>
      <c r="T564">
        <f>_xlfn.XLOOKUP(Table3[[#This Row],[Product Name]],Sales!A:A,Sales!E:E)</f>
        <v>15.552</v>
      </c>
    </row>
    <row r="565" spans="1:20" x14ac:dyDescent="0.3">
      <c r="A565">
        <v>560</v>
      </c>
      <c r="B565" t="s">
        <v>1509</v>
      </c>
      <c r="C565">
        <v>20</v>
      </c>
      <c r="D565">
        <v>11</v>
      </c>
      <c r="E565">
        <v>2021</v>
      </c>
      <c r="F565" t="s">
        <v>17</v>
      </c>
      <c r="G565" t="s">
        <v>1510</v>
      </c>
      <c r="H565" t="s">
        <v>2831</v>
      </c>
      <c r="I565" t="s">
        <v>19</v>
      </c>
      <c r="J565" t="s">
        <v>2422</v>
      </c>
      <c r="K565" t="s">
        <v>31</v>
      </c>
      <c r="L565">
        <v>94110</v>
      </c>
      <c r="M565" t="s">
        <v>1171</v>
      </c>
      <c r="N565" t="s">
        <v>22</v>
      </c>
      <c r="O565" t="s">
        <v>48</v>
      </c>
      <c r="P565" t="s">
        <v>1172</v>
      </c>
      <c r="Q565">
        <f>_xlfn.XLOOKUP(Table3[[#This Row],[Product Name]],Sales!A:A,Sales!B:B)</f>
        <v>28.4</v>
      </c>
      <c r="R565">
        <f>_xlfn.XLOOKUP(Table3[[#This Row],[Product Name]],Sales!A:A,Sales!C:C)</f>
        <v>2</v>
      </c>
      <c r="S565">
        <f>_xlfn.XLOOKUP(Table3[[#This Row],[Product Name]],Sales!A:A,Sales!D:D)</f>
        <v>0</v>
      </c>
      <c r="T565">
        <f>_xlfn.XLOOKUP(Table3[[#This Row],[Product Name]],Sales!A:A,Sales!E:E)</f>
        <v>11.076000000000001</v>
      </c>
    </row>
    <row r="566" spans="1:20" x14ac:dyDescent="0.3">
      <c r="A566">
        <v>561</v>
      </c>
      <c r="B566" t="s">
        <v>1509</v>
      </c>
      <c r="C566">
        <v>20</v>
      </c>
      <c r="D566">
        <v>11</v>
      </c>
      <c r="E566">
        <v>2021</v>
      </c>
      <c r="F566" t="s">
        <v>17</v>
      </c>
      <c r="G566" t="s">
        <v>1510</v>
      </c>
      <c r="H566" t="s">
        <v>2831</v>
      </c>
      <c r="I566" t="s">
        <v>19</v>
      </c>
      <c r="J566" t="s">
        <v>2422</v>
      </c>
      <c r="K566" t="s">
        <v>31</v>
      </c>
      <c r="L566">
        <v>94110</v>
      </c>
      <c r="M566" t="s">
        <v>1511</v>
      </c>
      <c r="N566" t="s">
        <v>33</v>
      </c>
      <c r="O566" t="s">
        <v>58</v>
      </c>
      <c r="P566" t="s">
        <v>1512</v>
      </c>
      <c r="Q566">
        <f>_xlfn.XLOOKUP(Table3[[#This Row],[Product Name]],Sales!A:A,Sales!B:B)</f>
        <v>84.055999999999997</v>
      </c>
      <c r="R566">
        <f>_xlfn.XLOOKUP(Table3[[#This Row],[Product Name]],Sales!A:A,Sales!C:C)</f>
        <v>7</v>
      </c>
      <c r="S566">
        <f>_xlfn.XLOOKUP(Table3[[#This Row],[Product Name]],Sales!A:A,Sales!D:D)</f>
        <v>0.2</v>
      </c>
      <c r="T566">
        <f>_xlfn.XLOOKUP(Table3[[#This Row],[Product Name]],Sales!A:A,Sales!E:E)</f>
        <v>27.318200000000001</v>
      </c>
    </row>
    <row r="567" spans="1:20" x14ac:dyDescent="0.3">
      <c r="A567">
        <v>562</v>
      </c>
      <c r="B567" t="s">
        <v>1513</v>
      </c>
      <c r="C567">
        <v>14</v>
      </c>
      <c r="D567">
        <v>9</v>
      </c>
      <c r="E567">
        <v>2018</v>
      </c>
      <c r="F567" t="s">
        <v>17</v>
      </c>
      <c r="G567" t="s">
        <v>1514</v>
      </c>
      <c r="H567" t="s">
        <v>2832</v>
      </c>
      <c r="I567" t="s">
        <v>19</v>
      </c>
      <c r="J567" t="s">
        <v>2484</v>
      </c>
      <c r="K567" t="s">
        <v>20</v>
      </c>
      <c r="L567">
        <v>33614</v>
      </c>
      <c r="M567" t="s">
        <v>1515</v>
      </c>
      <c r="N567" t="s">
        <v>33</v>
      </c>
      <c r="O567" t="s">
        <v>61</v>
      </c>
      <c r="P567" t="s">
        <v>1516</v>
      </c>
      <c r="Q567">
        <f>_xlfn.XLOOKUP(Table3[[#This Row],[Product Name]],Sales!A:A,Sales!B:B)</f>
        <v>13</v>
      </c>
      <c r="R567">
        <f>_xlfn.XLOOKUP(Table3[[#This Row],[Product Name]],Sales!A:A,Sales!C:C)</f>
        <v>5</v>
      </c>
      <c r="S567">
        <f>_xlfn.XLOOKUP(Table3[[#This Row],[Product Name]],Sales!A:A,Sales!D:D)</f>
        <v>0.2</v>
      </c>
      <c r="T567">
        <f>_xlfn.XLOOKUP(Table3[[#This Row],[Product Name]],Sales!A:A,Sales!E:E)</f>
        <v>1.3</v>
      </c>
    </row>
    <row r="568" spans="1:20" x14ac:dyDescent="0.3">
      <c r="A568">
        <v>563</v>
      </c>
      <c r="B568" t="s">
        <v>1513</v>
      </c>
      <c r="C568">
        <v>14</v>
      </c>
      <c r="D568">
        <v>9</v>
      </c>
      <c r="E568">
        <v>2018</v>
      </c>
      <c r="F568" t="s">
        <v>17</v>
      </c>
      <c r="G568" t="s">
        <v>1514</v>
      </c>
      <c r="H568" t="s">
        <v>2832</v>
      </c>
      <c r="I568" t="s">
        <v>19</v>
      </c>
      <c r="J568" t="s">
        <v>2484</v>
      </c>
      <c r="K568" t="s">
        <v>20</v>
      </c>
      <c r="L568">
        <v>33614</v>
      </c>
      <c r="M568" t="s">
        <v>1517</v>
      </c>
      <c r="N568" t="s">
        <v>22</v>
      </c>
      <c r="O568" t="s">
        <v>48</v>
      </c>
      <c r="P568" t="s">
        <v>1518</v>
      </c>
      <c r="Q568">
        <f>_xlfn.XLOOKUP(Table3[[#This Row],[Product Name]],Sales!A:A,Sales!B:B)</f>
        <v>13.128</v>
      </c>
      <c r="R568">
        <f>_xlfn.XLOOKUP(Table3[[#This Row],[Product Name]],Sales!A:A,Sales!C:C)</f>
        <v>3</v>
      </c>
      <c r="S568">
        <f>_xlfn.XLOOKUP(Table3[[#This Row],[Product Name]],Sales!A:A,Sales!D:D)</f>
        <v>0.2</v>
      </c>
      <c r="T568">
        <f>_xlfn.XLOOKUP(Table3[[#This Row],[Product Name]],Sales!A:A,Sales!E:E)</f>
        <v>3.7743000000000002</v>
      </c>
    </row>
    <row r="569" spans="1:20" x14ac:dyDescent="0.3">
      <c r="A569">
        <v>564</v>
      </c>
      <c r="B569" t="s">
        <v>1519</v>
      </c>
      <c r="C569">
        <v>7</v>
      </c>
      <c r="D569">
        <v>12</v>
      </c>
      <c r="E569">
        <v>2019</v>
      </c>
      <c r="F569" t="s">
        <v>142</v>
      </c>
      <c r="G569" t="s">
        <v>1520</v>
      </c>
      <c r="H569" t="s">
        <v>2833</v>
      </c>
      <c r="I569" t="s">
        <v>19</v>
      </c>
      <c r="J569" t="s">
        <v>2418</v>
      </c>
      <c r="K569" t="s">
        <v>31</v>
      </c>
      <c r="L569">
        <v>98105</v>
      </c>
      <c r="M569" t="s">
        <v>1521</v>
      </c>
      <c r="N569" t="s">
        <v>33</v>
      </c>
      <c r="O569" t="s">
        <v>199</v>
      </c>
      <c r="P569" t="s">
        <v>1522</v>
      </c>
      <c r="Q569">
        <f>_xlfn.XLOOKUP(Table3[[#This Row],[Product Name]],Sales!A:A,Sales!B:B)</f>
        <v>3.96</v>
      </c>
      <c r="R569">
        <f>_xlfn.XLOOKUP(Table3[[#This Row],[Product Name]],Sales!A:A,Sales!C:C)</f>
        <v>2</v>
      </c>
      <c r="S569">
        <f>_xlfn.XLOOKUP(Table3[[#This Row],[Product Name]],Sales!A:A,Sales!D:D)</f>
        <v>0</v>
      </c>
      <c r="T569">
        <f>_xlfn.XLOOKUP(Table3[[#This Row],[Product Name]],Sales!A:A,Sales!E:E)</f>
        <v>0</v>
      </c>
    </row>
    <row r="570" spans="1:20" x14ac:dyDescent="0.3">
      <c r="A570">
        <v>565</v>
      </c>
      <c r="B570" t="s">
        <v>1519</v>
      </c>
      <c r="C570">
        <v>7</v>
      </c>
      <c r="D570">
        <v>12</v>
      </c>
      <c r="E570">
        <v>2019</v>
      </c>
      <c r="F570" t="s">
        <v>142</v>
      </c>
      <c r="G570" t="s">
        <v>1520</v>
      </c>
      <c r="H570" t="s">
        <v>2833</v>
      </c>
      <c r="I570" t="s">
        <v>19</v>
      </c>
      <c r="J570" t="s">
        <v>2418</v>
      </c>
      <c r="K570" t="s">
        <v>31</v>
      </c>
      <c r="L570">
        <v>98105</v>
      </c>
      <c r="M570" t="s">
        <v>888</v>
      </c>
      <c r="N570" t="s">
        <v>33</v>
      </c>
      <c r="O570" t="s">
        <v>34</v>
      </c>
      <c r="P570" t="s">
        <v>889</v>
      </c>
      <c r="Q570">
        <f>_xlfn.XLOOKUP(Table3[[#This Row],[Product Name]],Sales!A:A,Sales!B:B)</f>
        <v>6.2640000000000002</v>
      </c>
      <c r="R570">
        <f>_xlfn.XLOOKUP(Table3[[#This Row],[Product Name]],Sales!A:A,Sales!C:C)</f>
        <v>3</v>
      </c>
      <c r="S570">
        <f>_xlfn.XLOOKUP(Table3[[#This Row],[Product Name]],Sales!A:A,Sales!D:D)</f>
        <v>0.2</v>
      </c>
      <c r="T570">
        <f>_xlfn.XLOOKUP(Table3[[#This Row],[Product Name]],Sales!A:A,Sales!E:E)</f>
        <v>2.0358000000000001</v>
      </c>
    </row>
    <row r="571" spans="1:20" x14ac:dyDescent="0.3">
      <c r="A571">
        <v>566</v>
      </c>
      <c r="B571" t="s">
        <v>1523</v>
      </c>
      <c r="C571">
        <v>7</v>
      </c>
      <c r="D571">
        <v>12</v>
      </c>
      <c r="E571">
        <v>2021</v>
      </c>
      <c r="F571" t="s">
        <v>142</v>
      </c>
      <c r="G571" t="s">
        <v>1524</v>
      </c>
      <c r="H571" t="s">
        <v>2834</v>
      </c>
      <c r="I571" t="s">
        <v>19</v>
      </c>
      <c r="J571" t="s">
        <v>2415</v>
      </c>
      <c r="K571" t="s">
        <v>31</v>
      </c>
      <c r="L571">
        <v>90008</v>
      </c>
      <c r="M571" t="s">
        <v>1525</v>
      </c>
      <c r="N571" t="s">
        <v>54</v>
      </c>
      <c r="O571" t="s">
        <v>55</v>
      </c>
      <c r="P571" t="s">
        <v>1526</v>
      </c>
      <c r="Q571">
        <f>_xlfn.XLOOKUP(Table3[[#This Row],[Product Name]],Sales!A:A,Sales!B:B)</f>
        <v>374.37599999999998</v>
      </c>
      <c r="R571">
        <f>_xlfn.XLOOKUP(Table3[[#This Row],[Product Name]],Sales!A:A,Sales!C:C)</f>
        <v>3</v>
      </c>
      <c r="S571">
        <f>_xlfn.XLOOKUP(Table3[[#This Row],[Product Name]],Sales!A:A,Sales!D:D)</f>
        <v>0.2</v>
      </c>
      <c r="T571">
        <f>_xlfn.XLOOKUP(Table3[[#This Row],[Product Name]],Sales!A:A,Sales!E:E)</f>
        <v>46.796999999999997</v>
      </c>
    </row>
    <row r="572" spans="1:20" x14ac:dyDescent="0.3">
      <c r="A572">
        <v>567</v>
      </c>
      <c r="B572" t="s">
        <v>1527</v>
      </c>
      <c r="C572">
        <v>1</v>
      </c>
      <c r="D572">
        <v>10</v>
      </c>
      <c r="E572">
        <v>2021</v>
      </c>
      <c r="F572" t="s">
        <v>37</v>
      </c>
      <c r="G572" t="s">
        <v>1528</v>
      </c>
      <c r="H572" t="s">
        <v>2835</v>
      </c>
      <c r="I572" t="s">
        <v>30</v>
      </c>
      <c r="J572" t="s">
        <v>2418</v>
      </c>
      <c r="K572" t="s">
        <v>31</v>
      </c>
      <c r="L572">
        <v>98105</v>
      </c>
      <c r="M572" t="s">
        <v>1529</v>
      </c>
      <c r="N572" t="s">
        <v>33</v>
      </c>
      <c r="O572" t="s">
        <v>70</v>
      </c>
      <c r="P572" t="s">
        <v>1530</v>
      </c>
      <c r="Q572">
        <f>_xlfn.XLOOKUP(Table3[[#This Row],[Product Name]],Sales!A:A,Sales!B:B)</f>
        <v>91.84</v>
      </c>
      <c r="R572">
        <f>_xlfn.XLOOKUP(Table3[[#This Row],[Product Name]],Sales!A:A,Sales!C:C)</f>
        <v>8</v>
      </c>
      <c r="S572">
        <f>_xlfn.XLOOKUP(Table3[[#This Row],[Product Name]],Sales!A:A,Sales!D:D)</f>
        <v>0</v>
      </c>
      <c r="T572">
        <f>_xlfn.XLOOKUP(Table3[[#This Row],[Product Name]],Sales!A:A,Sales!E:E)</f>
        <v>45.001600000000003</v>
      </c>
    </row>
    <row r="573" spans="1:20" x14ac:dyDescent="0.3">
      <c r="A573">
        <v>568</v>
      </c>
      <c r="B573" t="s">
        <v>1527</v>
      </c>
      <c r="C573">
        <v>1</v>
      </c>
      <c r="D573">
        <v>10</v>
      </c>
      <c r="E573">
        <v>2021</v>
      </c>
      <c r="F573" t="s">
        <v>37</v>
      </c>
      <c r="G573" t="s">
        <v>1528</v>
      </c>
      <c r="H573" t="s">
        <v>2835</v>
      </c>
      <c r="I573" t="s">
        <v>30</v>
      </c>
      <c r="J573" t="s">
        <v>2418</v>
      </c>
      <c r="K573" t="s">
        <v>31</v>
      </c>
      <c r="L573">
        <v>98105</v>
      </c>
      <c r="M573" t="s">
        <v>1531</v>
      </c>
      <c r="N573" t="s">
        <v>33</v>
      </c>
      <c r="O573" t="s">
        <v>58</v>
      </c>
      <c r="P573" t="s">
        <v>1532</v>
      </c>
      <c r="Q573">
        <f>_xlfn.XLOOKUP(Table3[[#This Row],[Product Name]],Sales!A:A,Sales!B:B)</f>
        <v>81.087999999999994</v>
      </c>
      <c r="R573">
        <f>_xlfn.XLOOKUP(Table3[[#This Row],[Product Name]],Sales!A:A,Sales!C:C)</f>
        <v>7</v>
      </c>
      <c r="S573">
        <f>_xlfn.XLOOKUP(Table3[[#This Row],[Product Name]],Sales!A:A,Sales!D:D)</f>
        <v>0.2</v>
      </c>
      <c r="T573">
        <f>_xlfn.XLOOKUP(Table3[[#This Row],[Product Name]],Sales!A:A,Sales!E:E)</f>
        <v>27.3672</v>
      </c>
    </row>
    <row r="574" spans="1:20" x14ac:dyDescent="0.3">
      <c r="A574">
        <v>569</v>
      </c>
      <c r="B574" t="s">
        <v>1527</v>
      </c>
      <c r="C574">
        <v>1</v>
      </c>
      <c r="D574">
        <v>10</v>
      </c>
      <c r="E574">
        <v>2021</v>
      </c>
      <c r="F574" t="s">
        <v>37</v>
      </c>
      <c r="G574" t="s">
        <v>1528</v>
      </c>
      <c r="H574" t="s">
        <v>2835</v>
      </c>
      <c r="I574" t="s">
        <v>30</v>
      </c>
      <c r="J574" t="s">
        <v>2418</v>
      </c>
      <c r="K574" t="s">
        <v>31</v>
      </c>
      <c r="L574">
        <v>98105</v>
      </c>
      <c r="M574" t="s">
        <v>1533</v>
      </c>
      <c r="N574" t="s">
        <v>33</v>
      </c>
      <c r="O574" t="s">
        <v>70</v>
      </c>
      <c r="P574" t="s">
        <v>1534</v>
      </c>
      <c r="Q574">
        <f>_xlfn.XLOOKUP(Table3[[#This Row],[Product Name]],Sales!A:A,Sales!B:B)</f>
        <v>19.440000000000001</v>
      </c>
      <c r="R574">
        <f>_xlfn.XLOOKUP(Table3[[#This Row],[Product Name]],Sales!A:A,Sales!C:C)</f>
        <v>3</v>
      </c>
      <c r="S574">
        <f>_xlfn.XLOOKUP(Table3[[#This Row],[Product Name]],Sales!A:A,Sales!D:D)</f>
        <v>0</v>
      </c>
      <c r="T574">
        <f>_xlfn.XLOOKUP(Table3[[#This Row],[Product Name]],Sales!A:A,Sales!E:E)</f>
        <v>9.3312000000000008</v>
      </c>
    </row>
    <row r="575" spans="1:20" x14ac:dyDescent="0.3">
      <c r="A575">
        <v>570</v>
      </c>
      <c r="B575" t="s">
        <v>1527</v>
      </c>
      <c r="C575">
        <v>1</v>
      </c>
      <c r="D575">
        <v>10</v>
      </c>
      <c r="E575">
        <v>2021</v>
      </c>
      <c r="F575" t="s">
        <v>37</v>
      </c>
      <c r="G575" t="s">
        <v>1528</v>
      </c>
      <c r="H575" t="s">
        <v>2835</v>
      </c>
      <c r="I575" t="s">
        <v>30</v>
      </c>
      <c r="J575" t="s">
        <v>2418</v>
      </c>
      <c r="K575" t="s">
        <v>31</v>
      </c>
      <c r="L575">
        <v>98105</v>
      </c>
      <c r="M575" t="s">
        <v>1535</v>
      </c>
      <c r="N575" t="s">
        <v>22</v>
      </c>
      <c r="O575" t="s">
        <v>26</v>
      </c>
      <c r="P575" t="s">
        <v>1536</v>
      </c>
      <c r="Q575">
        <f>_xlfn.XLOOKUP(Table3[[#This Row],[Product Name]],Sales!A:A,Sales!B:B)</f>
        <v>451.15199999999999</v>
      </c>
      <c r="R575">
        <f>_xlfn.XLOOKUP(Table3[[#This Row],[Product Name]],Sales!A:A,Sales!C:C)</f>
        <v>3</v>
      </c>
      <c r="S575">
        <f>_xlfn.XLOOKUP(Table3[[#This Row],[Product Name]],Sales!A:A,Sales!D:D)</f>
        <v>0.2</v>
      </c>
      <c r="T575">
        <f>_xlfn.XLOOKUP(Table3[[#This Row],[Product Name]],Sales!A:A,Sales!E:E)</f>
        <v>0</v>
      </c>
    </row>
    <row r="576" spans="1:20" x14ac:dyDescent="0.3">
      <c r="A576">
        <v>571</v>
      </c>
      <c r="B576" t="s">
        <v>1537</v>
      </c>
      <c r="C576">
        <v>28</v>
      </c>
      <c r="D576">
        <v>12</v>
      </c>
      <c r="E576">
        <v>2021</v>
      </c>
      <c r="F576" t="s">
        <v>37</v>
      </c>
      <c r="G576" t="s">
        <v>1538</v>
      </c>
      <c r="H576" t="s">
        <v>2836</v>
      </c>
      <c r="I576" t="s">
        <v>19</v>
      </c>
      <c r="J576" t="s">
        <v>2434</v>
      </c>
      <c r="K576" t="s">
        <v>108</v>
      </c>
      <c r="L576">
        <v>10024</v>
      </c>
      <c r="M576" t="s">
        <v>1503</v>
      </c>
      <c r="N576" t="s">
        <v>33</v>
      </c>
      <c r="O576" t="s">
        <v>34</v>
      </c>
      <c r="P576" t="s">
        <v>1504</v>
      </c>
      <c r="Q576">
        <f>_xlfn.XLOOKUP(Table3[[#This Row],[Product Name]],Sales!A:A,Sales!B:B)</f>
        <v>20.7</v>
      </c>
      <c r="R576">
        <f>_xlfn.XLOOKUP(Table3[[#This Row],[Product Name]],Sales!A:A,Sales!C:C)</f>
        <v>2</v>
      </c>
      <c r="S576">
        <f>_xlfn.XLOOKUP(Table3[[#This Row],[Product Name]],Sales!A:A,Sales!D:D)</f>
        <v>0</v>
      </c>
      <c r="T576">
        <f>_xlfn.XLOOKUP(Table3[[#This Row],[Product Name]],Sales!A:A,Sales!E:E)</f>
        <v>9.9359999999999999</v>
      </c>
    </row>
    <row r="577" spans="1:20" x14ac:dyDescent="0.3">
      <c r="A577">
        <v>572</v>
      </c>
      <c r="B577" t="s">
        <v>1537</v>
      </c>
      <c r="C577">
        <v>28</v>
      </c>
      <c r="D577">
        <v>12</v>
      </c>
      <c r="E577">
        <v>2021</v>
      </c>
      <c r="F577" t="s">
        <v>37</v>
      </c>
      <c r="G577" t="s">
        <v>1538</v>
      </c>
      <c r="H577" t="s">
        <v>2836</v>
      </c>
      <c r="I577" t="s">
        <v>19</v>
      </c>
      <c r="J577" t="s">
        <v>2434</v>
      </c>
      <c r="K577" t="s">
        <v>108</v>
      </c>
      <c r="L577">
        <v>10024</v>
      </c>
      <c r="M577" t="s">
        <v>659</v>
      </c>
      <c r="N577" t="s">
        <v>33</v>
      </c>
      <c r="O577" t="s">
        <v>199</v>
      </c>
      <c r="P577" t="s">
        <v>660</v>
      </c>
      <c r="Q577">
        <f>_xlfn.XLOOKUP(Table3[[#This Row],[Product Name]],Sales!A:A,Sales!B:B)</f>
        <v>5.5839999999999996</v>
      </c>
      <c r="R577">
        <f>_xlfn.XLOOKUP(Table3[[#This Row],[Product Name]],Sales!A:A,Sales!C:C)</f>
        <v>2</v>
      </c>
      <c r="S577">
        <f>_xlfn.XLOOKUP(Table3[[#This Row],[Product Name]],Sales!A:A,Sales!D:D)</f>
        <v>0.2</v>
      </c>
      <c r="T577">
        <f>_xlfn.XLOOKUP(Table3[[#This Row],[Product Name]],Sales!A:A,Sales!E:E)</f>
        <v>1.8148</v>
      </c>
    </row>
    <row r="578" spans="1:20" x14ac:dyDescent="0.3">
      <c r="A578">
        <v>573</v>
      </c>
      <c r="B578" t="s">
        <v>1537</v>
      </c>
      <c r="C578">
        <v>28</v>
      </c>
      <c r="D578">
        <v>12</v>
      </c>
      <c r="E578">
        <v>2021</v>
      </c>
      <c r="F578" t="s">
        <v>37</v>
      </c>
      <c r="G578" t="s">
        <v>1538</v>
      </c>
      <c r="H578" t="s">
        <v>2836</v>
      </c>
      <c r="I578" t="s">
        <v>19</v>
      </c>
      <c r="J578" t="s">
        <v>2434</v>
      </c>
      <c r="K578" t="s">
        <v>108</v>
      </c>
      <c r="L578">
        <v>10024</v>
      </c>
      <c r="M578" t="s">
        <v>946</v>
      </c>
      <c r="N578" t="s">
        <v>33</v>
      </c>
      <c r="O578" t="s">
        <v>58</v>
      </c>
      <c r="P578" t="s">
        <v>947</v>
      </c>
      <c r="Q578">
        <f>_xlfn.XLOOKUP(Table3[[#This Row],[Product Name]],Sales!A:A,Sales!B:B)</f>
        <v>4.7519999999999998</v>
      </c>
      <c r="R578">
        <f>_xlfn.XLOOKUP(Table3[[#This Row],[Product Name]],Sales!A:A,Sales!C:C)</f>
        <v>1</v>
      </c>
      <c r="S578">
        <f>_xlfn.XLOOKUP(Table3[[#This Row],[Product Name]],Sales!A:A,Sales!D:D)</f>
        <v>0.2</v>
      </c>
      <c r="T578">
        <f>_xlfn.XLOOKUP(Table3[[#This Row],[Product Name]],Sales!A:A,Sales!E:E)</f>
        <v>1.6037999999999999</v>
      </c>
    </row>
    <row r="579" spans="1:20" x14ac:dyDescent="0.3">
      <c r="A579">
        <v>574</v>
      </c>
      <c r="B579" t="s">
        <v>1537</v>
      </c>
      <c r="C579">
        <v>28</v>
      </c>
      <c r="D579">
        <v>12</v>
      </c>
      <c r="E579">
        <v>2021</v>
      </c>
      <c r="F579" t="s">
        <v>37</v>
      </c>
      <c r="G579" t="s">
        <v>1538</v>
      </c>
      <c r="H579" t="s">
        <v>2836</v>
      </c>
      <c r="I579" t="s">
        <v>19</v>
      </c>
      <c r="J579" t="s">
        <v>2434</v>
      </c>
      <c r="K579" t="s">
        <v>108</v>
      </c>
      <c r="L579">
        <v>10024</v>
      </c>
      <c r="M579" t="s">
        <v>1539</v>
      </c>
      <c r="N579" t="s">
        <v>54</v>
      </c>
      <c r="O579" t="s">
        <v>55</v>
      </c>
      <c r="P579" t="s">
        <v>1540</v>
      </c>
      <c r="Q579">
        <f>_xlfn.XLOOKUP(Table3[[#This Row],[Product Name]],Sales!A:A,Sales!B:B)</f>
        <v>14.85</v>
      </c>
      <c r="R579">
        <f>_xlfn.XLOOKUP(Table3[[#This Row],[Product Name]],Sales!A:A,Sales!C:C)</f>
        <v>3</v>
      </c>
      <c r="S579">
        <f>_xlfn.XLOOKUP(Table3[[#This Row],[Product Name]],Sales!A:A,Sales!D:D)</f>
        <v>0</v>
      </c>
      <c r="T579">
        <f>_xlfn.XLOOKUP(Table3[[#This Row],[Product Name]],Sales!A:A,Sales!E:E)</f>
        <v>4.0095000000000001</v>
      </c>
    </row>
    <row r="580" spans="1:20" x14ac:dyDescent="0.3">
      <c r="A580">
        <v>575</v>
      </c>
      <c r="B580" t="s">
        <v>1541</v>
      </c>
      <c r="C580">
        <v>3</v>
      </c>
      <c r="D580">
        <v>11</v>
      </c>
      <c r="E580">
        <v>2020</v>
      </c>
      <c r="F580" t="s">
        <v>37</v>
      </c>
      <c r="G580" t="s">
        <v>1542</v>
      </c>
      <c r="H580" t="s">
        <v>2837</v>
      </c>
      <c r="I580" t="s">
        <v>19</v>
      </c>
      <c r="J580" t="s">
        <v>2552</v>
      </c>
      <c r="K580" t="s">
        <v>31</v>
      </c>
      <c r="L580">
        <v>98270</v>
      </c>
      <c r="M580" t="s">
        <v>1543</v>
      </c>
      <c r="N580" t="s">
        <v>33</v>
      </c>
      <c r="O580" t="s">
        <v>51</v>
      </c>
      <c r="P580" t="s">
        <v>1544</v>
      </c>
      <c r="Q580">
        <f>_xlfn.XLOOKUP(Table3[[#This Row],[Product Name]],Sales!A:A,Sales!B:B)</f>
        <v>8.82</v>
      </c>
      <c r="R580">
        <f>_xlfn.XLOOKUP(Table3[[#This Row],[Product Name]],Sales!A:A,Sales!C:C)</f>
        <v>3</v>
      </c>
      <c r="S580">
        <f>_xlfn.XLOOKUP(Table3[[#This Row],[Product Name]],Sales!A:A,Sales!D:D)</f>
        <v>0</v>
      </c>
      <c r="T580">
        <f>_xlfn.XLOOKUP(Table3[[#This Row],[Product Name]],Sales!A:A,Sales!E:E)</f>
        <v>2.3814000000000002</v>
      </c>
    </row>
    <row r="581" spans="1:20" x14ac:dyDescent="0.3">
      <c r="A581">
        <v>576</v>
      </c>
      <c r="B581" t="s">
        <v>1545</v>
      </c>
      <c r="C581">
        <v>18</v>
      </c>
      <c r="D581">
        <v>9</v>
      </c>
      <c r="E581">
        <v>2019</v>
      </c>
      <c r="F581" t="s">
        <v>17</v>
      </c>
      <c r="G581" t="s">
        <v>1546</v>
      </c>
      <c r="H581" t="s">
        <v>2838</v>
      </c>
      <c r="I581" t="s">
        <v>19</v>
      </c>
      <c r="J581" t="s">
        <v>2503</v>
      </c>
      <c r="K581" t="s">
        <v>31</v>
      </c>
      <c r="L581">
        <v>90805</v>
      </c>
      <c r="M581" t="s">
        <v>1529</v>
      </c>
      <c r="N581" t="s">
        <v>33</v>
      </c>
      <c r="O581" t="s">
        <v>70</v>
      </c>
      <c r="P581" t="s">
        <v>1530</v>
      </c>
      <c r="Q581">
        <f>_xlfn.XLOOKUP(Table3[[#This Row],[Product Name]],Sales!A:A,Sales!B:B)</f>
        <v>91.84</v>
      </c>
      <c r="R581">
        <f>_xlfn.XLOOKUP(Table3[[#This Row],[Product Name]],Sales!A:A,Sales!C:C)</f>
        <v>8</v>
      </c>
      <c r="S581">
        <f>_xlfn.XLOOKUP(Table3[[#This Row],[Product Name]],Sales!A:A,Sales!D:D)</f>
        <v>0</v>
      </c>
      <c r="T581">
        <f>_xlfn.XLOOKUP(Table3[[#This Row],[Product Name]],Sales!A:A,Sales!E:E)</f>
        <v>45.001600000000003</v>
      </c>
    </row>
    <row r="582" spans="1:20" x14ac:dyDescent="0.3">
      <c r="A582">
        <v>577</v>
      </c>
      <c r="B582" t="s">
        <v>1545</v>
      </c>
      <c r="C582">
        <v>18</v>
      </c>
      <c r="D582">
        <v>9</v>
      </c>
      <c r="E582">
        <v>2019</v>
      </c>
      <c r="F582" t="s">
        <v>17</v>
      </c>
      <c r="G582" t="s">
        <v>1546</v>
      </c>
      <c r="H582" t="s">
        <v>2838</v>
      </c>
      <c r="I582" t="s">
        <v>19</v>
      </c>
      <c r="J582" t="s">
        <v>2503</v>
      </c>
      <c r="K582" t="s">
        <v>31</v>
      </c>
      <c r="L582">
        <v>90805</v>
      </c>
      <c r="M582" t="s">
        <v>1547</v>
      </c>
      <c r="N582" t="s">
        <v>33</v>
      </c>
      <c r="O582" t="s">
        <v>70</v>
      </c>
      <c r="P582" t="s">
        <v>1548</v>
      </c>
      <c r="Q582">
        <f>_xlfn.XLOOKUP(Table3[[#This Row],[Product Name]],Sales!A:A,Sales!B:B)</f>
        <v>19.920000000000002</v>
      </c>
      <c r="R582">
        <f>_xlfn.XLOOKUP(Table3[[#This Row],[Product Name]],Sales!A:A,Sales!C:C)</f>
        <v>4</v>
      </c>
      <c r="S582">
        <f>_xlfn.XLOOKUP(Table3[[#This Row],[Product Name]],Sales!A:A,Sales!D:D)</f>
        <v>0</v>
      </c>
      <c r="T582">
        <f>_xlfn.XLOOKUP(Table3[[#This Row],[Product Name]],Sales!A:A,Sales!E:E)</f>
        <v>9.7607999999999997</v>
      </c>
    </row>
    <row r="583" spans="1:20" x14ac:dyDescent="0.3">
      <c r="A583">
        <v>578</v>
      </c>
      <c r="B583" t="s">
        <v>1545</v>
      </c>
      <c r="C583">
        <v>18</v>
      </c>
      <c r="D583">
        <v>9</v>
      </c>
      <c r="E583">
        <v>2019</v>
      </c>
      <c r="F583" t="s">
        <v>17</v>
      </c>
      <c r="G583" t="s">
        <v>1546</v>
      </c>
      <c r="H583" t="s">
        <v>2838</v>
      </c>
      <c r="I583" t="s">
        <v>19</v>
      </c>
      <c r="J583" t="s">
        <v>2503</v>
      </c>
      <c r="K583" t="s">
        <v>31</v>
      </c>
      <c r="L583">
        <v>90805</v>
      </c>
      <c r="M583" t="s">
        <v>1549</v>
      </c>
      <c r="N583" t="s">
        <v>33</v>
      </c>
      <c r="O583" t="s">
        <v>438</v>
      </c>
      <c r="P583" t="s">
        <v>1550</v>
      </c>
      <c r="Q583">
        <f>_xlfn.XLOOKUP(Table3[[#This Row],[Product Name]],Sales!A:A,Sales!B:B)</f>
        <v>7.3</v>
      </c>
      <c r="R583">
        <f>_xlfn.XLOOKUP(Table3[[#This Row],[Product Name]],Sales!A:A,Sales!C:C)</f>
        <v>2</v>
      </c>
      <c r="S583">
        <f>_xlfn.XLOOKUP(Table3[[#This Row],[Product Name]],Sales!A:A,Sales!D:D)</f>
        <v>0</v>
      </c>
      <c r="T583">
        <f>_xlfn.XLOOKUP(Table3[[#This Row],[Product Name]],Sales!A:A,Sales!E:E)</f>
        <v>2.19</v>
      </c>
    </row>
    <row r="584" spans="1:20" x14ac:dyDescent="0.3">
      <c r="A584">
        <v>579</v>
      </c>
      <c r="B584" t="s">
        <v>1551</v>
      </c>
      <c r="C584">
        <v>20</v>
      </c>
      <c r="D584">
        <v>7</v>
      </c>
      <c r="E584">
        <v>2021</v>
      </c>
      <c r="F584" t="s">
        <v>37</v>
      </c>
      <c r="G584" t="s">
        <v>1552</v>
      </c>
      <c r="H584" t="s">
        <v>2839</v>
      </c>
      <c r="I584" t="s">
        <v>19</v>
      </c>
      <c r="J584" t="s">
        <v>2436</v>
      </c>
      <c r="K584" t="s">
        <v>79</v>
      </c>
      <c r="L584">
        <v>60610</v>
      </c>
      <c r="M584" t="s">
        <v>410</v>
      </c>
      <c r="N584" t="s">
        <v>33</v>
      </c>
      <c r="O584" t="s">
        <v>43</v>
      </c>
      <c r="P584" t="s">
        <v>411</v>
      </c>
      <c r="Q584">
        <f>_xlfn.XLOOKUP(Table3[[#This Row],[Product Name]],Sales!A:A,Sales!B:B)</f>
        <v>243.99199999999999</v>
      </c>
      <c r="R584">
        <f>_xlfn.XLOOKUP(Table3[[#This Row],[Product Name]],Sales!A:A,Sales!C:C)</f>
        <v>7</v>
      </c>
      <c r="S584">
        <f>_xlfn.XLOOKUP(Table3[[#This Row],[Product Name]],Sales!A:A,Sales!D:D)</f>
        <v>0.2</v>
      </c>
      <c r="T584">
        <f>_xlfn.XLOOKUP(Table3[[#This Row],[Product Name]],Sales!A:A,Sales!E:E)</f>
        <v>30.498999999999999</v>
      </c>
    </row>
    <row r="585" spans="1:20" x14ac:dyDescent="0.3">
      <c r="A585">
        <v>580</v>
      </c>
      <c r="B585" t="s">
        <v>1551</v>
      </c>
      <c r="C585">
        <v>20</v>
      </c>
      <c r="D585">
        <v>7</v>
      </c>
      <c r="E585">
        <v>2021</v>
      </c>
      <c r="F585" t="s">
        <v>37</v>
      </c>
      <c r="G585" t="s">
        <v>1552</v>
      </c>
      <c r="H585" t="s">
        <v>2839</v>
      </c>
      <c r="I585" t="s">
        <v>19</v>
      </c>
      <c r="J585" t="s">
        <v>2436</v>
      </c>
      <c r="K585" t="s">
        <v>79</v>
      </c>
      <c r="L585">
        <v>60610</v>
      </c>
      <c r="M585" t="s">
        <v>1553</v>
      </c>
      <c r="N585" t="s">
        <v>22</v>
      </c>
      <c r="O585" t="s">
        <v>48</v>
      </c>
      <c r="P585" t="s">
        <v>1554</v>
      </c>
      <c r="Q585">
        <f>_xlfn.XLOOKUP(Table3[[#This Row],[Product Name]],Sales!A:A,Sales!B:B)</f>
        <v>8.7919999999999998</v>
      </c>
      <c r="R585">
        <f>_xlfn.XLOOKUP(Table3[[#This Row],[Product Name]],Sales!A:A,Sales!C:C)</f>
        <v>1</v>
      </c>
      <c r="S585">
        <f>_xlfn.XLOOKUP(Table3[[#This Row],[Product Name]],Sales!A:A,Sales!D:D)</f>
        <v>0.6</v>
      </c>
      <c r="T585">
        <f>_xlfn.XLOOKUP(Table3[[#This Row],[Product Name]],Sales!A:A,Sales!E:E)</f>
        <v>-5.7148000000000003</v>
      </c>
    </row>
    <row r="586" spans="1:20" x14ac:dyDescent="0.3">
      <c r="A586">
        <v>581</v>
      </c>
      <c r="B586" t="s">
        <v>1555</v>
      </c>
      <c r="C586">
        <v>10</v>
      </c>
      <c r="D586">
        <v>9</v>
      </c>
      <c r="E586">
        <v>2019</v>
      </c>
      <c r="F586" t="s">
        <v>37</v>
      </c>
      <c r="G586" t="s">
        <v>1556</v>
      </c>
      <c r="H586" t="s">
        <v>2840</v>
      </c>
      <c r="I586" t="s">
        <v>19</v>
      </c>
      <c r="J586" t="s">
        <v>2415</v>
      </c>
      <c r="K586" t="s">
        <v>31</v>
      </c>
      <c r="L586">
        <v>90004</v>
      </c>
      <c r="M586" t="s">
        <v>1557</v>
      </c>
      <c r="N586" t="s">
        <v>33</v>
      </c>
      <c r="O586" t="s">
        <v>438</v>
      </c>
      <c r="P586" t="s">
        <v>1558</v>
      </c>
      <c r="Q586">
        <f>_xlfn.XLOOKUP(Table3[[#This Row],[Product Name]],Sales!A:A,Sales!B:B)</f>
        <v>51.52</v>
      </c>
      <c r="R586">
        <f>_xlfn.XLOOKUP(Table3[[#This Row],[Product Name]],Sales!A:A,Sales!C:C)</f>
        <v>4</v>
      </c>
      <c r="S586">
        <f>_xlfn.XLOOKUP(Table3[[#This Row],[Product Name]],Sales!A:A,Sales!D:D)</f>
        <v>0</v>
      </c>
      <c r="T586">
        <f>_xlfn.XLOOKUP(Table3[[#This Row],[Product Name]],Sales!A:A,Sales!E:E)</f>
        <v>1.5456000000000001</v>
      </c>
    </row>
    <row r="587" spans="1:20" x14ac:dyDescent="0.3">
      <c r="A587">
        <v>582</v>
      </c>
      <c r="B587" t="s">
        <v>1559</v>
      </c>
      <c r="C587">
        <v>1</v>
      </c>
      <c r="D587">
        <v>12</v>
      </c>
      <c r="E587">
        <v>2021</v>
      </c>
      <c r="F587" t="s">
        <v>37</v>
      </c>
      <c r="G587" t="s">
        <v>1560</v>
      </c>
      <c r="H587" t="s">
        <v>2841</v>
      </c>
      <c r="I587" t="s">
        <v>19</v>
      </c>
      <c r="J587" t="s">
        <v>2475</v>
      </c>
      <c r="K587" t="s">
        <v>31</v>
      </c>
      <c r="L587">
        <v>80219</v>
      </c>
      <c r="M587" t="s">
        <v>144</v>
      </c>
      <c r="N587" t="s">
        <v>54</v>
      </c>
      <c r="O587" t="s">
        <v>55</v>
      </c>
      <c r="P587" t="s">
        <v>145</v>
      </c>
      <c r="Q587">
        <f>_xlfn.XLOOKUP(Table3[[#This Row],[Product Name]],Sales!A:A,Sales!B:B)</f>
        <v>1097.5440000000001</v>
      </c>
      <c r="R587">
        <f>_xlfn.XLOOKUP(Table3[[#This Row],[Product Name]],Sales!A:A,Sales!C:C)</f>
        <v>7</v>
      </c>
      <c r="S587">
        <f>_xlfn.XLOOKUP(Table3[[#This Row],[Product Name]],Sales!A:A,Sales!D:D)</f>
        <v>0.2</v>
      </c>
      <c r="T587">
        <f>_xlfn.XLOOKUP(Table3[[#This Row],[Product Name]],Sales!A:A,Sales!E:E)</f>
        <v>123.47369999999999</v>
      </c>
    </row>
    <row r="588" spans="1:20" x14ac:dyDescent="0.3">
      <c r="A588">
        <v>583</v>
      </c>
      <c r="B588" t="s">
        <v>1559</v>
      </c>
      <c r="C588">
        <v>1</v>
      </c>
      <c r="D588">
        <v>12</v>
      </c>
      <c r="E588">
        <v>2021</v>
      </c>
      <c r="F588" t="s">
        <v>37</v>
      </c>
      <c r="G588" t="s">
        <v>1560</v>
      </c>
      <c r="H588" t="s">
        <v>2841</v>
      </c>
      <c r="I588" t="s">
        <v>19</v>
      </c>
      <c r="J588" t="s">
        <v>2475</v>
      </c>
      <c r="K588" t="s">
        <v>31</v>
      </c>
      <c r="L588">
        <v>80219</v>
      </c>
      <c r="M588" t="s">
        <v>1561</v>
      </c>
      <c r="N588" t="s">
        <v>54</v>
      </c>
      <c r="O588" t="s">
        <v>55</v>
      </c>
      <c r="P588" t="s">
        <v>1562</v>
      </c>
      <c r="Q588">
        <f>_xlfn.XLOOKUP(Table3[[#This Row],[Product Name]],Sales!A:A,Sales!B:B)</f>
        <v>105.584</v>
      </c>
      <c r="R588">
        <f>_xlfn.XLOOKUP(Table3[[#This Row],[Product Name]],Sales!A:A,Sales!C:C)</f>
        <v>2</v>
      </c>
      <c r="S588">
        <f>_xlfn.XLOOKUP(Table3[[#This Row],[Product Name]],Sales!A:A,Sales!D:D)</f>
        <v>0.2</v>
      </c>
      <c r="T588">
        <f>_xlfn.XLOOKUP(Table3[[#This Row],[Product Name]],Sales!A:A,Sales!E:E)</f>
        <v>9.2385999999999999</v>
      </c>
    </row>
    <row r="589" spans="1:20" x14ac:dyDescent="0.3">
      <c r="A589">
        <v>584</v>
      </c>
      <c r="B589" t="s">
        <v>1559</v>
      </c>
      <c r="C589">
        <v>1</v>
      </c>
      <c r="D589">
        <v>12</v>
      </c>
      <c r="E589">
        <v>2021</v>
      </c>
      <c r="F589" t="s">
        <v>37</v>
      </c>
      <c r="G589" t="s">
        <v>1560</v>
      </c>
      <c r="H589" t="s">
        <v>2841</v>
      </c>
      <c r="I589" t="s">
        <v>19</v>
      </c>
      <c r="J589" t="s">
        <v>2475</v>
      </c>
      <c r="K589" t="s">
        <v>31</v>
      </c>
      <c r="L589">
        <v>80219</v>
      </c>
      <c r="M589" t="s">
        <v>327</v>
      </c>
      <c r="N589" t="s">
        <v>33</v>
      </c>
      <c r="O589" t="s">
        <v>61</v>
      </c>
      <c r="P589" t="s">
        <v>328</v>
      </c>
      <c r="Q589">
        <f>_xlfn.XLOOKUP(Table3[[#This Row],[Product Name]],Sales!A:A,Sales!B:B)</f>
        <v>77.88</v>
      </c>
      <c r="R589">
        <f>_xlfn.XLOOKUP(Table3[[#This Row],[Product Name]],Sales!A:A,Sales!C:C)</f>
        <v>6</v>
      </c>
      <c r="S589">
        <f>_xlfn.XLOOKUP(Table3[[#This Row],[Product Name]],Sales!A:A,Sales!D:D)</f>
        <v>0</v>
      </c>
      <c r="T589">
        <f>_xlfn.XLOOKUP(Table3[[#This Row],[Product Name]],Sales!A:A,Sales!E:E)</f>
        <v>22.5852</v>
      </c>
    </row>
    <row r="590" spans="1:20" x14ac:dyDescent="0.3">
      <c r="A590">
        <v>585</v>
      </c>
      <c r="B590" t="s">
        <v>1559</v>
      </c>
      <c r="C590">
        <v>1</v>
      </c>
      <c r="D590">
        <v>12</v>
      </c>
      <c r="E590">
        <v>2021</v>
      </c>
      <c r="F590" t="s">
        <v>37</v>
      </c>
      <c r="G590" t="s">
        <v>1560</v>
      </c>
      <c r="H590" t="s">
        <v>2841</v>
      </c>
      <c r="I590" t="s">
        <v>19</v>
      </c>
      <c r="J590" t="s">
        <v>2475</v>
      </c>
      <c r="K590" t="s">
        <v>31</v>
      </c>
      <c r="L590">
        <v>80219</v>
      </c>
      <c r="M590" t="s">
        <v>1563</v>
      </c>
      <c r="N590" t="s">
        <v>33</v>
      </c>
      <c r="O590" t="s">
        <v>58</v>
      </c>
      <c r="P590" t="s">
        <v>1564</v>
      </c>
      <c r="Q590">
        <f>_xlfn.XLOOKUP(Table3[[#This Row],[Product Name]],Sales!A:A,Sales!B:B)</f>
        <v>6.7830000000000004</v>
      </c>
      <c r="R590">
        <f>_xlfn.XLOOKUP(Table3[[#This Row],[Product Name]],Sales!A:A,Sales!C:C)</f>
        <v>7</v>
      </c>
      <c r="S590">
        <f>_xlfn.XLOOKUP(Table3[[#This Row],[Product Name]],Sales!A:A,Sales!D:D)</f>
        <v>0.7</v>
      </c>
      <c r="T590">
        <f>_xlfn.XLOOKUP(Table3[[#This Row],[Product Name]],Sales!A:A,Sales!E:E)</f>
        <v>-4.7481</v>
      </c>
    </row>
    <row r="591" spans="1:20" x14ac:dyDescent="0.3">
      <c r="A591">
        <v>586</v>
      </c>
      <c r="B591" t="s">
        <v>1559</v>
      </c>
      <c r="C591">
        <v>1</v>
      </c>
      <c r="D591">
        <v>12</v>
      </c>
      <c r="E591">
        <v>2021</v>
      </c>
      <c r="F591" t="s">
        <v>37</v>
      </c>
      <c r="G591" t="s">
        <v>1560</v>
      </c>
      <c r="H591" t="s">
        <v>2841</v>
      </c>
      <c r="I591" t="s">
        <v>19</v>
      </c>
      <c r="J591" t="s">
        <v>2475</v>
      </c>
      <c r="K591" t="s">
        <v>31</v>
      </c>
      <c r="L591">
        <v>80219</v>
      </c>
      <c r="M591" t="s">
        <v>472</v>
      </c>
      <c r="N591" t="s">
        <v>54</v>
      </c>
      <c r="O591" t="s">
        <v>55</v>
      </c>
      <c r="P591" t="s">
        <v>473</v>
      </c>
      <c r="Q591">
        <f>_xlfn.XLOOKUP(Table3[[#This Row],[Product Name]],Sales!A:A,Sales!B:B)</f>
        <v>203.184</v>
      </c>
      <c r="R591">
        <f>_xlfn.XLOOKUP(Table3[[#This Row],[Product Name]],Sales!A:A,Sales!C:C)</f>
        <v>2</v>
      </c>
      <c r="S591">
        <f>_xlfn.XLOOKUP(Table3[[#This Row],[Product Name]],Sales!A:A,Sales!D:D)</f>
        <v>0.2</v>
      </c>
      <c r="T591">
        <f>_xlfn.XLOOKUP(Table3[[#This Row],[Product Name]],Sales!A:A,Sales!E:E)</f>
        <v>15.238799999999999</v>
      </c>
    </row>
    <row r="592" spans="1:20" x14ac:dyDescent="0.3">
      <c r="A592">
        <v>587</v>
      </c>
      <c r="B592" t="s">
        <v>1565</v>
      </c>
      <c r="C592">
        <v>3</v>
      </c>
      <c r="D592">
        <v>7</v>
      </c>
      <c r="E592">
        <v>2019</v>
      </c>
      <c r="F592" t="s">
        <v>37</v>
      </c>
      <c r="G592" t="s">
        <v>1566</v>
      </c>
      <c r="H592" t="s">
        <v>2842</v>
      </c>
      <c r="I592" t="s">
        <v>19</v>
      </c>
      <c r="J592" t="s">
        <v>2523</v>
      </c>
      <c r="K592" t="s">
        <v>20</v>
      </c>
      <c r="L592">
        <v>40475</v>
      </c>
      <c r="M592" t="s">
        <v>1135</v>
      </c>
      <c r="N592" t="s">
        <v>22</v>
      </c>
      <c r="O592" t="s">
        <v>26</v>
      </c>
      <c r="P592" t="s">
        <v>1136</v>
      </c>
      <c r="Q592">
        <f>_xlfn.XLOOKUP(Table3[[#This Row],[Product Name]],Sales!A:A,Sales!B:B)</f>
        <v>113.568</v>
      </c>
      <c r="R592">
        <f>_xlfn.XLOOKUP(Table3[[#This Row],[Product Name]],Sales!A:A,Sales!C:C)</f>
        <v>2</v>
      </c>
      <c r="S592">
        <f>_xlfn.XLOOKUP(Table3[[#This Row],[Product Name]],Sales!A:A,Sales!D:D)</f>
        <v>0.2</v>
      </c>
      <c r="T592">
        <f>_xlfn.XLOOKUP(Table3[[#This Row],[Product Name]],Sales!A:A,Sales!E:E)</f>
        <v>-18.454799999999999</v>
      </c>
    </row>
    <row r="593" spans="1:20" x14ac:dyDescent="0.3">
      <c r="A593">
        <v>588</v>
      </c>
      <c r="B593" t="s">
        <v>1565</v>
      </c>
      <c r="C593">
        <v>3</v>
      </c>
      <c r="D593">
        <v>7</v>
      </c>
      <c r="E593">
        <v>2019</v>
      </c>
      <c r="F593" t="s">
        <v>37</v>
      </c>
      <c r="G593" t="s">
        <v>1566</v>
      </c>
      <c r="H593" t="s">
        <v>2842</v>
      </c>
      <c r="I593" t="s">
        <v>19</v>
      </c>
      <c r="J593" t="s">
        <v>2523</v>
      </c>
      <c r="K593" t="s">
        <v>20</v>
      </c>
      <c r="L593">
        <v>40475</v>
      </c>
      <c r="M593" t="s">
        <v>1567</v>
      </c>
      <c r="N593" t="s">
        <v>33</v>
      </c>
      <c r="O593" t="s">
        <v>34</v>
      </c>
      <c r="P593" t="s">
        <v>1568</v>
      </c>
      <c r="Q593">
        <f>_xlfn.XLOOKUP(Table3[[#This Row],[Product Name]],Sales!A:A,Sales!B:B)</f>
        <v>294.93</v>
      </c>
      <c r="R593">
        <f>_xlfn.XLOOKUP(Table3[[#This Row],[Product Name]],Sales!A:A,Sales!C:C)</f>
        <v>3</v>
      </c>
      <c r="S593">
        <f>_xlfn.XLOOKUP(Table3[[#This Row],[Product Name]],Sales!A:A,Sales!D:D)</f>
        <v>0</v>
      </c>
      <c r="T593">
        <f>_xlfn.XLOOKUP(Table3[[#This Row],[Product Name]],Sales!A:A,Sales!E:E)</f>
        <v>144.51570000000001</v>
      </c>
    </row>
    <row r="594" spans="1:20" x14ac:dyDescent="0.3">
      <c r="A594">
        <v>589</v>
      </c>
      <c r="B594" t="s">
        <v>1569</v>
      </c>
      <c r="C594">
        <v>20</v>
      </c>
      <c r="D594">
        <v>3</v>
      </c>
      <c r="E594">
        <v>2020</v>
      </c>
      <c r="F594" t="s">
        <v>37</v>
      </c>
      <c r="G594" t="s">
        <v>1570</v>
      </c>
      <c r="H594" t="s">
        <v>2843</v>
      </c>
      <c r="I594" t="s">
        <v>19</v>
      </c>
      <c r="J594" t="s">
        <v>2553</v>
      </c>
      <c r="K594" t="s">
        <v>31</v>
      </c>
      <c r="L594">
        <v>97301</v>
      </c>
      <c r="M594" t="s">
        <v>1571</v>
      </c>
      <c r="N594" t="s">
        <v>54</v>
      </c>
      <c r="O594" t="s">
        <v>55</v>
      </c>
      <c r="P594" t="s">
        <v>1572</v>
      </c>
      <c r="Q594">
        <f>_xlfn.XLOOKUP(Table3[[#This Row],[Product Name]],Sales!A:A,Sales!B:B)</f>
        <v>84.784000000000006</v>
      </c>
      <c r="R594">
        <f>_xlfn.XLOOKUP(Table3[[#This Row],[Product Name]],Sales!A:A,Sales!C:C)</f>
        <v>2</v>
      </c>
      <c r="S594">
        <f>_xlfn.XLOOKUP(Table3[[#This Row],[Product Name]],Sales!A:A,Sales!D:D)</f>
        <v>0.2</v>
      </c>
      <c r="T594">
        <f>_xlfn.XLOOKUP(Table3[[#This Row],[Product Name]],Sales!A:A,Sales!E:E)</f>
        <v>-20.136199999999999</v>
      </c>
    </row>
    <row r="595" spans="1:20" x14ac:dyDescent="0.3">
      <c r="A595">
        <v>590</v>
      </c>
      <c r="B595" t="s">
        <v>1569</v>
      </c>
      <c r="C595">
        <v>20</v>
      </c>
      <c r="D595">
        <v>3</v>
      </c>
      <c r="E595">
        <v>2020</v>
      </c>
      <c r="F595" t="s">
        <v>37</v>
      </c>
      <c r="G595" t="s">
        <v>1570</v>
      </c>
      <c r="H595" t="s">
        <v>2843</v>
      </c>
      <c r="I595" t="s">
        <v>19</v>
      </c>
      <c r="J595" t="s">
        <v>2553</v>
      </c>
      <c r="K595" t="s">
        <v>31</v>
      </c>
      <c r="L595">
        <v>97301</v>
      </c>
      <c r="M595" t="s">
        <v>1573</v>
      </c>
      <c r="N595" t="s">
        <v>33</v>
      </c>
      <c r="O595" t="s">
        <v>70</v>
      </c>
      <c r="P595" t="s">
        <v>1574</v>
      </c>
      <c r="Q595">
        <f>_xlfn.XLOOKUP(Table3[[#This Row],[Product Name]],Sales!A:A,Sales!B:B)</f>
        <v>20.736000000000001</v>
      </c>
      <c r="R595">
        <f>_xlfn.XLOOKUP(Table3[[#This Row],[Product Name]],Sales!A:A,Sales!C:C)</f>
        <v>4</v>
      </c>
      <c r="S595">
        <f>_xlfn.XLOOKUP(Table3[[#This Row],[Product Name]],Sales!A:A,Sales!D:D)</f>
        <v>0.2</v>
      </c>
      <c r="T595">
        <f>_xlfn.XLOOKUP(Table3[[#This Row],[Product Name]],Sales!A:A,Sales!E:E)</f>
        <v>7.2576000000000001</v>
      </c>
    </row>
    <row r="596" spans="1:20" x14ac:dyDescent="0.3">
      <c r="A596">
        <v>591</v>
      </c>
      <c r="B596" t="s">
        <v>1569</v>
      </c>
      <c r="C596">
        <v>20</v>
      </c>
      <c r="D596">
        <v>3</v>
      </c>
      <c r="E596">
        <v>2020</v>
      </c>
      <c r="F596" t="s">
        <v>37</v>
      </c>
      <c r="G596" t="s">
        <v>1570</v>
      </c>
      <c r="H596" t="s">
        <v>2843</v>
      </c>
      <c r="I596" t="s">
        <v>19</v>
      </c>
      <c r="J596" t="s">
        <v>2553</v>
      </c>
      <c r="K596" t="s">
        <v>31</v>
      </c>
      <c r="L596">
        <v>97301</v>
      </c>
      <c r="M596" t="s">
        <v>1353</v>
      </c>
      <c r="N596" t="s">
        <v>33</v>
      </c>
      <c r="O596" t="s">
        <v>58</v>
      </c>
      <c r="P596" t="s">
        <v>1354</v>
      </c>
      <c r="Q596">
        <f>_xlfn.XLOOKUP(Table3[[#This Row],[Product Name]],Sales!A:A,Sales!B:B)</f>
        <v>119.616</v>
      </c>
      <c r="R596">
        <f>_xlfn.XLOOKUP(Table3[[#This Row],[Product Name]],Sales!A:A,Sales!C:C)</f>
        <v>8</v>
      </c>
      <c r="S596">
        <f>_xlfn.XLOOKUP(Table3[[#This Row],[Product Name]],Sales!A:A,Sales!D:D)</f>
        <v>0.2</v>
      </c>
      <c r="T596">
        <f>_xlfn.XLOOKUP(Table3[[#This Row],[Product Name]],Sales!A:A,Sales!E:E)</f>
        <v>40.370399999999997</v>
      </c>
    </row>
    <row r="597" spans="1:20" x14ac:dyDescent="0.3">
      <c r="A597">
        <v>592</v>
      </c>
      <c r="B597" t="s">
        <v>1569</v>
      </c>
      <c r="C597">
        <v>20</v>
      </c>
      <c r="D597">
        <v>3</v>
      </c>
      <c r="E597">
        <v>2020</v>
      </c>
      <c r="F597" t="s">
        <v>37</v>
      </c>
      <c r="G597" t="s">
        <v>1570</v>
      </c>
      <c r="H597" t="s">
        <v>2843</v>
      </c>
      <c r="I597" t="s">
        <v>19</v>
      </c>
      <c r="J597" t="s">
        <v>2553</v>
      </c>
      <c r="K597" t="s">
        <v>31</v>
      </c>
      <c r="L597">
        <v>97301</v>
      </c>
      <c r="M597" t="s">
        <v>1575</v>
      </c>
      <c r="N597" t="s">
        <v>33</v>
      </c>
      <c r="O597" t="s">
        <v>70</v>
      </c>
      <c r="P597" t="s">
        <v>1576</v>
      </c>
      <c r="Q597">
        <f>_xlfn.XLOOKUP(Table3[[#This Row],[Product Name]],Sales!A:A,Sales!B:B)</f>
        <v>10.368</v>
      </c>
      <c r="R597">
        <f>_xlfn.XLOOKUP(Table3[[#This Row],[Product Name]],Sales!A:A,Sales!C:C)</f>
        <v>2</v>
      </c>
      <c r="S597">
        <f>_xlfn.XLOOKUP(Table3[[#This Row],[Product Name]],Sales!A:A,Sales!D:D)</f>
        <v>0.2</v>
      </c>
      <c r="T597">
        <f>_xlfn.XLOOKUP(Table3[[#This Row],[Product Name]],Sales!A:A,Sales!E:E)</f>
        <v>3.6288</v>
      </c>
    </row>
    <row r="598" spans="1:20" x14ac:dyDescent="0.3">
      <c r="A598">
        <v>593</v>
      </c>
      <c r="B598" t="s">
        <v>1577</v>
      </c>
      <c r="C598">
        <v>9</v>
      </c>
      <c r="D598">
        <v>1</v>
      </c>
      <c r="E598">
        <v>2018</v>
      </c>
      <c r="F598" t="s">
        <v>37</v>
      </c>
      <c r="G598" t="s">
        <v>1578</v>
      </c>
      <c r="H598" t="s">
        <v>2844</v>
      </c>
      <c r="I598" t="s">
        <v>19</v>
      </c>
      <c r="J598" t="s">
        <v>2554</v>
      </c>
      <c r="K598" t="s">
        <v>79</v>
      </c>
      <c r="L598">
        <v>78041</v>
      </c>
      <c r="M598" t="s">
        <v>1579</v>
      </c>
      <c r="N598" t="s">
        <v>33</v>
      </c>
      <c r="O598" t="s">
        <v>51</v>
      </c>
      <c r="P598" t="s">
        <v>1580</v>
      </c>
      <c r="Q598">
        <f>_xlfn.XLOOKUP(Table3[[#This Row],[Product Name]],Sales!A:A,Sales!B:B)</f>
        <v>9.3439999999999994</v>
      </c>
      <c r="R598">
        <f>_xlfn.XLOOKUP(Table3[[#This Row],[Product Name]],Sales!A:A,Sales!C:C)</f>
        <v>2</v>
      </c>
      <c r="S598">
        <f>_xlfn.XLOOKUP(Table3[[#This Row],[Product Name]],Sales!A:A,Sales!D:D)</f>
        <v>0.2</v>
      </c>
      <c r="T598">
        <f>_xlfn.XLOOKUP(Table3[[#This Row],[Product Name]],Sales!A:A,Sales!E:E)</f>
        <v>1.1679999999999999</v>
      </c>
    </row>
    <row r="599" spans="1:20" x14ac:dyDescent="0.3">
      <c r="A599">
        <v>594</v>
      </c>
      <c r="B599" t="s">
        <v>1577</v>
      </c>
      <c r="C599">
        <v>9</v>
      </c>
      <c r="D599">
        <v>1</v>
      </c>
      <c r="E599">
        <v>2018</v>
      </c>
      <c r="F599" t="s">
        <v>37</v>
      </c>
      <c r="G599" t="s">
        <v>1578</v>
      </c>
      <c r="H599" t="s">
        <v>2844</v>
      </c>
      <c r="I599" t="s">
        <v>19</v>
      </c>
      <c r="J599" t="s">
        <v>2554</v>
      </c>
      <c r="K599" t="s">
        <v>79</v>
      </c>
      <c r="L599">
        <v>78041</v>
      </c>
      <c r="M599" t="s">
        <v>641</v>
      </c>
      <c r="N599" t="s">
        <v>54</v>
      </c>
      <c r="O599" t="s">
        <v>118</v>
      </c>
      <c r="P599" t="s">
        <v>642</v>
      </c>
      <c r="Q599">
        <f>_xlfn.XLOOKUP(Table3[[#This Row],[Product Name]],Sales!A:A,Sales!B:B)</f>
        <v>20.8</v>
      </c>
      <c r="R599">
        <f>_xlfn.XLOOKUP(Table3[[#This Row],[Product Name]],Sales!A:A,Sales!C:C)</f>
        <v>2</v>
      </c>
      <c r="S599">
        <f>_xlfn.XLOOKUP(Table3[[#This Row],[Product Name]],Sales!A:A,Sales!D:D)</f>
        <v>0.2</v>
      </c>
      <c r="T599">
        <f>_xlfn.XLOOKUP(Table3[[#This Row],[Product Name]],Sales!A:A,Sales!E:E)</f>
        <v>6.5</v>
      </c>
    </row>
    <row r="600" spans="1:20" x14ac:dyDescent="0.3">
      <c r="A600">
        <v>595</v>
      </c>
      <c r="B600" t="s">
        <v>1581</v>
      </c>
      <c r="C600">
        <v>8</v>
      </c>
      <c r="D600">
        <v>8</v>
      </c>
      <c r="E600">
        <v>2018</v>
      </c>
      <c r="F600" t="s">
        <v>37</v>
      </c>
      <c r="G600" t="s">
        <v>1582</v>
      </c>
      <c r="H600" t="s">
        <v>2845</v>
      </c>
      <c r="I600" t="s">
        <v>19</v>
      </c>
      <c r="J600" t="s">
        <v>2487</v>
      </c>
      <c r="K600" t="s">
        <v>31</v>
      </c>
      <c r="L600">
        <v>92024</v>
      </c>
      <c r="M600" t="s">
        <v>1583</v>
      </c>
      <c r="N600" t="s">
        <v>33</v>
      </c>
      <c r="O600" t="s">
        <v>61</v>
      </c>
      <c r="P600" t="s">
        <v>1584</v>
      </c>
      <c r="Q600">
        <f>_xlfn.XLOOKUP(Table3[[#This Row],[Product Name]],Sales!A:A,Sales!B:B)</f>
        <v>76.12</v>
      </c>
      <c r="R600">
        <f>_xlfn.XLOOKUP(Table3[[#This Row],[Product Name]],Sales!A:A,Sales!C:C)</f>
        <v>2</v>
      </c>
      <c r="S600">
        <f>_xlfn.XLOOKUP(Table3[[#This Row],[Product Name]],Sales!A:A,Sales!D:D)</f>
        <v>0</v>
      </c>
      <c r="T600">
        <f>_xlfn.XLOOKUP(Table3[[#This Row],[Product Name]],Sales!A:A,Sales!E:E)</f>
        <v>22.0748</v>
      </c>
    </row>
    <row r="601" spans="1:20" x14ac:dyDescent="0.3">
      <c r="A601">
        <v>596</v>
      </c>
      <c r="B601" t="s">
        <v>1581</v>
      </c>
      <c r="C601">
        <v>8</v>
      </c>
      <c r="D601">
        <v>8</v>
      </c>
      <c r="E601">
        <v>2018</v>
      </c>
      <c r="F601" t="s">
        <v>37</v>
      </c>
      <c r="G601" t="s">
        <v>1582</v>
      </c>
      <c r="H601" t="s">
        <v>2845</v>
      </c>
      <c r="I601" t="s">
        <v>19</v>
      </c>
      <c r="J601" t="s">
        <v>2487</v>
      </c>
      <c r="K601" t="s">
        <v>31</v>
      </c>
      <c r="L601">
        <v>92024</v>
      </c>
      <c r="M601" t="s">
        <v>1122</v>
      </c>
      <c r="N601" t="s">
        <v>54</v>
      </c>
      <c r="O601" t="s">
        <v>949</v>
      </c>
      <c r="P601" t="s">
        <v>1123</v>
      </c>
      <c r="Q601">
        <f>_xlfn.XLOOKUP(Table3[[#This Row],[Product Name]],Sales!A:A,Sales!B:B)</f>
        <v>1199.9760000000001</v>
      </c>
      <c r="R601">
        <f>_xlfn.XLOOKUP(Table3[[#This Row],[Product Name]],Sales!A:A,Sales!C:C)</f>
        <v>3</v>
      </c>
      <c r="S601">
        <f>_xlfn.XLOOKUP(Table3[[#This Row],[Product Name]],Sales!A:A,Sales!D:D)</f>
        <v>0.2</v>
      </c>
      <c r="T601">
        <f>_xlfn.XLOOKUP(Table3[[#This Row],[Product Name]],Sales!A:A,Sales!E:E)</f>
        <v>434.99130000000002</v>
      </c>
    </row>
    <row r="602" spans="1:20" x14ac:dyDescent="0.3">
      <c r="A602">
        <v>597</v>
      </c>
      <c r="B602" t="s">
        <v>1581</v>
      </c>
      <c r="C602">
        <v>8</v>
      </c>
      <c r="D602">
        <v>8</v>
      </c>
      <c r="E602">
        <v>2018</v>
      </c>
      <c r="F602" t="s">
        <v>37</v>
      </c>
      <c r="G602" t="s">
        <v>1582</v>
      </c>
      <c r="H602" t="s">
        <v>2845</v>
      </c>
      <c r="I602" t="s">
        <v>19</v>
      </c>
      <c r="J602" t="s">
        <v>2487</v>
      </c>
      <c r="K602" t="s">
        <v>31</v>
      </c>
      <c r="L602">
        <v>92024</v>
      </c>
      <c r="M602" t="s">
        <v>896</v>
      </c>
      <c r="N602" t="s">
        <v>54</v>
      </c>
      <c r="O602" t="s">
        <v>55</v>
      </c>
      <c r="P602" t="s">
        <v>897</v>
      </c>
      <c r="Q602">
        <f>_xlfn.XLOOKUP(Table3[[#This Row],[Product Name]],Sales!A:A,Sales!B:B)</f>
        <v>178.38399999999999</v>
      </c>
      <c r="R602">
        <f>_xlfn.XLOOKUP(Table3[[#This Row],[Product Name]],Sales!A:A,Sales!C:C)</f>
        <v>2</v>
      </c>
      <c r="S602">
        <f>_xlfn.XLOOKUP(Table3[[#This Row],[Product Name]],Sales!A:A,Sales!D:D)</f>
        <v>0.2</v>
      </c>
      <c r="T602">
        <f>_xlfn.XLOOKUP(Table3[[#This Row],[Product Name]],Sales!A:A,Sales!E:E)</f>
        <v>22.297999999999998</v>
      </c>
    </row>
    <row r="603" spans="1:20" x14ac:dyDescent="0.3">
      <c r="A603">
        <v>598</v>
      </c>
      <c r="B603" t="s">
        <v>1581</v>
      </c>
      <c r="C603">
        <v>8</v>
      </c>
      <c r="D603">
        <v>8</v>
      </c>
      <c r="E603">
        <v>2018</v>
      </c>
      <c r="F603" t="s">
        <v>37</v>
      </c>
      <c r="G603" t="s">
        <v>1582</v>
      </c>
      <c r="H603" t="s">
        <v>2845</v>
      </c>
      <c r="I603" t="s">
        <v>19</v>
      </c>
      <c r="J603" t="s">
        <v>2487</v>
      </c>
      <c r="K603" t="s">
        <v>31</v>
      </c>
      <c r="L603">
        <v>92024</v>
      </c>
      <c r="M603" t="s">
        <v>1585</v>
      </c>
      <c r="N603" t="s">
        <v>22</v>
      </c>
      <c r="O603" t="s">
        <v>48</v>
      </c>
      <c r="P603" t="s">
        <v>1586</v>
      </c>
      <c r="Q603">
        <f>_xlfn.XLOOKUP(Table3[[#This Row],[Product Name]],Sales!A:A,Sales!B:B)</f>
        <v>327.76</v>
      </c>
      <c r="R603">
        <f>_xlfn.XLOOKUP(Table3[[#This Row],[Product Name]],Sales!A:A,Sales!C:C)</f>
        <v>8</v>
      </c>
      <c r="S603">
        <f>_xlfn.XLOOKUP(Table3[[#This Row],[Product Name]],Sales!A:A,Sales!D:D)</f>
        <v>0</v>
      </c>
      <c r="T603">
        <f>_xlfn.XLOOKUP(Table3[[#This Row],[Product Name]],Sales!A:A,Sales!E:E)</f>
        <v>91.772800000000004</v>
      </c>
    </row>
    <row r="604" spans="1:20" x14ac:dyDescent="0.3">
      <c r="A604">
        <v>599</v>
      </c>
      <c r="B604" t="s">
        <v>1587</v>
      </c>
      <c r="C604">
        <v>14</v>
      </c>
      <c r="D604">
        <v>7</v>
      </c>
      <c r="E604">
        <v>2020</v>
      </c>
      <c r="F604" t="s">
        <v>142</v>
      </c>
      <c r="G604" t="s">
        <v>1588</v>
      </c>
      <c r="H604" t="s">
        <v>2846</v>
      </c>
      <c r="I604" t="s">
        <v>19</v>
      </c>
      <c r="J604" t="s">
        <v>2424</v>
      </c>
      <c r="K604" t="s">
        <v>108</v>
      </c>
      <c r="L604">
        <v>19134</v>
      </c>
      <c r="M604" t="s">
        <v>1589</v>
      </c>
      <c r="N604" t="s">
        <v>33</v>
      </c>
      <c r="O604" t="s">
        <v>438</v>
      </c>
      <c r="P604" t="s">
        <v>1590</v>
      </c>
      <c r="Q604">
        <f>_xlfn.XLOOKUP(Table3[[#This Row],[Product Name]],Sales!A:A,Sales!B:B)</f>
        <v>11.632</v>
      </c>
      <c r="R604">
        <f>_xlfn.XLOOKUP(Table3[[#This Row],[Product Name]],Sales!A:A,Sales!C:C)</f>
        <v>2</v>
      </c>
      <c r="S604">
        <f>_xlfn.XLOOKUP(Table3[[#This Row],[Product Name]],Sales!A:A,Sales!D:D)</f>
        <v>0.2</v>
      </c>
      <c r="T604">
        <f>_xlfn.XLOOKUP(Table3[[#This Row],[Product Name]],Sales!A:A,Sales!E:E)</f>
        <v>1.0178</v>
      </c>
    </row>
    <row r="605" spans="1:20" x14ac:dyDescent="0.3">
      <c r="A605">
        <v>600</v>
      </c>
      <c r="B605" t="s">
        <v>1591</v>
      </c>
      <c r="C605">
        <v>16</v>
      </c>
      <c r="D605">
        <v>7</v>
      </c>
      <c r="E605">
        <v>2020</v>
      </c>
      <c r="F605" t="s">
        <v>37</v>
      </c>
      <c r="G605" t="s">
        <v>1592</v>
      </c>
      <c r="H605" t="s">
        <v>2847</v>
      </c>
      <c r="I605" t="s">
        <v>19</v>
      </c>
      <c r="J605" t="s">
        <v>2424</v>
      </c>
      <c r="K605" t="s">
        <v>108</v>
      </c>
      <c r="L605">
        <v>19120</v>
      </c>
      <c r="M605" t="s">
        <v>1593</v>
      </c>
      <c r="N605" t="s">
        <v>54</v>
      </c>
      <c r="O605" t="s">
        <v>55</v>
      </c>
      <c r="P605" t="s">
        <v>1594</v>
      </c>
      <c r="Q605">
        <f>_xlfn.XLOOKUP(Table3[[#This Row],[Product Name]],Sales!A:A,Sales!B:B)</f>
        <v>143.982</v>
      </c>
      <c r="R605">
        <f>_xlfn.XLOOKUP(Table3[[#This Row],[Product Name]],Sales!A:A,Sales!C:C)</f>
        <v>3</v>
      </c>
      <c r="S605">
        <f>_xlfn.XLOOKUP(Table3[[#This Row],[Product Name]],Sales!A:A,Sales!D:D)</f>
        <v>0.4</v>
      </c>
      <c r="T605">
        <f>_xlfn.XLOOKUP(Table3[[#This Row],[Product Name]],Sales!A:A,Sales!E:E)</f>
        <v>-28.796399999999998</v>
      </c>
    </row>
    <row r="606" spans="1:20" x14ac:dyDescent="0.3">
      <c r="A606">
        <v>601</v>
      </c>
      <c r="B606" t="s">
        <v>1591</v>
      </c>
      <c r="C606">
        <v>16</v>
      </c>
      <c r="D606">
        <v>7</v>
      </c>
      <c r="E606">
        <v>2020</v>
      </c>
      <c r="F606" t="s">
        <v>37</v>
      </c>
      <c r="G606" t="s">
        <v>1592</v>
      </c>
      <c r="H606" t="s">
        <v>2847</v>
      </c>
      <c r="I606" t="s">
        <v>19</v>
      </c>
      <c r="J606" t="s">
        <v>2424</v>
      </c>
      <c r="K606" t="s">
        <v>108</v>
      </c>
      <c r="L606">
        <v>19120</v>
      </c>
      <c r="M606" t="s">
        <v>1595</v>
      </c>
      <c r="N606" t="s">
        <v>54</v>
      </c>
      <c r="O606" t="s">
        <v>55</v>
      </c>
      <c r="P606" t="s">
        <v>1596</v>
      </c>
      <c r="Q606">
        <f>_xlfn.XLOOKUP(Table3[[#This Row],[Product Name]],Sales!A:A,Sales!B:B)</f>
        <v>494.37599999999998</v>
      </c>
      <c r="R606">
        <f>_xlfn.XLOOKUP(Table3[[#This Row],[Product Name]],Sales!A:A,Sales!C:C)</f>
        <v>4</v>
      </c>
      <c r="S606">
        <f>_xlfn.XLOOKUP(Table3[[#This Row],[Product Name]],Sales!A:A,Sales!D:D)</f>
        <v>0.4</v>
      </c>
      <c r="T606">
        <f>_xlfn.XLOOKUP(Table3[[#This Row],[Product Name]],Sales!A:A,Sales!E:E)</f>
        <v>-115.3544</v>
      </c>
    </row>
    <row r="607" spans="1:20" x14ac:dyDescent="0.3">
      <c r="A607">
        <v>602</v>
      </c>
      <c r="B607" t="s">
        <v>1591</v>
      </c>
      <c r="C607">
        <v>16</v>
      </c>
      <c r="D607">
        <v>7</v>
      </c>
      <c r="E607">
        <v>2020</v>
      </c>
      <c r="F607" t="s">
        <v>37</v>
      </c>
      <c r="G607" t="s">
        <v>1592</v>
      </c>
      <c r="H607" t="s">
        <v>2847</v>
      </c>
      <c r="I607" t="s">
        <v>19</v>
      </c>
      <c r="J607" t="s">
        <v>2424</v>
      </c>
      <c r="K607" t="s">
        <v>108</v>
      </c>
      <c r="L607">
        <v>19120</v>
      </c>
      <c r="M607" t="s">
        <v>1549</v>
      </c>
      <c r="N607" t="s">
        <v>33</v>
      </c>
      <c r="O607" t="s">
        <v>438</v>
      </c>
      <c r="P607" t="s">
        <v>1550</v>
      </c>
      <c r="Q607">
        <f>_xlfn.XLOOKUP(Table3[[#This Row],[Product Name]],Sales!A:A,Sales!B:B)</f>
        <v>7.3</v>
      </c>
      <c r="R607">
        <f>_xlfn.XLOOKUP(Table3[[#This Row],[Product Name]],Sales!A:A,Sales!C:C)</f>
        <v>2</v>
      </c>
      <c r="S607">
        <f>_xlfn.XLOOKUP(Table3[[#This Row],[Product Name]],Sales!A:A,Sales!D:D)</f>
        <v>0</v>
      </c>
      <c r="T607">
        <f>_xlfn.XLOOKUP(Table3[[#This Row],[Product Name]],Sales!A:A,Sales!E:E)</f>
        <v>2.19</v>
      </c>
    </row>
    <row r="608" spans="1:20" x14ac:dyDescent="0.3">
      <c r="A608">
        <v>603</v>
      </c>
      <c r="B608" t="s">
        <v>1597</v>
      </c>
      <c r="C608">
        <v>15</v>
      </c>
      <c r="D608">
        <v>3</v>
      </c>
      <c r="E608">
        <v>2018</v>
      </c>
      <c r="F608" t="s">
        <v>37</v>
      </c>
      <c r="G608" t="s">
        <v>1598</v>
      </c>
      <c r="H608" t="s">
        <v>2848</v>
      </c>
      <c r="I608" t="s">
        <v>19</v>
      </c>
      <c r="J608" t="s">
        <v>2484</v>
      </c>
      <c r="K608" t="s">
        <v>20</v>
      </c>
      <c r="L608">
        <v>33614</v>
      </c>
      <c r="M608" t="s">
        <v>1599</v>
      </c>
      <c r="N608" t="s">
        <v>33</v>
      </c>
      <c r="O608" t="s">
        <v>43</v>
      </c>
      <c r="P608" t="s">
        <v>1600</v>
      </c>
      <c r="Q608">
        <f>_xlfn.XLOOKUP(Table3[[#This Row],[Product Name]],Sales!A:A,Sales!B:B)</f>
        <v>142.77600000000001</v>
      </c>
      <c r="R608">
        <f>_xlfn.XLOOKUP(Table3[[#This Row],[Product Name]],Sales!A:A,Sales!C:C)</f>
        <v>1</v>
      </c>
      <c r="S608">
        <f>_xlfn.XLOOKUP(Table3[[#This Row],[Product Name]],Sales!A:A,Sales!D:D)</f>
        <v>0.2</v>
      </c>
      <c r="T608">
        <f>_xlfn.XLOOKUP(Table3[[#This Row],[Product Name]],Sales!A:A,Sales!E:E)</f>
        <v>17.847000000000001</v>
      </c>
    </row>
    <row r="609" spans="1:20" x14ac:dyDescent="0.3">
      <c r="A609">
        <v>604</v>
      </c>
      <c r="B609" t="s">
        <v>1597</v>
      </c>
      <c r="C609">
        <v>15</v>
      </c>
      <c r="D609">
        <v>3</v>
      </c>
      <c r="E609">
        <v>2018</v>
      </c>
      <c r="F609" t="s">
        <v>37</v>
      </c>
      <c r="G609" t="s">
        <v>1598</v>
      </c>
      <c r="H609" t="s">
        <v>2848</v>
      </c>
      <c r="I609" t="s">
        <v>19</v>
      </c>
      <c r="J609" t="s">
        <v>2484</v>
      </c>
      <c r="K609" t="s">
        <v>20</v>
      </c>
      <c r="L609">
        <v>33614</v>
      </c>
      <c r="M609" t="s">
        <v>886</v>
      </c>
      <c r="N609" t="s">
        <v>22</v>
      </c>
      <c r="O609" t="s">
        <v>48</v>
      </c>
      <c r="P609" t="s">
        <v>887</v>
      </c>
      <c r="Q609">
        <f>_xlfn.XLOOKUP(Table3[[#This Row],[Product Name]],Sales!A:A,Sales!B:B)</f>
        <v>15.231999999999999</v>
      </c>
      <c r="R609">
        <f>_xlfn.XLOOKUP(Table3[[#This Row],[Product Name]],Sales!A:A,Sales!C:C)</f>
        <v>1</v>
      </c>
      <c r="S609">
        <f>_xlfn.XLOOKUP(Table3[[#This Row],[Product Name]],Sales!A:A,Sales!D:D)</f>
        <v>0.2</v>
      </c>
      <c r="T609">
        <f>_xlfn.XLOOKUP(Table3[[#This Row],[Product Name]],Sales!A:A,Sales!E:E)</f>
        <v>1.7136</v>
      </c>
    </row>
    <row r="610" spans="1:20" x14ac:dyDescent="0.3">
      <c r="A610">
        <v>605</v>
      </c>
      <c r="B610" t="s">
        <v>1597</v>
      </c>
      <c r="C610">
        <v>15</v>
      </c>
      <c r="D610">
        <v>3</v>
      </c>
      <c r="E610">
        <v>2018</v>
      </c>
      <c r="F610" t="s">
        <v>37</v>
      </c>
      <c r="G610" t="s">
        <v>1598</v>
      </c>
      <c r="H610" t="s">
        <v>2848</v>
      </c>
      <c r="I610" t="s">
        <v>19</v>
      </c>
      <c r="J610" t="s">
        <v>2484</v>
      </c>
      <c r="K610" t="s">
        <v>20</v>
      </c>
      <c r="L610">
        <v>33614</v>
      </c>
      <c r="M610" t="s">
        <v>1194</v>
      </c>
      <c r="N610" t="s">
        <v>33</v>
      </c>
      <c r="O610" t="s">
        <v>58</v>
      </c>
      <c r="P610" t="s">
        <v>1195</v>
      </c>
      <c r="Q610">
        <f>_xlfn.XLOOKUP(Table3[[#This Row],[Product Name]],Sales!A:A,Sales!B:B)</f>
        <v>4.8120000000000003</v>
      </c>
      <c r="R610">
        <f>_xlfn.XLOOKUP(Table3[[#This Row],[Product Name]],Sales!A:A,Sales!C:C)</f>
        <v>2</v>
      </c>
      <c r="S610">
        <f>_xlfn.XLOOKUP(Table3[[#This Row],[Product Name]],Sales!A:A,Sales!D:D)</f>
        <v>0.7</v>
      </c>
      <c r="T610">
        <f>_xlfn.XLOOKUP(Table3[[#This Row],[Product Name]],Sales!A:A,Sales!E:E)</f>
        <v>-3.6892</v>
      </c>
    </row>
    <row r="611" spans="1:20" x14ac:dyDescent="0.3">
      <c r="A611">
        <v>606</v>
      </c>
      <c r="B611" t="s">
        <v>1597</v>
      </c>
      <c r="C611">
        <v>15</v>
      </c>
      <c r="D611">
        <v>3</v>
      </c>
      <c r="E611">
        <v>2018</v>
      </c>
      <c r="F611" t="s">
        <v>37</v>
      </c>
      <c r="G611" t="s">
        <v>1598</v>
      </c>
      <c r="H611" t="s">
        <v>2848</v>
      </c>
      <c r="I611" t="s">
        <v>19</v>
      </c>
      <c r="J611" t="s">
        <v>2484</v>
      </c>
      <c r="K611" t="s">
        <v>20</v>
      </c>
      <c r="L611">
        <v>33614</v>
      </c>
      <c r="M611" t="s">
        <v>1173</v>
      </c>
      <c r="N611" t="s">
        <v>33</v>
      </c>
      <c r="O611" t="s">
        <v>58</v>
      </c>
      <c r="P611" t="s">
        <v>1174</v>
      </c>
      <c r="Q611">
        <f>_xlfn.XLOOKUP(Table3[[#This Row],[Product Name]],Sales!A:A,Sales!B:B)</f>
        <v>287.92</v>
      </c>
      <c r="R611">
        <f>_xlfn.XLOOKUP(Table3[[#This Row],[Product Name]],Sales!A:A,Sales!C:C)</f>
        <v>8</v>
      </c>
      <c r="S611">
        <f>_xlfn.XLOOKUP(Table3[[#This Row],[Product Name]],Sales!A:A,Sales!D:D)</f>
        <v>0</v>
      </c>
      <c r="T611">
        <f>_xlfn.XLOOKUP(Table3[[#This Row],[Product Name]],Sales!A:A,Sales!E:E)</f>
        <v>138.20160000000001</v>
      </c>
    </row>
    <row r="612" spans="1:20" x14ac:dyDescent="0.3">
      <c r="A612">
        <v>607</v>
      </c>
      <c r="B612" t="s">
        <v>1597</v>
      </c>
      <c r="C612">
        <v>15</v>
      </c>
      <c r="D612">
        <v>3</v>
      </c>
      <c r="E612">
        <v>2018</v>
      </c>
      <c r="F612" t="s">
        <v>37</v>
      </c>
      <c r="G612" t="s">
        <v>1598</v>
      </c>
      <c r="H612" t="s">
        <v>2848</v>
      </c>
      <c r="I612" t="s">
        <v>19</v>
      </c>
      <c r="J612" t="s">
        <v>2484</v>
      </c>
      <c r="K612" t="s">
        <v>20</v>
      </c>
      <c r="L612">
        <v>33614</v>
      </c>
      <c r="M612" t="s">
        <v>1601</v>
      </c>
      <c r="N612" t="s">
        <v>33</v>
      </c>
      <c r="O612" t="s">
        <v>70</v>
      </c>
      <c r="P612" t="s">
        <v>1602</v>
      </c>
      <c r="Q612">
        <f>_xlfn.XLOOKUP(Table3[[#This Row],[Product Name]],Sales!A:A,Sales!B:B)</f>
        <v>131.904</v>
      </c>
      <c r="R612">
        <f>_xlfn.XLOOKUP(Table3[[#This Row],[Product Name]],Sales!A:A,Sales!C:C)</f>
        <v>3</v>
      </c>
      <c r="S612">
        <f>_xlfn.XLOOKUP(Table3[[#This Row],[Product Name]],Sales!A:A,Sales!D:D)</f>
        <v>0.2</v>
      </c>
      <c r="T612">
        <f>_xlfn.XLOOKUP(Table3[[#This Row],[Product Name]],Sales!A:A,Sales!E:E)</f>
        <v>47.815199999999997</v>
      </c>
    </row>
    <row r="613" spans="1:20" x14ac:dyDescent="0.3">
      <c r="A613">
        <v>608</v>
      </c>
      <c r="B613" t="s">
        <v>1603</v>
      </c>
      <c r="C613">
        <v>23</v>
      </c>
      <c r="D613">
        <v>5</v>
      </c>
      <c r="E613">
        <v>2018</v>
      </c>
      <c r="F613" t="s">
        <v>37</v>
      </c>
      <c r="G613" t="s">
        <v>1604</v>
      </c>
      <c r="H613" t="s">
        <v>2849</v>
      </c>
      <c r="I613" t="s">
        <v>19</v>
      </c>
      <c r="J613" t="s">
        <v>2424</v>
      </c>
      <c r="K613" t="s">
        <v>108</v>
      </c>
      <c r="L613">
        <v>19134</v>
      </c>
      <c r="M613" t="s">
        <v>1605</v>
      </c>
      <c r="N613" t="s">
        <v>33</v>
      </c>
      <c r="O613" t="s">
        <v>58</v>
      </c>
      <c r="P613" t="s">
        <v>1606</v>
      </c>
      <c r="Q613">
        <f>_xlfn.XLOOKUP(Table3[[#This Row],[Product Name]],Sales!A:A,Sales!B:B)</f>
        <v>3.282</v>
      </c>
      <c r="R613">
        <f>_xlfn.XLOOKUP(Table3[[#This Row],[Product Name]],Sales!A:A,Sales!C:C)</f>
        <v>2</v>
      </c>
      <c r="S613">
        <f>_xlfn.XLOOKUP(Table3[[#This Row],[Product Name]],Sales!A:A,Sales!D:D)</f>
        <v>0.7</v>
      </c>
      <c r="T613">
        <f>_xlfn.XLOOKUP(Table3[[#This Row],[Product Name]],Sales!A:A,Sales!E:E)</f>
        <v>-2.6255999999999999</v>
      </c>
    </row>
    <row r="614" spans="1:20" x14ac:dyDescent="0.3">
      <c r="A614">
        <v>609</v>
      </c>
      <c r="B614" t="s">
        <v>1603</v>
      </c>
      <c r="C614">
        <v>23</v>
      </c>
      <c r="D614">
        <v>5</v>
      </c>
      <c r="E614">
        <v>2018</v>
      </c>
      <c r="F614" t="s">
        <v>37</v>
      </c>
      <c r="G614" t="s">
        <v>1604</v>
      </c>
      <c r="H614" t="s">
        <v>2849</v>
      </c>
      <c r="I614" t="s">
        <v>19</v>
      </c>
      <c r="J614" t="s">
        <v>2424</v>
      </c>
      <c r="K614" t="s">
        <v>108</v>
      </c>
      <c r="L614">
        <v>19134</v>
      </c>
      <c r="M614" t="s">
        <v>1392</v>
      </c>
      <c r="N614" t="s">
        <v>33</v>
      </c>
      <c r="O614" t="s">
        <v>51</v>
      </c>
      <c r="P614" t="s">
        <v>1393</v>
      </c>
      <c r="Q614">
        <f>_xlfn.XLOOKUP(Table3[[#This Row],[Product Name]],Sales!A:A,Sales!B:B)</f>
        <v>5.88</v>
      </c>
      <c r="R614">
        <f>_xlfn.XLOOKUP(Table3[[#This Row],[Product Name]],Sales!A:A,Sales!C:C)</f>
        <v>2</v>
      </c>
      <c r="S614">
        <f>_xlfn.XLOOKUP(Table3[[#This Row],[Product Name]],Sales!A:A,Sales!D:D)</f>
        <v>0</v>
      </c>
      <c r="T614">
        <f>_xlfn.XLOOKUP(Table3[[#This Row],[Product Name]],Sales!A:A,Sales!E:E)</f>
        <v>1.7052</v>
      </c>
    </row>
    <row r="615" spans="1:20" x14ac:dyDescent="0.3">
      <c r="A615">
        <v>610</v>
      </c>
      <c r="B615" t="s">
        <v>1603</v>
      </c>
      <c r="C615">
        <v>23</v>
      </c>
      <c r="D615">
        <v>5</v>
      </c>
      <c r="E615">
        <v>2018</v>
      </c>
      <c r="F615" t="s">
        <v>37</v>
      </c>
      <c r="G615" t="s">
        <v>1604</v>
      </c>
      <c r="H615" t="s">
        <v>2849</v>
      </c>
      <c r="I615" t="s">
        <v>19</v>
      </c>
      <c r="J615" t="s">
        <v>2424</v>
      </c>
      <c r="K615" t="s">
        <v>108</v>
      </c>
      <c r="L615">
        <v>19134</v>
      </c>
      <c r="M615" t="s">
        <v>1607</v>
      </c>
      <c r="N615" t="s">
        <v>54</v>
      </c>
      <c r="O615" t="s">
        <v>55</v>
      </c>
      <c r="P615" t="s">
        <v>1608</v>
      </c>
      <c r="Q615">
        <f>_xlfn.XLOOKUP(Table3[[#This Row],[Product Name]],Sales!A:A,Sales!B:B)</f>
        <v>55.188000000000002</v>
      </c>
      <c r="R615">
        <f>_xlfn.XLOOKUP(Table3[[#This Row],[Product Name]],Sales!A:A,Sales!C:C)</f>
        <v>2</v>
      </c>
      <c r="S615">
        <f>_xlfn.XLOOKUP(Table3[[#This Row],[Product Name]],Sales!A:A,Sales!D:D)</f>
        <v>0.4</v>
      </c>
      <c r="T615">
        <f>_xlfn.XLOOKUP(Table3[[#This Row],[Product Name]],Sales!A:A,Sales!E:E)</f>
        <v>-10.117800000000001</v>
      </c>
    </row>
    <row r="616" spans="1:20" x14ac:dyDescent="0.3">
      <c r="A616">
        <v>611</v>
      </c>
      <c r="B616" t="s">
        <v>1609</v>
      </c>
      <c r="C616">
        <v>28</v>
      </c>
      <c r="D616">
        <v>4</v>
      </c>
      <c r="E616">
        <v>2020</v>
      </c>
      <c r="F616" t="s">
        <v>142</v>
      </c>
      <c r="G616" t="s">
        <v>1610</v>
      </c>
      <c r="H616" t="s">
        <v>2850</v>
      </c>
      <c r="I616" t="s">
        <v>30</v>
      </c>
      <c r="J616" t="s">
        <v>2476</v>
      </c>
      <c r="K616" t="s">
        <v>79</v>
      </c>
      <c r="L616">
        <v>75217</v>
      </c>
      <c r="M616" t="s">
        <v>1080</v>
      </c>
      <c r="N616" t="s">
        <v>54</v>
      </c>
      <c r="O616" t="s">
        <v>55</v>
      </c>
      <c r="P616" t="s">
        <v>1081</v>
      </c>
      <c r="Q616">
        <f>_xlfn.XLOOKUP(Table3[[#This Row],[Product Name]],Sales!A:A,Sales!B:B)</f>
        <v>246.38399999999999</v>
      </c>
      <c r="R616">
        <f>_xlfn.XLOOKUP(Table3[[#This Row],[Product Name]],Sales!A:A,Sales!C:C)</f>
        <v>2</v>
      </c>
      <c r="S616">
        <f>_xlfn.XLOOKUP(Table3[[#This Row],[Product Name]],Sales!A:A,Sales!D:D)</f>
        <v>0.2</v>
      </c>
      <c r="T616">
        <f>_xlfn.XLOOKUP(Table3[[#This Row],[Product Name]],Sales!A:A,Sales!E:E)</f>
        <v>27.7182</v>
      </c>
    </row>
    <row r="617" spans="1:20" x14ac:dyDescent="0.3">
      <c r="A617">
        <v>612</v>
      </c>
      <c r="B617" t="s">
        <v>1609</v>
      </c>
      <c r="C617">
        <v>28</v>
      </c>
      <c r="D617">
        <v>4</v>
      </c>
      <c r="E617">
        <v>2020</v>
      </c>
      <c r="F617" t="s">
        <v>142</v>
      </c>
      <c r="G617" t="s">
        <v>1610</v>
      </c>
      <c r="H617" t="s">
        <v>2850</v>
      </c>
      <c r="I617" t="s">
        <v>30</v>
      </c>
      <c r="J617" t="s">
        <v>2476</v>
      </c>
      <c r="K617" t="s">
        <v>79</v>
      </c>
      <c r="L617">
        <v>75217</v>
      </c>
      <c r="M617" t="s">
        <v>1611</v>
      </c>
      <c r="N617" t="s">
        <v>33</v>
      </c>
      <c r="O617" t="s">
        <v>34</v>
      </c>
      <c r="P617" t="s">
        <v>1612</v>
      </c>
      <c r="Q617">
        <f>_xlfn.XLOOKUP(Table3[[#This Row],[Product Name]],Sales!A:A,Sales!B:B)</f>
        <v>15.712</v>
      </c>
      <c r="R617">
        <f>_xlfn.XLOOKUP(Table3[[#This Row],[Product Name]],Sales!A:A,Sales!C:C)</f>
        <v>4</v>
      </c>
      <c r="S617">
        <f>_xlfn.XLOOKUP(Table3[[#This Row],[Product Name]],Sales!A:A,Sales!D:D)</f>
        <v>0.2</v>
      </c>
      <c r="T617">
        <f>_xlfn.XLOOKUP(Table3[[#This Row],[Product Name]],Sales!A:A,Sales!E:E)</f>
        <v>5.6955999999999998</v>
      </c>
    </row>
    <row r="618" spans="1:20" x14ac:dyDescent="0.3">
      <c r="A618">
        <v>613</v>
      </c>
      <c r="B618" t="s">
        <v>1613</v>
      </c>
      <c r="C618">
        <v>11</v>
      </c>
      <c r="D618">
        <v>9</v>
      </c>
      <c r="E618">
        <v>2020</v>
      </c>
      <c r="F618" t="s">
        <v>17</v>
      </c>
      <c r="G618" t="s">
        <v>1614</v>
      </c>
      <c r="H618" t="s">
        <v>2851</v>
      </c>
      <c r="I618" t="s">
        <v>30</v>
      </c>
      <c r="J618" t="s">
        <v>2424</v>
      </c>
      <c r="K618" t="s">
        <v>108</v>
      </c>
      <c r="L618">
        <v>19143</v>
      </c>
      <c r="M618" t="s">
        <v>1615</v>
      </c>
      <c r="N618" t="s">
        <v>33</v>
      </c>
      <c r="O618" t="s">
        <v>70</v>
      </c>
      <c r="P618" t="s">
        <v>1616</v>
      </c>
      <c r="Q618">
        <f>_xlfn.XLOOKUP(Table3[[#This Row],[Product Name]],Sales!A:A,Sales!B:B)</f>
        <v>8.4480000000000004</v>
      </c>
      <c r="R618">
        <f>_xlfn.XLOOKUP(Table3[[#This Row],[Product Name]],Sales!A:A,Sales!C:C)</f>
        <v>2</v>
      </c>
      <c r="S618">
        <f>_xlfn.XLOOKUP(Table3[[#This Row],[Product Name]],Sales!A:A,Sales!D:D)</f>
        <v>0.2</v>
      </c>
      <c r="T618">
        <f>_xlfn.XLOOKUP(Table3[[#This Row],[Product Name]],Sales!A:A,Sales!E:E)</f>
        <v>2.64</v>
      </c>
    </row>
    <row r="619" spans="1:20" x14ac:dyDescent="0.3">
      <c r="A619">
        <v>614</v>
      </c>
      <c r="B619" t="s">
        <v>1613</v>
      </c>
      <c r="C619">
        <v>11</v>
      </c>
      <c r="D619">
        <v>9</v>
      </c>
      <c r="E619">
        <v>2020</v>
      </c>
      <c r="F619" t="s">
        <v>17</v>
      </c>
      <c r="G619" t="s">
        <v>1614</v>
      </c>
      <c r="H619" t="s">
        <v>2851</v>
      </c>
      <c r="I619" t="s">
        <v>30</v>
      </c>
      <c r="J619" t="s">
        <v>2424</v>
      </c>
      <c r="K619" t="s">
        <v>108</v>
      </c>
      <c r="L619">
        <v>19143</v>
      </c>
      <c r="M619" t="s">
        <v>1617</v>
      </c>
      <c r="N619" t="s">
        <v>54</v>
      </c>
      <c r="O619" t="s">
        <v>55</v>
      </c>
      <c r="P619" t="s">
        <v>1618</v>
      </c>
      <c r="Q619">
        <f>_xlfn.XLOOKUP(Table3[[#This Row],[Product Name]],Sales!A:A,Sales!B:B)</f>
        <v>728.94600000000003</v>
      </c>
      <c r="R619">
        <f>_xlfn.XLOOKUP(Table3[[#This Row],[Product Name]],Sales!A:A,Sales!C:C)</f>
        <v>9</v>
      </c>
      <c r="S619">
        <f>_xlfn.XLOOKUP(Table3[[#This Row],[Product Name]],Sales!A:A,Sales!D:D)</f>
        <v>0.4</v>
      </c>
      <c r="T619">
        <f>_xlfn.XLOOKUP(Table3[[#This Row],[Product Name]],Sales!A:A,Sales!E:E)</f>
        <v>-157.9383</v>
      </c>
    </row>
    <row r="620" spans="1:20" x14ac:dyDescent="0.3">
      <c r="A620">
        <v>615</v>
      </c>
      <c r="B620" t="s">
        <v>1619</v>
      </c>
      <c r="C620">
        <v>14</v>
      </c>
      <c r="D620">
        <v>11</v>
      </c>
      <c r="E620">
        <v>2021</v>
      </c>
      <c r="F620" t="s">
        <v>17</v>
      </c>
      <c r="G620" t="s">
        <v>1620</v>
      </c>
      <c r="H620" t="s">
        <v>2852</v>
      </c>
      <c r="I620" t="s">
        <v>19</v>
      </c>
      <c r="J620" t="s">
        <v>2555</v>
      </c>
      <c r="K620" t="s">
        <v>108</v>
      </c>
      <c r="L620">
        <v>43123</v>
      </c>
      <c r="M620" t="s">
        <v>708</v>
      </c>
      <c r="N620" t="s">
        <v>54</v>
      </c>
      <c r="O620" t="s">
        <v>55</v>
      </c>
      <c r="P620" t="s">
        <v>709</v>
      </c>
      <c r="Q620">
        <f>_xlfn.XLOOKUP(Table3[[#This Row],[Product Name]],Sales!A:A,Sales!B:B)</f>
        <v>31.984000000000002</v>
      </c>
      <c r="R620">
        <f>_xlfn.XLOOKUP(Table3[[#This Row],[Product Name]],Sales!A:A,Sales!C:C)</f>
        <v>2</v>
      </c>
      <c r="S620">
        <f>_xlfn.XLOOKUP(Table3[[#This Row],[Product Name]],Sales!A:A,Sales!D:D)</f>
        <v>0.2</v>
      </c>
      <c r="T620">
        <f>_xlfn.XLOOKUP(Table3[[#This Row],[Product Name]],Sales!A:A,Sales!E:E)</f>
        <v>11.1944</v>
      </c>
    </row>
    <row r="621" spans="1:20" x14ac:dyDescent="0.3">
      <c r="A621">
        <v>616</v>
      </c>
      <c r="B621" t="s">
        <v>1619</v>
      </c>
      <c r="C621">
        <v>14</v>
      </c>
      <c r="D621">
        <v>11</v>
      </c>
      <c r="E621">
        <v>2021</v>
      </c>
      <c r="F621" t="s">
        <v>17</v>
      </c>
      <c r="G621" t="s">
        <v>1620</v>
      </c>
      <c r="H621" t="s">
        <v>2852</v>
      </c>
      <c r="I621" t="s">
        <v>19</v>
      </c>
      <c r="J621" t="s">
        <v>2555</v>
      </c>
      <c r="K621" t="s">
        <v>108</v>
      </c>
      <c r="L621">
        <v>43123</v>
      </c>
      <c r="M621" t="s">
        <v>1621</v>
      </c>
      <c r="N621" t="s">
        <v>33</v>
      </c>
      <c r="O621" t="s">
        <v>58</v>
      </c>
      <c r="P621" t="s">
        <v>1622</v>
      </c>
      <c r="Q621">
        <f>_xlfn.XLOOKUP(Table3[[#This Row],[Product Name]],Sales!A:A,Sales!B:B)</f>
        <v>3.6480000000000001</v>
      </c>
      <c r="R621">
        <f>_xlfn.XLOOKUP(Table3[[#This Row],[Product Name]],Sales!A:A,Sales!C:C)</f>
        <v>2</v>
      </c>
      <c r="S621">
        <f>_xlfn.XLOOKUP(Table3[[#This Row],[Product Name]],Sales!A:A,Sales!D:D)</f>
        <v>0.7</v>
      </c>
      <c r="T621">
        <f>_xlfn.XLOOKUP(Table3[[#This Row],[Product Name]],Sales!A:A,Sales!E:E)</f>
        <v>-2.7968000000000002</v>
      </c>
    </row>
    <row r="622" spans="1:20" x14ac:dyDescent="0.3">
      <c r="A622">
        <v>617</v>
      </c>
      <c r="B622" t="s">
        <v>1623</v>
      </c>
      <c r="C622">
        <v>18</v>
      </c>
      <c r="D622">
        <v>8</v>
      </c>
      <c r="E622">
        <v>2021</v>
      </c>
      <c r="F622" t="s">
        <v>17</v>
      </c>
      <c r="G622" t="s">
        <v>1624</v>
      </c>
      <c r="H622" t="s">
        <v>2853</v>
      </c>
      <c r="I622" t="s">
        <v>30</v>
      </c>
      <c r="J622" t="s">
        <v>2434</v>
      </c>
      <c r="K622" t="s">
        <v>108</v>
      </c>
      <c r="L622">
        <v>10011</v>
      </c>
      <c r="M622" t="s">
        <v>1625</v>
      </c>
      <c r="N622" t="s">
        <v>22</v>
      </c>
      <c r="O622" t="s">
        <v>48</v>
      </c>
      <c r="P622" t="s">
        <v>1626</v>
      </c>
      <c r="Q622">
        <f>_xlfn.XLOOKUP(Table3[[#This Row],[Product Name]],Sales!A:A,Sales!B:B)</f>
        <v>40.479999999999997</v>
      </c>
      <c r="R622">
        <f>_xlfn.XLOOKUP(Table3[[#This Row],[Product Name]],Sales!A:A,Sales!C:C)</f>
        <v>2</v>
      </c>
      <c r="S622">
        <f>_xlfn.XLOOKUP(Table3[[#This Row],[Product Name]],Sales!A:A,Sales!D:D)</f>
        <v>0</v>
      </c>
      <c r="T622">
        <f>_xlfn.XLOOKUP(Table3[[#This Row],[Product Name]],Sales!A:A,Sales!E:E)</f>
        <v>15.7872</v>
      </c>
    </row>
    <row r="623" spans="1:20" x14ac:dyDescent="0.3">
      <c r="A623">
        <v>618</v>
      </c>
      <c r="B623" t="s">
        <v>1623</v>
      </c>
      <c r="C623">
        <v>18</v>
      </c>
      <c r="D623">
        <v>8</v>
      </c>
      <c r="E623">
        <v>2021</v>
      </c>
      <c r="F623" t="s">
        <v>17</v>
      </c>
      <c r="G623" t="s">
        <v>1624</v>
      </c>
      <c r="H623" t="s">
        <v>2853</v>
      </c>
      <c r="I623" t="s">
        <v>30</v>
      </c>
      <c r="J623" t="s">
        <v>2434</v>
      </c>
      <c r="K623" t="s">
        <v>108</v>
      </c>
      <c r="L623">
        <v>10011</v>
      </c>
      <c r="M623" t="s">
        <v>1627</v>
      </c>
      <c r="N623" t="s">
        <v>22</v>
      </c>
      <c r="O623" t="s">
        <v>48</v>
      </c>
      <c r="P623" t="s">
        <v>1628</v>
      </c>
      <c r="Q623">
        <f>_xlfn.XLOOKUP(Table3[[#This Row],[Product Name]],Sales!A:A,Sales!B:B)</f>
        <v>9.94</v>
      </c>
      <c r="R623">
        <f>_xlfn.XLOOKUP(Table3[[#This Row],[Product Name]],Sales!A:A,Sales!C:C)</f>
        <v>2</v>
      </c>
      <c r="S623">
        <f>_xlfn.XLOOKUP(Table3[[#This Row],[Product Name]],Sales!A:A,Sales!D:D)</f>
        <v>0</v>
      </c>
      <c r="T623">
        <f>_xlfn.XLOOKUP(Table3[[#This Row],[Product Name]],Sales!A:A,Sales!E:E)</f>
        <v>3.0813999999999999</v>
      </c>
    </row>
    <row r="624" spans="1:20" x14ac:dyDescent="0.3">
      <c r="A624">
        <v>619</v>
      </c>
      <c r="B624" t="s">
        <v>1623</v>
      </c>
      <c r="C624">
        <v>18</v>
      </c>
      <c r="D624">
        <v>8</v>
      </c>
      <c r="E624">
        <v>2021</v>
      </c>
      <c r="F624" t="s">
        <v>17</v>
      </c>
      <c r="G624" t="s">
        <v>1624</v>
      </c>
      <c r="H624" t="s">
        <v>2853</v>
      </c>
      <c r="I624" t="s">
        <v>30</v>
      </c>
      <c r="J624" t="s">
        <v>2434</v>
      </c>
      <c r="K624" t="s">
        <v>108</v>
      </c>
      <c r="L624">
        <v>10011</v>
      </c>
      <c r="M624" t="s">
        <v>1629</v>
      </c>
      <c r="N624" t="s">
        <v>33</v>
      </c>
      <c r="O624" t="s">
        <v>58</v>
      </c>
      <c r="P624" t="s">
        <v>1630</v>
      </c>
      <c r="Q624">
        <f>_xlfn.XLOOKUP(Table3[[#This Row],[Product Name]],Sales!A:A,Sales!B:B)</f>
        <v>107.42400000000001</v>
      </c>
      <c r="R624">
        <f>_xlfn.XLOOKUP(Table3[[#This Row],[Product Name]],Sales!A:A,Sales!C:C)</f>
        <v>9</v>
      </c>
      <c r="S624">
        <f>_xlfn.XLOOKUP(Table3[[#This Row],[Product Name]],Sales!A:A,Sales!D:D)</f>
        <v>0.2</v>
      </c>
      <c r="T624">
        <f>_xlfn.XLOOKUP(Table3[[#This Row],[Product Name]],Sales!A:A,Sales!E:E)</f>
        <v>33.57</v>
      </c>
    </row>
    <row r="625" spans="1:20" x14ac:dyDescent="0.3">
      <c r="A625">
        <v>620</v>
      </c>
      <c r="B625" t="s">
        <v>1623</v>
      </c>
      <c r="C625">
        <v>18</v>
      </c>
      <c r="D625">
        <v>8</v>
      </c>
      <c r="E625">
        <v>2021</v>
      </c>
      <c r="F625" t="s">
        <v>17</v>
      </c>
      <c r="G625" t="s">
        <v>1624</v>
      </c>
      <c r="H625" t="s">
        <v>2853</v>
      </c>
      <c r="I625" t="s">
        <v>30</v>
      </c>
      <c r="J625" t="s">
        <v>2434</v>
      </c>
      <c r="K625" t="s">
        <v>108</v>
      </c>
      <c r="L625">
        <v>10011</v>
      </c>
      <c r="M625" t="s">
        <v>1631</v>
      </c>
      <c r="N625" t="s">
        <v>54</v>
      </c>
      <c r="O625" t="s">
        <v>55</v>
      </c>
      <c r="P625" t="s">
        <v>1632</v>
      </c>
      <c r="Q625">
        <f>_xlfn.XLOOKUP(Table3[[#This Row],[Product Name]],Sales!A:A,Sales!B:B)</f>
        <v>37.909999999999997</v>
      </c>
      <c r="R625">
        <f>_xlfn.XLOOKUP(Table3[[#This Row],[Product Name]],Sales!A:A,Sales!C:C)</f>
        <v>1</v>
      </c>
      <c r="S625">
        <f>_xlfn.XLOOKUP(Table3[[#This Row],[Product Name]],Sales!A:A,Sales!D:D)</f>
        <v>0</v>
      </c>
      <c r="T625">
        <f>_xlfn.XLOOKUP(Table3[[#This Row],[Product Name]],Sales!A:A,Sales!E:E)</f>
        <v>10.9939</v>
      </c>
    </row>
    <row r="626" spans="1:20" x14ac:dyDescent="0.3">
      <c r="A626">
        <v>621</v>
      </c>
      <c r="B626" t="s">
        <v>1623</v>
      </c>
      <c r="C626">
        <v>18</v>
      </c>
      <c r="D626">
        <v>8</v>
      </c>
      <c r="E626">
        <v>2021</v>
      </c>
      <c r="F626" t="s">
        <v>17</v>
      </c>
      <c r="G626" t="s">
        <v>1624</v>
      </c>
      <c r="H626" t="s">
        <v>2853</v>
      </c>
      <c r="I626" t="s">
        <v>30</v>
      </c>
      <c r="J626" t="s">
        <v>2434</v>
      </c>
      <c r="K626" t="s">
        <v>108</v>
      </c>
      <c r="L626">
        <v>10011</v>
      </c>
      <c r="M626" t="s">
        <v>458</v>
      </c>
      <c r="N626" t="s">
        <v>22</v>
      </c>
      <c r="O626" t="s">
        <v>48</v>
      </c>
      <c r="P626" t="s">
        <v>459</v>
      </c>
      <c r="Q626">
        <f>_xlfn.XLOOKUP(Table3[[#This Row],[Product Name]],Sales!A:A,Sales!B:B)</f>
        <v>93.888000000000005</v>
      </c>
      <c r="R626">
        <f>_xlfn.XLOOKUP(Table3[[#This Row],[Product Name]],Sales!A:A,Sales!C:C)</f>
        <v>4</v>
      </c>
      <c r="S626">
        <f>_xlfn.XLOOKUP(Table3[[#This Row],[Product Name]],Sales!A:A,Sales!D:D)</f>
        <v>0.2</v>
      </c>
      <c r="T626">
        <f>_xlfn.XLOOKUP(Table3[[#This Row],[Product Name]],Sales!A:A,Sales!E:E)</f>
        <v>12.909599999999999</v>
      </c>
    </row>
    <row r="627" spans="1:20" x14ac:dyDescent="0.3">
      <c r="A627">
        <v>622</v>
      </c>
      <c r="B627" t="s">
        <v>1633</v>
      </c>
      <c r="C627">
        <v>26</v>
      </c>
      <c r="D627">
        <v>12</v>
      </c>
      <c r="E627">
        <v>2018</v>
      </c>
      <c r="F627" t="s">
        <v>37</v>
      </c>
      <c r="G627" t="s">
        <v>1634</v>
      </c>
      <c r="H627" t="s">
        <v>2854</v>
      </c>
      <c r="I627" t="s">
        <v>19</v>
      </c>
      <c r="J627" t="s">
        <v>2436</v>
      </c>
      <c r="K627" t="s">
        <v>79</v>
      </c>
      <c r="L627">
        <v>60610</v>
      </c>
      <c r="M627" t="s">
        <v>1635</v>
      </c>
      <c r="N627" t="s">
        <v>33</v>
      </c>
      <c r="O627" t="s">
        <v>58</v>
      </c>
      <c r="P627" t="s">
        <v>1636</v>
      </c>
      <c r="Q627">
        <f>_xlfn.XLOOKUP(Table3[[#This Row],[Product Name]],Sales!A:A,Sales!B:B)</f>
        <v>8.69</v>
      </c>
      <c r="R627">
        <f>_xlfn.XLOOKUP(Table3[[#This Row],[Product Name]],Sales!A:A,Sales!C:C)</f>
        <v>5</v>
      </c>
      <c r="S627">
        <f>_xlfn.XLOOKUP(Table3[[#This Row],[Product Name]],Sales!A:A,Sales!D:D)</f>
        <v>0.8</v>
      </c>
      <c r="T627">
        <f>_xlfn.XLOOKUP(Table3[[#This Row],[Product Name]],Sales!A:A,Sales!E:E)</f>
        <v>-14.773</v>
      </c>
    </row>
    <row r="628" spans="1:20" x14ac:dyDescent="0.3">
      <c r="A628">
        <v>623</v>
      </c>
      <c r="B628" t="s">
        <v>1637</v>
      </c>
      <c r="C628">
        <v>29</v>
      </c>
      <c r="D628">
        <v>11</v>
      </c>
      <c r="E628">
        <v>2019</v>
      </c>
      <c r="F628" t="s">
        <v>37</v>
      </c>
      <c r="G628" t="s">
        <v>1638</v>
      </c>
      <c r="H628" t="s">
        <v>2855</v>
      </c>
      <c r="I628" t="s">
        <v>30</v>
      </c>
      <c r="J628" t="s">
        <v>2556</v>
      </c>
      <c r="K628" t="s">
        <v>79</v>
      </c>
      <c r="L628">
        <v>48126</v>
      </c>
      <c r="M628" t="s">
        <v>1639</v>
      </c>
      <c r="N628" t="s">
        <v>22</v>
      </c>
      <c r="O628" t="s">
        <v>26</v>
      </c>
      <c r="P628" t="s">
        <v>1640</v>
      </c>
      <c r="Q628">
        <f>_xlfn.XLOOKUP(Table3[[#This Row],[Product Name]],Sales!A:A,Sales!B:B)</f>
        <v>301.95999999999998</v>
      </c>
      <c r="R628">
        <f>_xlfn.XLOOKUP(Table3[[#This Row],[Product Name]],Sales!A:A,Sales!C:C)</f>
        <v>2</v>
      </c>
      <c r="S628">
        <f>_xlfn.XLOOKUP(Table3[[#This Row],[Product Name]],Sales!A:A,Sales!D:D)</f>
        <v>0</v>
      </c>
      <c r="T628">
        <f>_xlfn.XLOOKUP(Table3[[#This Row],[Product Name]],Sales!A:A,Sales!E:E)</f>
        <v>87.568399999999997</v>
      </c>
    </row>
    <row r="629" spans="1:20" x14ac:dyDescent="0.3">
      <c r="A629">
        <v>624</v>
      </c>
      <c r="B629" t="s">
        <v>1637</v>
      </c>
      <c r="C629">
        <v>29</v>
      </c>
      <c r="D629">
        <v>11</v>
      </c>
      <c r="E629">
        <v>2019</v>
      </c>
      <c r="F629" t="s">
        <v>37</v>
      </c>
      <c r="G629" t="s">
        <v>1638</v>
      </c>
      <c r="H629" t="s">
        <v>2855</v>
      </c>
      <c r="I629" t="s">
        <v>30</v>
      </c>
      <c r="J629" t="s">
        <v>2556</v>
      </c>
      <c r="K629" t="s">
        <v>79</v>
      </c>
      <c r="L629">
        <v>48126</v>
      </c>
      <c r="M629" t="s">
        <v>1641</v>
      </c>
      <c r="N629" t="s">
        <v>33</v>
      </c>
      <c r="O629" t="s">
        <v>61</v>
      </c>
      <c r="P629" t="s">
        <v>1642</v>
      </c>
      <c r="Q629">
        <f>_xlfn.XLOOKUP(Table3[[#This Row],[Product Name]],Sales!A:A,Sales!B:B)</f>
        <v>555.21</v>
      </c>
      <c r="R629">
        <f>_xlfn.XLOOKUP(Table3[[#This Row],[Product Name]],Sales!A:A,Sales!C:C)</f>
        <v>5</v>
      </c>
      <c r="S629">
        <f>_xlfn.XLOOKUP(Table3[[#This Row],[Product Name]],Sales!A:A,Sales!D:D)</f>
        <v>0.1</v>
      </c>
      <c r="T629">
        <f>_xlfn.XLOOKUP(Table3[[#This Row],[Product Name]],Sales!A:A,Sales!E:E)</f>
        <v>178.90100000000001</v>
      </c>
    </row>
    <row r="630" spans="1:20" x14ac:dyDescent="0.3">
      <c r="A630">
        <v>625</v>
      </c>
      <c r="B630" t="s">
        <v>1637</v>
      </c>
      <c r="C630">
        <v>29</v>
      </c>
      <c r="D630">
        <v>11</v>
      </c>
      <c r="E630">
        <v>2019</v>
      </c>
      <c r="F630" t="s">
        <v>37</v>
      </c>
      <c r="G630" t="s">
        <v>1638</v>
      </c>
      <c r="H630" t="s">
        <v>2855</v>
      </c>
      <c r="I630" t="s">
        <v>30</v>
      </c>
      <c r="J630" t="s">
        <v>2556</v>
      </c>
      <c r="K630" t="s">
        <v>79</v>
      </c>
      <c r="L630">
        <v>48126</v>
      </c>
      <c r="M630" t="s">
        <v>1643</v>
      </c>
      <c r="N630" t="s">
        <v>33</v>
      </c>
      <c r="O630" t="s">
        <v>43</v>
      </c>
      <c r="P630" t="s">
        <v>1644</v>
      </c>
      <c r="Q630">
        <f>_xlfn.XLOOKUP(Table3[[#This Row],[Product Name]],Sales!A:A,Sales!B:B)</f>
        <v>523.48</v>
      </c>
      <c r="R630">
        <f>_xlfn.XLOOKUP(Table3[[#This Row],[Product Name]],Sales!A:A,Sales!C:C)</f>
        <v>4</v>
      </c>
      <c r="S630">
        <f>_xlfn.XLOOKUP(Table3[[#This Row],[Product Name]],Sales!A:A,Sales!D:D)</f>
        <v>0</v>
      </c>
      <c r="T630">
        <f>_xlfn.XLOOKUP(Table3[[#This Row],[Product Name]],Sales!A:A,Sales!E:E)</f>
        <v>130.87</v>
      </c>
    </row>
    <row r="631" spans="1:20" x14ac:dyDescent="0.3">
      <c r="A631">
        <v>626</v>
      </c>
      <c r="B631" t="s">
        <v>1637</v>
      </c>
      <c r="C631">
        <v>29</v>
      </c>
      <c r="D631">
        <v>11</v>
      </c>
      <c r="E631">
        <v>2019</v>
      </c>
      <c r="F631" t="s">
        <v>37</v>
      </c>
      <c r="G631" t="s">
        <v>1638</v>
      </c>
      <c r="H631" t="s">
        <v>2855</v>
      </c>
      <c r="I631" t="s">
        <v>30</v>
      </c>
      <c r="J631" t="s">
        <v>2556</v>
      </c>
      <c r="K631" t="s">
        <v>79</v>
      </c>
      <c r="L631">
        <v>48126</v>
      </c>
      <c r="M631" t="s">
        <v>131</v>
      </c>
      <c r="N631" t="s">
        <v>33</v>
      </c>
      <c r="O631" t="s">
        <v>51</v>
      </c>
      <c r="P631" t="s">
        <v>132</v>
      </c>
      <c r="Q631">
        <f>_xlfn.XLOOKUP(Table3[[#This Row],[Product Name]],Sales!A:A,Sales!B:B)</f>
        <v>86.304000000000002</v>
      </c>
      <c r="R631">
        <f>_xlfn.XLOOKUP(Table3[[#This Row],[Product Name]],Sales!A:A,Sales!C:C)</f>
        <v>6</v>
      </c>
      <c r="S631">
        <f>_xlfn.XLOOKUP(Table3[[#This Row],[Product Name]],Sales!A:A,Sales!D:D)</f>
        <v>0.2</v>
      </c>
      <c r="T631">
        <f>_xlfn.XLOOKUP(Table3[[#This Row],[Product Name]],Sales!A:A,Sales!E:E)</f>
        <v>9.7091999999999992</v>
      </c>
    </row>
    <row r="632" spans="1:20" x14ac:dyDescent="0.3">
      <c r="A632">
        <v>627</v>
      </c>
      <c r="B632" t="s">
        <v>1645</v>
      </c>
      <c r="C632">
        <v>15</v>
      </c>
      <c r="D632">
        <v>9</v>
      </c>
      <c r="E632">
        <v>2021</v>
      </c>
      <c r="F632" t="s">
        <v>37</v>
      </c>
      <c r="G632" t="s">
        <v>1646</v>
      </c>
      <c r="H632" t="s">
        <v>2856</v>
      </c>
      <c r="I632" t="s">
        <v>78</v>
      </c>
      <c r="J632" t="s">
        <v>2434</v>
      </c>
      <c r="K632" t="s">
        <v>108</v>
      </c>
      <c r="L632">
        <v>10009</v>
      </c>
      <c r="M632" t="s">
        <v>1647</v>
      </c>
      <c r="N632" t="s">
        <v>22</v>
      </c>
      <c r="O632" t="s">
        <v>48</v>
      </c>
      <c r="P632" t="s">
        <v>1648</v>
      </c>
      <c r="Q632">
        <f>_xlfn.XLOOKUP(Table3[[#This Row],[Product Name]],Sales!A:A,Sales!B:B)</f>
        <v>35.56</v>
      </c>
      <c r="R632">
        <f>_xlfn.XLOOKUP(Table3[[#This Row],[Product Name]],Sales!A:A,Sales!C:C)</f>
        <v>7</v>
      </c>
      <c r="S632">
        <f>_xlfn.XLOOKUP(Table3[[#This Row],[Product Name]],Sales!A:A,Sales!D:D)</f>
        <v>0</v>
      </c>
      <c r="T632">
        <f>_xlfn.XLOOKUP(Table3[[#This Row],[Product Name]],Sales!A:A,Sales!E:E)</f>
        <v>12.090400000000001</v>
      </c>
    </row>
    <row r="633" spans="1:20" x14ac:dyDescent="0.3">
      <c r="A633">
        <v>628</v>
      </c>
      <c r="B633" t="s">
        <v>1649</v>
      </c>
      <c r="C633">
        <v>19</v>
      </c>
      <c r="D633">
        <v>5</v>
      </c>
      <c r="E633">
        <v>2021</v>
      </c>
      <c r="F633" t="s">
        <v>37</v>
      </c>
      <c r="G633" t="s">
        <v>1650</v>
      </c>
      <c r="H633" t="s">
        <v>2857</v>
      </c>
      <c r="I633" t="s">
        <v>19</v>
      </c>
      <c r="J633" t="s">
        <v>2418</v>
      </c>
      <c r="K633" t="s">
        <v>31</v>
      </c>
      <c r="L633">
        <v>98115</v>
      </c>
      <c r="M633" t="s">
        <v>1651</v>
      </c>
      <c r="N633" t="s">
        <v>33</v>
      </c>
      <c r="O633" t="s">
        <v>61</v>
      </c>
      <c r="P633" t="s">
        <v>1652</v>
      </c>
      <c r="Q633">
        <f>_xlfn.XLOOKUP(Table3[[#This Row],[Product Name]],Sales!A:A,Sales!B:B)</f>
        <v>97.16</v>
      </c>
      <c r="R633">
        <f>_xlfn.XLOOKUP(Table3[[#This Row],[Product Name]],Sales!A:A,Sales!C:C)</f>
        <v>2</v>
      </c>
      <c r="S633">
        <f>_xlfn.XLOOKUP(Table3[[#This Row],[Product Name]],Sales!A:A,Sales!D:D)</f>
        <v>0</v>
      </c>
      <c r="T633">
        <f>_xlfn.XLOOKUP(Table3[[#This Row],[Product Name]],Sales!A:A,Sales!E:E)</f>
        <v>28.176400000000001</v>
      </c>
    </row>
    <row r="634" spans="1:20" x14ac:dyDescent="0.3">
      <c r="A634">
        <v>629</v>
      </c>
      <c r="B634" t="s">
        <v>1653</v>
      </c>
      <c r="C634">
        <v>17</v>
      </c>
      <c r="D634">
        <v>12</v>
      </c>
      <c r="E634">
        <v>2021</v>
      </c>
      <c r="F634" t="s">
        <v>37</v>
      </c>
      <c r="G634" t="s">
        <v>619</v>
      </c>
      <c r="H634" t="s">
        <v>2705</v>
      </c>
      <c r="I634" t="s">
        <v>19</v>
      </c>
      <c r="J634" t="s">
        <v>2422</v>
      </c>
      <c r="K634" t="s">
        <v>31</v>
      </c>
      <c r="L634">
        <v>94122</v>
      </c>
      <c r="M634" t="s">
        <v>1654</v>
      </c>
      <c r="N634" t="s">
        <v>33</v>
      </c>
      <c r="O634" t="s">
        <v>58</v>
      </c>
      <c r="P634" t="s">
        <v>1655</v>
      </c>
      <c r="Q634">
        <f>_xlfn.XLOOKUP(Table3[[#This Row],[Product Name]],Sales!A:A,Sales!B:B)</f>
        <v>15.24</v>
      </c>
      <c r="R634">
        <f>_xlfn.XLOOKUP(Table3[[#This Row],[Product Name]],Sales!A:A,Sales!C:C)</f>
        <v>5</v>
      </c>
      <c r="S634">
        <f>_xlfn.XLOOKUP(Table3[[#This Row],[Product Name]],Sales!A:A,Sales!D:D)</f>
        <v>0.2</v>
      </c>
      <c r="T634">
        <f>_xlfn.XLOOKUP(Table3[[#This Row],[Product Name]],Sales!A:A,Sales!E:E)</f>
        <v>5.1435000000000004</v>
      </c>
    </row>
    <row r="635" spans="1:20" x14ac:dyDescent="0.3">
      <c r="A635">
        <v>630</v>
      </c>
      <c r="B635" t="s">
        <v>1653</v>
      </c>
      <c r="C635">
        <v>17</v>
      </c>
      <c r="D635">
        <v>12</v>
      </c>
      <c r="E635">
        <v>2021</v>
      </c>
      <c r="F635" t="s">
        <v>37</v>
      </c>
      <c r="G635" t="s">
        <v>619</v>
      </c>
      <c r="H635" t="s">
        <v>2705</v>
      </c>
      <c r="I635" t="s">
        <v>19</v>
      </c>
      <c r="J635" t="s">
        <v>2422</v>
      </c>
      <c r="K635" t="s">
        <v>31</v>
      </c>
      <c r="L635">
        <v>94122</v>
      </c>
      <c r="M635" t="s">
        <v>792</v>
      </c>
      <c r="N635" t="s">
        <v>33</v>
      </c>
      <c r="O635" t="s">
        <v>70</v>
      </c>
      <c r="P635" t="s">
        <v>793</v>
      </c>
      <c r="Q635">
        <f>_xlfn.XLOOKUP(Table3[[#This Row],[Product Name]],Sales!A:A,Sales!B:B)</f>
        <v>8.82</v>
      </c>
      <c r="R635">
        <f>_xlfn.XLOOKUP(Table3[[#This Row],[Product Name]],Sales!A:A,Sales!C:C)</f>
        <v>2</v>
      </c>
      <c r="S635">
        <f>_xlfn.XLOOKUP(Table3[[#This Row],[Product Name]],Sales!A:A,Sales!D:D)</f>
        <v>0</v>
      </c>
      <c r="T635">
        <f>_xlfn.XLOOKUP(Table3[[#This Row],[Product Name]],Sales!A:A,Sales!E:E)</f>
        <v>4.0571999999999999</v>
      </c>
    </row>
    <row r="636" spans="1:20" x14ac:dyDescent="0.3">
      <c r="A636">
        <v>631</v>
      </c>
      <c r="B636" t="s">
        <v>1656</v>
      </c>
      <c r="C636">
        <v>11</v>
      </c>
      <c r="D636">
        <v>12</v>
      </c>
      <c r="E636">
        <v>2020</v>
      </c>
      <c r="F636" t="s">
        <v>17</v>
      </c>
      <c r="G636" t="s">
        <v>1657</v>
      </c>
      <c r="H636" t="s">
        <v>2858</v>
      </c>
      <c r="I636" t="s">
        <v>19</v>
      </c>
      <c r="J636" t="s">
        <v>2448</v>
      </c>
      <c r="K636" t="s">
        <v>31</v>
      </c>
      <c r="L636">
        <v>80013</v>
      </c>
      <c r="M636" t="s">
        <v>1658</v>
      </c>
      <c r="N636" t="s">
        <v>33</v>
      </c>
      <c r="O636" t="s">
        <v>43</v>
      </c>
      <c r="P636" t="s">
        <v>1659</v>
      </c>
      <c r="Q636">
        <f>_xlfn.XLOOKUP(Table3[[#This Row],[Product Name]],Sales!A:A,Sales!B:B)</f>
        <v>243.38399999999999</v>
      </c>
      <c r="R636">
        <f>_xlfn.XLOOKUP(Table3[[#This Row],[Product Name]],Sales!A:A,Sales!C:C)</f>
        <v>3</v>
      </c>
      <c r="S636">
        <f>_xlfn.XLOOKUP(Table3[[#This Row],[Product Name]],Sales!A:A,Sales!D:D)</f>
        <v>0.2</v>
      </c>
      <c r="T636">
        <f>_xlfn.XLOOKUP(Table3[[#This Row],[Product Name]],Sales!A:A,Sales!E:E)</f>
        <v>-51.719099999999997</v>
      </c>
    </row>
    <row r="637" spans="1:20" x14ac:dyDescent="0.3">
      <c r="A637">
        <v>632</v>
      </c>
      <c r="B637" t="s">
        <v>1656</v>
      </c>
      <c r="C637">
        <v>11</v>
      </c>
      <c r="D637">
        <v>12</v>
      </c>
      <c r="E637">
        <v>2020</v>
      </c>
      <c r="F637" t="s">
        <v>17</v>
      </c>
      <c r="G637" t="s">
        <v>1657</v>
      </c>
      <c r="H637" t="s">
        <v>2858</v>
      </c>
      <c r="I637" t="s">
        <v>19</v>
      </c>
      <c r="J637" t="s">
        <v>2448</v>
      </c>
      <c r="K637" t="s">
        <v>31</v>
      </c>
      <c r="L637">
        <v>80013</v>
      </c>
      <c r="M637" t="s">
        <v>1660</v>
      </c>
      <c r="N637" t="s">
        <v>54</v>
      </c>
      <c r="O637" t="s">
        <v>118</v>
      </c>
      <c r="P637" t="s">
        <v>1661</v>
      </c>
      <c r="Q637">
        <f>_xlfn.XLOOKUP(Table3[[#This Row],[Product Name]],Sales!A:A,Sales!B:B)</f>
        <v>119.8</v>
      </c>
      <c r="R637">
        <f>_xlfn.XLOOKUP(Table3[[#This Row],[Product Name]],Sales!A:A,Sales!C:C)</f>
        <v>5</v>
      </c>
      <c r="S637">
        <f>_xlfn.XLOOKUP(Table3[[#This Row],[Product Name]],Sales!A:A,Sales!D:D)</f>
        <v>0.2</v>
      </c>
      <c r="T637">
        <f>_xlfn.XLOOKUP(Table3[[#This Row],[Product Name]],Sales!A:A,Sales!E:E)</f>
        <v>29.95</v>
      </c>
    </row>
    <row r="638" spans="1:20" x14ac:dyDescent="0.3">
      <c r="A638">
        <v>633</v>
      </c>
      <c r="B638" t="s">
        <v>1656</v>
      </c>
      <c r="C638">
        <v>11</v>
      </c>
      <c r="D638">
        <v>12</v>
      </c>
      <c r="E638">
        <v>2020</v>
      </c>
      <c r="F638" t="s">
        <v>17</v>
      </c>
      <c r="G638" t="s">
        <v>1657</v>
      </c>
      <c r="H638" t="s">
        <v>2858</v>
      </c>
      <c r="I638" t="s">
        <v>19</v>
      </c>
      <c r="J638" t="s">
        <v>2448</v>
      </c>
      <c r="K638" t="s">
        <v>31</v>
      </c>
      <c r="L638">
        <v>80013</v>
      </c>
      <c r="M638" t="s">
        <v>1662</v>
      </c>
      <c r="N638" t="s">
        <v>54</v>
      </c>
      <c r="O638" t="s">
        <v>55</v>
      </c>
      <c r="P638" t="s">
        <v>1663</v>
      </c>
      <c r="Q638">
        <f>_xlfn.XLOOKUP(Table3[[#This Row],[Product Name]],Sales!A:A,Sales!B:B)</f>
        <v>300.76799999999997</v>
      </c>
      <c r="R638">
        <f>_xlfn.XLOOKUP(Table3[[#This Row],[Product Name]],Sales!A:A,Sales!C:C)</f>
        <v>4</v>
      </c>
      <c r="S638">
        <f>_xlfn.XLOOKUP(Table3[[#This Row],[Product Name]],Sales!A:A,Sales!D:D)</f>
        <v>0.2</v>
      </c>
      <c r="T638">
        <f>_xlfn.XLOOKUP(Table3[[#This Row],[Product Name]],Sales!A:A,Sales!E:E)</f>
        <v>30.076799999999999</v>
      </c>
    </row>
    <row r="639" spans="1:20" x14ac:dyDescent="0.3">
      <c r="A639">
        <v>634</v>
      </c>
      <c r="B639" t="s">
        <v>1664</v>
      </c>
      <c r="C639">
        <v>24</v>
      </c>
      <c r="D639">
        <v>9</v>
      </c>
      <c r="E639">
        <v>2021</v>
      </c>
      <c r="F639" t="s">
        <v>17</v>
      </c>
      <c r="G639" t="s">
        <v>1416</v>
      </c>
      <c r="H639" t="s">
        <v>2815</v>
      </c>
      <c r="I639" t="s">
        <v>19</v>
      </c>
      <c r="J639" t="s">
        <v>2520</v>
      </c>
      <c r="K639" t="s">
        <v>20</v>
      </c>
      <c r="L639">
        <v>33180</v>
      </c>
      <c r="M639" t="s">
        <v>1665</v>
      </c>
      <c r="N639" t="s">
        <v>54</v>
      </c>
      <c r="O639" t="s">
        <v>118</v>
      </c>
      <c r="P639" t="s">
        <v>1666</v>
      </c>
      <c r="Q639">
        <f>_xlfn.XLOOKUP(Table3[[#This Row],[Product Name]],Sales!A:A,Sales!B:B)</f>
        <v>17.88</v>
      </c>
      <c r="R639">
        <f>_xlfn.XLOOKUP(Table3[[#This Row],[Product Name]],Sales!A:A,Sales!C:C)</f>
        <v>3</v>
      </c>
      <c r="S639">
        <f>_xlfn.XLOOKUP(Table3[[#This Row],[Product Name]],Sales!A:A,Sales!D:D)</f>
        <v>0.2</v>
      </c>
      <c r="T639">
        <f>_xlfn.XLOOKUP(Table3[[#This Row],[Product Name]],Sales!A:A,Sales!E:E)</f>
        <v>2.4584999999999999</v>
      </c>
    </row>
    <row r="640" spans="1:20" x14ac:dyDescent="0.3">
      <c r="A640">
        <v>635</v>
      </c>
      <c r="B640" t="s">
        <v>1664</v>
      </c>
      <c r="C640">
        <v>24</v>
      </c>
      <c r="D640">
        <v>9</v>
      </c>
      <c r="E640">
        <v>2021</v>
      </c>
      <c r="F640" t="s">
        <v>17</v>
      </c>
      <c r="G640" t="s">
        <v>1416</v>
      </c>
      <c r="H640" t="s">
        <v>2815</v>
      </c>
      <c r="I640" t="s">
        <v>19</v>
      </c>
      <c r="J640" t="s">
        <v>2520</v>
      </c>
      <c r="K640" t="s">
        <v>20</v>
      </c>
      <c r="L640">
        <v>33180</v>
      </c>
      <c r="M640" t="s">
        <v>1567</v>
      </c>
      <c r="N640" t="s">
        <v>33</v>
      </c>
      <c r="O640" t="s">
        <v>34</v>
      </c>
      <c r="P640" t="s">
        <v>1568</v>
      </c>
      <c r="Q640">
        <f>_xlfn.XLOOKUP(Table3[[#This Row],[Product Name]],Sales!A:A,Sales!B:B)</f>
        <v>294.93</v>
      </c>
      <c r="R640">
        <f>_xlfn.XLOOKUP(Table3[[#This Row],[Product Name]],Sales!A:A,Sales!C:C)</f>
        <v>3</v>
      </c>
      <c r="S640">
        <f>_xlfn.XLOOKUP(Table3[[#This Row],[Product Name]],Sales!A:A,Sales!D:D)</f>
        <v>0</v>
      </c>
      <c r="T640">
        <f>_xlfn.XLOOKUP(Table3[[#This Row],[Product Name]],Sales!A:A,Sales!E:E)</f>
        <v>144.51570000000001</v>
      </c>
    </row>
    <row r="641" spans="1:20" x14ac:dyDescent="0.3">
      <c r="A641">
        <v>636</v>
      </c>
      <c r="B641" t="s">
        <v>1667</v>
      </c>
      <c r="C641">
        <v>4</v>
      </c>
      <c r="D641">
        <v>10</v>
      </c>
      <c r="E641">
        <v>2019</v>
      </c>
      <c r="F641" t="s">
        <v>17</v>
      </c>
      <c r="G641" t="s">
        <v>1668</v>
      </c>
      <c r="H641" t="s">
        <v>2859</v>
      </c>
      <c r="I641" t="s">
        <v>30</v>
      </c>
      <c r="J641" t="s">
        <v>2557</v>
      </c>
      <c r="K641" t="s">
        <v>20</v>
      </c>
      <c r="L641">
        <v>31088</v>
      </c>
      <c r="M641" t="s">
        <v>1669</v>
      </c>
      <c r="N641" t="s">
        <v>22</v>
      </c>
      <c r="O641" t="s">
        <v>26</v>
      </c>
      <c r="P641" t="s">
        <v>1670</v>
      </c>
      <c r="Q641">
        <f>_xlfn.XLOOKUP(Table3[[#This Row],[Product Name]],Sales!A:A,Sales!B:B)</f>
        <v>392.94</v>
      </c>
      <c r="R641">
        <f>_xlfn.XLOOKUP(Table3[[#This Row],[Product Name]],Sales!A:A,Sales!C:C)</f>
        <v>3</v>
      </c>
      <c r="S641">
        <f>_xlfn.XLOOKUP(Table3[[#This Row],[Product Name]],Sales!A:A,Sales!D:D)</f>
        <v>0</v>
      </c>
      <c r="T641">
        <f>_xlfn.XLOOKUP(Table3[[#This Row],[Product Name]],Sales!A:A,Sales!E:E)</f>
        <v>43.223399999999998</v>
      </c>
    </row>
    <row r="642" spans="1:20" x14ac:dyDescent="0.3">
      <c r="A642">
        <v>637</v>
      </c>
      <c r="B642" t="s">
        <v>1671</v>
      </c>
      <c r="C642">
        <v>15</v>
      </c>
      <c r="D642">
        <v>8</v>
      </c>
      <c r="E642">
        <v>2020</v>
      </c>
      <c r="F642" t="s">
        <v>37</v>
      </c>
      <c r="G642" t="s">
        <v>1672</v>
      </c>
      <c r="H642" t="s">
        <v>2860</v>
      </c>
      <c r="I642" t="s">
        <v>19</v>
      </c>
      <c r="J642" t="s">
        <v>2448</v>
      </c>
      <c r="K642" t="s">
        <v>31</v>
      </c>
      <c r="L642">
        <v>80013</v>
      </c>
      <c r="M642" t="s">
        <v>1673</v>
      </c>
      <c r="N642" t="s">
        <v>33</v>
      </c>
      <c r="O642" t="s">
        <v>58</v>
      </c>
      <c r="P642" t="s">
        <v>1674</v>
      </c>
      <c r="Q642">
        <f>_xlfn.XLOOKUP(Table3[[#This Row],[Product Name]],Sales!A:A,Sales!B:B)</f>
        <v>18.882000000000001</v>
      </c>
      <c r="R642">
        <f>_xlfn.XLOOKUP(Table3[[#This Row],[Product Name]],Sales!A:A,Sales!C:C)</f>
        <v>3</v>
      </c>
      <c r="S642">
        <f>_xlfn.XLOOKUP(Table3[[#This Row],[Product Name]],Sales!A:A,Sales!D:D)</f>
        <v>0.7</v>
      </c>
      <c r="T642">
        <f>_xlfn.XLOOKUP(Table3[[#This Row],[Product Name]],Sales!A:A,Sales!E:E)</f>
        <v>-13.8468</v>
      </c>
    </row>
    <row r="643" spans="1:20" x14ac:dyDescent="0.3">
      <c r="A643">
        <v>638</v>
      </c>
      <c r="B643" t="s">
        <v>1671</v>
      </c>
      <c r="C643">
        <v>15</v>
      </c>
      <c r="D643">
        <v>8</v>
      </c>
      <c r="E643">
        <v>2020</v>
      </c>
      <c r="F643" t="s">
        <v>37</v>
      </c>
      <c r="G643" t="s">
        <v>1672</v>
      </c>
      <c r="H643" t="s">
        <v>2860</v>
      </c>
      <c r="I643" t="s">
        <v>19</v>
      </c>
      <c r="J643" t="s">
        <v>2448</v>
      </c>
      <c r="K643" t="s">
        <v>31</v>
      </c>
      <c r="L643">
        <v>80013</v>
      </c>
      <c r="M643" t="s">
        <v>1675</v>
      </c>
      <c r="N643" t="s">
        <v>33</v>
      </c>
      <c r="O643" t="s">
        <v>61</v>
      </c>
      <c r="P643" t="s">
        <v>1676</v>
      </c>
      <c r="Q643">
        <f>_xlfn.XLOOKUP(Table3[[#This Row],[Product Name]],Sales!A:A,Sales!B:B)</f>
        <v>122.328</v>
      </c>
      <c r="R643">
        <f>_xlfn.XLOOKUP(Table3[[#This Row],[Product Name]],Sales!A:A,Sales!C:C)</f>
        <v>3</v>
      </c>
      <c r="S643">
        <f>_xlfn.XLOOKUP(Table3[[#This Row],[Product Name]],Sales!A:A,Sales!D:D)</f>
        <v>0.2</v>
      </c>
      <c r="T643">
        <f>_xlfn.XLOOKUP(Table3[[#This Row],[Product Name]],Sales!A:A,Sales!E:E)</f>
        <v>12.232799999999999</v>
      </c>
    </row>
    <row r="644" spans="1:20" x14ac:dyDescent="0.3">
      <c r="A644">
        <v>639</v>
      </c>
      <c r="B644" t="s">
        <v>1677</v>
      </c>
      <c r="C644">
        <v>20</v>
      </c>
      <c r="D644">
        <v>5</v>
      </c>
      <c r="E644">
        <v>2020</v>
      </c>
      <c r="F644" t="s">
        <v>37</v>
      </c>
      <c r="G644" t="s">
        <v>330</v>
      </c>
      <c r="H644" t="s">
        <v>2655</v>
      </c>
      <c r="I644" t="s">
        <v>78</v>
      </c>
      <c r="J644" t="s">
        <v>2558</v>
      </c>
      <c r="K644" t="s">
        <v>31</v>
      </c>
      <c r="L644">
        <v>94591</v>
      </c>
      <c r="M644" t="s">
        <v>704</v>
      </c>
      <c r="N644" t="s">
        <v>22</v>
      </c>
      <c r="O644" t="s">
        <v>48</v>
      </c>
      <c r="P644" t="s">
        <v>705</v>
      </c>
      <c r="Q644">
        <f>_xlfn.XLOOKUP(Table3[[#This Row],[Product Name]],Sales!A:A,Sales!B:B)</f>
        <v>419.68</v>
      </c>
      <c r="R644">
        <f>_xlfn.XLOOKUP(Table3[[#This Row],[Product Name]],Sales!A:A,Sales!C:C)</f>
        <v>5</v>
      </c>
      <c r="S644">
        <f>_xlfn.XLOOKUP(Table3[[#This Row],[Product Name]],Sales!A:A,Sales!D:D)</f>
        <v>0.6</v>
      </c>
      <c r="T644">
        <f>_xlfn.XLOOKUP(Table3[[#This Row],[Product Name]],Sales!A:A,Sales!E:E)</f>
        <v>-356.72800000000001</v>
      </c>
    </row>
    <row r="645" spans="1:20" x14ac:dyDescent="0.3">
      <c r="A645">
        <v>640</v>
      </c>
      <c r="B645" t="s">
        <v>1677</v>
      </c>
      <c r="C645">
        <v>20</v>
      </c>
      <c r="D645">
        <v>5</v>
      </c>
      <c r="E645">
        <v>2020</v>
      </c>
      <c r="F645" t="s">
        <v>37</v>
      </c>
      <c r="G645" t="s">
        <v>330</v>
      </c>
      <c r="H645" t="s">
        <v>2655</v>
      </c>
      <c r="I645" t="s">
        <v>78</v>
      </c>
      <c r="J645" t="s">
        <v>2558</v>
      </c>
      <c r="K645" t="s">
        <v>31</v>
      </c>
      <c r="L645">
        <v>94591</v>
      </c>
      <c r="M645" t="s">
        <v>1678</v>
      </c>
      <c r="N645" t="s">
        <v>33</v>
      </c>
      <c r="O645" t="s">
        <v>58</v>
      </c>
      <c r="P645" t="s">
        <v>1679</v>
      </c>
      <c r="Q645">
        <f>_xlfn.XLOOKUP(Table3[[#This Row],[Product Name]],Sales!A:A,Sales!B:B)</f>
        <v>15.423999999999999</v>
      </c>
      <c r="R645">
        <f>_xlfn.XLOOKUP(Table3[[#This Row],[Product Name]],Sales!A:A,Sales!C:C)</f>
        <v>4</v>
      </c>
      <c r="S645">
        <f>_xlfn.XLOOKUP(Table3[[#This Row],[Product Name]],Sales!A:A,Sales!D:D)</f>
        <v>0.2</v>
      </c>
      <c r="T645">
        <f>_xlfn.XLOOKUP(Table3[[#This Row],[Product Name]],Sales!A:A,Sales!E:E)</f>
        <v>5.0128000000000004</v>
      </c>
    </row>
    <row r="646" spans="1:20" x14ac:dyDescent="0.3">
      <c r="A646">
        <v>641</v>
      </c>
      <c r="B646" t="s">
        <v>1680</v>
      </c>
      <c r="C646">
        <v>18</v>
      </c>
      <c r="D646">
        <v>12</v>
      </c>
      <c r="E646">
        <v>2020</v>
      </c>
      <c r="F646" t="s">
        <v>37</v>
      </c>
      <c r="G646" t="s">
        <v>1681</v>
      </c>
      <c r="H646" t="s">
        <v>2861</v>
      </c>
      <c r="I646" t="s">
        <v>30</v>
      </c>
      <c r="J646" t="s">
        <v>2445</v>
      </c>
      <c r="K646" t="s">
        <v>79</v>
      </c>
      <c r="L646">
        <v>55407</v>
      </c>
      <c r="M646" t="s">
        <v>1682</v>
      </c>
      <c r="N646" t="s">
        <v>22</v>
      </c>
      <c r="O646" t="s">
        <v>48</v>
      </c>
      <c r="P646" t="s">
        <v>1683</v>
      </c>
      <c r="Q646">
        <f>_xlfn.XLOOKUP(Table3[[#This Row],[Product Name]],Sales!A:A,Sales!B:B)</f>
        <v>18.84</v>
      </c>
      <c r="R646">
        <f>_xlfn.XLOOKUP(Table3[[#This Row],[Product Name]],Sales!A:A,Sales!C:C)</f>
        <v>3</v>
      </c>
      <c r="S646">
        <f>_xlfn.XLOOKUP(Table3[[#This Row],[Product Name]],Sales!A:A,Sales!D:D)</f>
        <v>0</v>
      </c>
      <c r="T646">
        <f>_xlfn.XLOOKUP(Table3[[#This Row],[Product Name]],Sales!A:A,Sales!E:E)</f>
        <v>6.0288000000000004</v>
      </c>
    </row>
    <row r="647" spans="1:20" x14ac:dyDescent="0.3">
      <c r="A647">
        <v>642</v>
      </c>
      <c r="B647" t="s">
        <v>1684</v>
      </c>
      <c r="C647">
        <v>30</v>
      </c>
      <c r="D647">
        <v>7</v>
      </c>
      <c r="E647">
        <v>2021</v>
      </c>
      <c r="F647" t="s">
        <v>17</v>
      </c>
      <c r="G647" t="s">
        <v>1685</v>
      </c>
      <c r="H647" t="s">
        <v>2862</v>
      </c>
      <c r="I647" t="s">
        <v>19</v>
      </c>
      <c r="J647" t="s">
        <v>2559</v>
      </c>
      <c r="K647" t="s">
        <v>31</v>
      </c>
      <c r="L647">
        <v>92691</v>
      </c>
      <c r="M647" t="s">
        <v>1686</v>
      </c>
      <c r="N647" t="s">
        <v>33</v>
      </c>
      <c r="O647" t="s">
        <v>43</v>
      </c>
      <c r="P647" t="s">
        <v>1687</v>
      </c>
      <c r="Q647">
        <f>_xlfn.XLOOKUP(Table3[[#This Row],[Product Name]],Sales!A:A,Sales!B:B)</f>
        <v>330.4</v>
      </c>
      <c r="R647">
        <f>_xlfn.XLOOKUP(Table3[[#This Row],[Product Name]],Sales!A:A,Sales!C:C)</f>
        <v>2</v>
      </c>
      <c r="S647">
        <f>_xlfn.XLOOKUP(Table3[[#This Row],[Product Name]],Sales!A:A,Sales!D:D)</f>
        <v>0</v>
      </c>
      <c r="T647">
        <f>_xlfn.XLOOKUP(Table3[[#This Row],[Product Name]],Sales!A:A,Sales!E:E)</f>
        <v>85.903999999999996</v>
      </c>
    </row>
    <row r="648" spans="1:20" x14ac:dyDescent="0.3">
      <c r="A648">
        <v>643</v>
      </c>
      <c r="B648" t="s">
        <v>1684</v>
      </c>
      <c r="C648">
        <v>30</v>
      </c>
      <c r="D648">
        <v>7</v>
      </c>
      <c r="E648">
        <v>2021</v>
      </c>
      <c r="F648" t="s">
        <v>17</v>
      </c>
      <c r="G648" t="s">
        <v>1685</v>
      </c>
      <c r="H648" t="s">
        <v>2862</v>
      </c>
      <c r="I648" t="s">
        <v>19</v>
      </c>
      <c r="J648" t="s">
        <v>2559</v>
      </c>
      <c r="K648" t="s">
        <v>31</v>
      </c>
      <c r="L648">
        <v>92691</v>
      </c>
      <c r="M648" t="s">
        <v>1688</v>
      </c>
      <c r="N648" t="s">
        <v>33</v>
      </c>
      <c r="O648" t="s">
        <v>34</v>
      </c>
      <c r="P648" t="s">
        <v>1689</v>
      </c>
      <c r="Q648">
        <f>_xlfn.XLOOKUP(Table3[[#This Row],[Product Name]],Sales!A:A,Sales!B:B)</f>
        <v>26.25</v>
      </c>
      <c r="R648">
        <f>_xlfn.XLOOKUP(Table3[[#This Row],[Product Name]],Sales!A:A,Sales!C:C)</f>
        <v>7</v>
      </c>
      <c r="S648">
        <f>_xlfn.XLOOKUP(Table3[[#This Row],[Product Name]],Sales!A:A,Sales!D:D)</f>
        <v>0</v>
      </c>
      <c r="T648">
        <f>_xlfn.XLOOKUP(Table3[[#This Row],[Product Name]],Sales!A:A,Sales!E:E)</f>
        <v>12.6</v>
      </c>
    </row>
    <row r="649" spans="1:20" x14ac:dyDescent="0.3">
      <c r="A649">
        <v>644</v>
      </c>
      <c r="B649" t="s">
        <v>1690</v>
      </c>
      <c r="C649">
        <v>10</v>
      </c>
      <c r="D649">
        <v>6</v>
      </c>
      <c r="E649">
        <v>2021</v>
      </c>
      <c r="F649" t="s">
        <v>37</v>
      </c>
      <c r="G649" t="s">
        <v>1691</v>
      </c>
      <c r="H649" t="s">
        <v>2863</v>
      </c>
      <c r="I649" t="s">
        <v>19</v>
      </c>
      <c r="J649" t="s">
        <v>2560</v>
      </c>
      <c r="K649" t="s">
        <v>79</v>
      </c>
      <c r="L649">
        <v>48307</v>
      </c>
      <c r="M649" t="s">
        <v>694</v>
      </c>
      <c r="N649" t="s">
        <v>54</v>
      </c>
      <c r="O649" t="s">
        <v>118</v>
      </c>
      <c r="P649" t="s">
        <v>1414</v>
      </c>
      <c r="Q649">
        <f>_xlfn.XLOOKUP(Table3[[#This Row],[Product Name]],Sales!A:A,Sales!B:B)</f>
        <v>66.260000000000005</v>
      </c>
      <c r="R649">
        <f>_xlfn.XLOOKUP(Table3[[#This Row],[Product Name]],Sales!A:A,Sales!C:C)</f>
        <v>2</v>
      </c>
      <c r="S649">
        <f>_xlfn.XLOOKUP(Table3[[#This Row],[Product Name]],Sales!A:A,Sales!D:D)</f>
        <v>0</v>
      </c>
      <c r="T649">
        <f>_xlfn.XLOOKUP(Table3[[#This Row],[Product Name]],Sales!A:A,Sales!E:E)</f>
        <v>27.166599999999999</v>
      </c>
    </row>
    <row r="650" spans="1:20" x14ac:dyDescent="0.3">
      <c r="A650">
        <v>645</v>
      </c>
      <c r="B650" t="s">
        <v>1692</v>
      </c>
      <c r="C650">
        <v>21</v>
      </c>
      <c r="D650">
        <v>7</v>
      </c>
      <c r="E650">
        <v>2021</v>
      </c>
      <c r="F650" t="s">
        <v>37</v>
      </c>
      <c r="G650" t="s">
        <v>469</v>
      </c>
      <c r="H650" t="s">
        <v>2679</v>
      </c>
      <c r="I650" t="s">
        <v>78</v>
      </c>
      <c r="J650" t="s">
        <v>2561</v>
      </c>
      <c r="K650" t="s">
        <v>108</v>
      </c>
      <c r="L650">
        <v>7060</v>
      </c>
      <c r="M650" t="s">
        <v>1693</v>
      </c>
      <c r="N650" t="s">
        <v>33</v>
      </c>
      <c r="O650" t="s">
        <v>70</v>
      </c>
      <c r="P650" t="s">
        <v>1694</v>
      </c>
      <c r="Q650">
        <f>_xlfn.XLOOKUP(Table3[[#This Row],[Product Name]],Sales!A:A,Sales!B:B)</f>
        <v>6.48</v>
      </c>
      <c r="R650">
        <f>_xlfn.XLOOKUP(Table3[[#This Row],[Product Name]],Sales!A:A,Sales!C:C)</f>
        <v>1</v>
      </c>
      <c r="S650">
        <f>_xlfn.XLOOKUP(Table3[[#This Row],[Product Name]],Sales!A:A,Sales!D:D)</f>
        <v>0</v>
      </c>
      <c r="T650">
        <f>_xlfn.XLOOKUP(Table3[[#This Row],[Product Name]],Sales!A:A,Sales!E:E)</f>
        <v>3.1751999999999998</v>
      </c>
    </row>
    <row r="651" spans="1:20" x14ac:dyDescent="0.3">
      <c r="A651">
        <v>646</v>
      </c>
      <c r="B651" t="s">
        <v>1695</v>
      </c>
      <c r="C651">
        <v>30</v>
      </c>
      <c r="D651">
        <v>12</v>
      </c>
      <c r="E651">
        <v>2021</v>
      </c>
      <c r="F651" t="s">
        <v>37</v>
      </c>
      <c r="G651" t="s">
        <v>1696</v>
      </c>
      <c r="H651" t="s">
        <v>2864</v>
      </c>
      <c r="I651" t="s">
        <v>78</v>
      </c>
      <c r="J651" t="s">
        <v>2531</v>
      </c>
      <c r="K651" t="s">
        <v>79</v>
      </c>
      <c r="L651">
        <v>47201</v>
      </c>
      <c r="M651" t="s">
        <v>1697</v>
      </c>
      <c r="N651" t="s">
        <v>33</v>
      </c>
      <c r="O651" t="s">
        <v>61</v>
      </c>
      <c r="P651" t="s">
        <v>1698</v>
      </c>
      <c r="Q651">
        <f>_xlfn.XLOOKUP(Table3[[#This Row],[Product Name]],Sales!A:A,Sales!B:B)</f>
        <v>209.3</v>
      </c>
      <c r="R651">
        <f>_xlfn.XLOOKUP(Table3[[#This Row],[Product Name]],Sales!A:A,Sales!C:C)</f>
        <v>2</v>
      </c>
      <c r="S651">
        <f>_xlfn.XLOOKUP(Table3[[#This Row],[Product Name]],Sales!A:A,Sales!D:D)</f>
        <v>0</v>
      </c>
      <c r="T651">
        <f>_xlfn.XLOOKUP(Table3[[#This Row],[Product Name]],Sales!A:A,Sales!E:E)</f>
        <v>56.511000000000003</v>
      </c>
    </row>
    <row r="652" spans="1:20" x14ac:dyDescent="0.3">
      <c r="A652">
        <v>647</v>
      </c>
      <c r="B652" t="s">
        <v>1699</v>
      </c>
      <c r="C652">
        <v>1</v>
      </c>
      <c r="D652">
        <v>4</v>
      </c>
      <c r="E652">
        <v>2020</v>
      </c>
      <c r="F652" t="s">
        <v>37</v>
      </c>
      <c r="G652" t="s">
        <v>791</v>
      </c>
      <c r="H652" t="s">
        <v>2731</v>
      </c>
      <c r="I652" t="s">
        <v>30</v>
      </c>
      <c r="J652" t="s">
        <v>2562</v>
      </c>
      <c r="K652" t="s">
        <v>31</v>
      </c>
      <c r="L652">
        <v>85635</v>
      </c>
      <c r="M652" t="s">
        <v>1700</v>
      </c>
      <c r="N652" t="s">
        <v>33</v>
      </c>
      <c r="O652" t="s">
        <v>199</v>
      </c>
      <c r="P652" t="s">
        <v>424</v>
      </c>
      <c r="Q652">
        <f>_xlfn.XLOOKUP(Table3[[#This Row],[Product Name]],Sales!A:A,Sales!B:B)</f>
        <v>21.456</v>
      </c>
      <c r="R652">
        <f>_xlfn.XLOOKUP(Table3[[#This Row],[Product Name]],Sales!A:A,Sales!C:C)</f>
        <v>9</v>
      </c>
      <c r="S652">
        <f>_xlfn.XLOOKUP(Table3[[#This Row],[Product Name]],Sales!A:A,Sales!D:D)</f>
        <v>0.2</v>
      </c>
      <c r="T652">
        <f>_xlfn.XLOOKUP(Table3[[#This Row],[Product Name]],Sales!A:A,Sales!E:E)</f>
        <v>6.9732000000000003</v>
      </c>
    </row>
    <row r="653" spans="1:20" x14ac:dyDescent="0.3">
      <c r="A653">
        <v>648</v>
      </c>
      <c r="B653" t="s">
        <v>1699</v>
      </c>
      <c r="C653">
        <v>1</v>
      </c>
      <c r="D653">
        <v>4</v>
      </c>
      <c r="E653">
        <v>2020</v>
      </c>
      <c r="F653" t="s">
        <v>37</v>
      </c>
      <c r="G653" t="s">
        <v>791</v>
      </c>
      <c r="H653" t="s">
        <v>2731</v>
      </c>
      <c r="I653" t="s">
        <v>30</v>
      </c>
      <c r="J653" t="s">
        <v>2562</v>
      </c>
      <c r="K653" t="s">
        <v>31</v>
      </c>
      <c r="L653">
        <v>85635</v>
      </c>
      <c r="M653" t="s">
        <v>1701</v>
      </c>
      <c r="N653" t="s">
        <v>33</v>
      </c>
      <c r="O653" t="s">
        <v>61</v>
      </c>
      <c r="P653" t="s">
        <v>1702</v>
      </c>
      <c r="Q653">
        <f>_xlfn.XLOOKUP(Table3[[#This Row],[Product Name]],Sales!A:A,Sales!B:B)</f>
        <v>30.143999999999998</v>
      </c>
      <c r="R653">
        <f>_xlfn.XLOOKUP(Table3[[#This Row],[Product Name]],Sales!A:A,Sales!C:C)</f>
        <v>2</v>
      </c>
      <c r="S653">
        <f>_xlfn.XLOOKUP(Table3[[#This Row],[Product Name]],Sales!A:A,Sales!D:D)</f>
        <v>0.2</v>
      </c>
      <c r="T653">
        <f>_xlfn.XLOOKUP(Table3[[#This Row],[Product Name]],Sales!A:A,Sales!E:E)</f>
        <v>3.0144000000000002</v>
      </c>
    </row>
    <row r="654" spans="1:20" x14ac:dyDescent="0.3">
      <c r="A654">
        <v>649</v>
      </c>
      <c r="B654" t="s">
        <v>1703</v>
      </c>
      <c r="C654">
        <v>11</v>
      </c>
      <c r="D654">
        <v>12</v>
      </c>
      <c r="E654">
        <v>2020</v>
      </c>
      <c r="F654" t="s">
        <v>17</v>
      </c>
      <c r="G654" t="s">
        <v>1704</v>
      </c>
      <c r="H654" t="s">
        <v>2865</v>
      </c>
      <c r="I654" t="s">
        <v>30</v>
      </c>
      <c r="J654" t="s">
        <v>2563</v>
      </c>
      <c r="K654" t="s">
        <v>31</v>
      </c>
      <c r="L654">
        <v>98661</v>
      </c>
      <c r="M654" t="s">
        <v>1068</v>
      </c>
      <c r="N654" t="s">
        <v>22</v>
      </c>
      <c r="O654" t="s">
        <v>48</v>
      </c>
      <c r="P654" t="s">
        <v>1069</v>
      </c>
      <c r="Q654">
        <f>_xlfn.XLOOKUP(Table3[[#This Row],[Product Name]],Sales!A:A,Sales!B:B)</f>
        <v>2.96</v>
      </c>
      <c r="R654">
        <f>_xlfn.XLOOKUP(Table3[[#This Row],[Product Name]],Sales!A:A,Sales!C:C)</f>
        <v>1</v>
      </c>
      <c r="S654">
        <f>_xlfn.XLOOKUP(Table3[[#This Row],[Product Name]],Sales!A:A,Sales!D:D)</f>
        <v>0.2</v>
      </c>
      <c r="T654">
        <f>_xlfn.XLOOKUP(Table3[[#This Row],[Product Name]],Sales!A:A,Sales!E:E)</f>
        <v>0.77700000000000002</v>
      </c>
    </row>
    <row r="655" spans="1:20" x14ac:dyDescent="0.3">
      <c r="A655">
        <v>650</v>
      </c>
      <c r="B655" t="s">
        <v>1703</v>
      </c>
      <c r="C655">
        <v>11</v>
      </c>
      <c r="D655">
        <v>12</v>
      </c>
      <c r="E655">
        <v>2020</v>
      </c>
      <c r="F655" t="s">
        <v>17</v>
      </c>
      <c r="G655" t="s">
        <v>1704</v>
      </c>
      <c r="H655" t="s">
        <v>2865</v>
      </c>
      <c r="I655" t="s">
        <v>30</v>
      </c>
      <c r="J655" t="s">
        <v>2563</v>
      </c>
      <c r="K655" t="s">
        <v>31</v>
      </c>
      <c r="L655">
        <v>98661</v>
      </c>
      <c r="M655" t="s">
        <v>562</v>
      </c>
      <c r="N655" t="s">
        <v>54</v>
      </c>
      <c r="O655" t="s">
        <v>55</v>
      </c>
      <c r="P655" t="s">
        <v>563</v>
      </c>
      <c r="Q655">
        <f>_xlfn.XLOOKUP(Table3[[#This Row],[Product Name]],Sales!A:A,Sales!B:B)</f>
        <v>503.96</v>
      </c>
      <c r="R655">
        <f>_xlfn.XLOOKUP(Table3[[#This Row],[Product Name]],Sales!A:A,Sales!C:C)</f>
        <v>4</v>
      </c>
      <c r="S655">
        <f>_xlfn.XLOOKUP(Table3[[#This Row],[Product Name]],Sales!A:A,Sales!D:D)</f>
        <v>0</v>
      </c>
      <c r="T655">
        <f>_xlfn.XLOOKUP(Table3[[#This Row],[Product Name]],Sales!A:A,Sales!E:E)</f>
        <v>131.02959999999999</v>
      </c>
    </row>
    <row r="656" spans="1:20" x14ac:dyDescent="0.3">
      <c r="A656">
        <v>651</v>
      </c>
      <c r="B656" t="s">
        <v>1703</v>
      </c>
      <c r="C656">
        <v>11</v>
      </c>
      <c r="D656">
        <v>12</v>
      </c>
      <c r="E656">
        <v>2020</v>
      </c>
      <c r="F656" t="s">
        <v>17</v>
      </c>
      <c r="G656" t="s">
        <v>1704</v>
      </c>
      <c r="H656" t="s">
        <v>2865</v>
      </c>
      <c r="I656" t="s">
        <v>30</v>
      </c>
      <c r="J656" t="s">
        <v>2563</v>
      </c>
      <c r="K656" t="s">
        <v>31</v>
      </c>
      <c r="L656">
        <v>98661</v>
      </c>
      <c r="M656" t="s">
        <v>1705</v>
      </c>
      <c r="N656" t="s">
        <v>54</v>
      </c>
      <c r="O656" t="s">
        <v>118</v>
      </c>
      <c r="P656" t="s">
        <v>1706</v>
      </c>
      <c r="Q656">
        <f>_xlfn.XLOOKUP(Table3[[#This Row],[Product Name]],Sales!A:A,Sales!B:B)</f>
        <v>316</v>
      </c>
      <c r="R656">
        <f>_xlfn.XLOOKUP(Table3[[#This Row],[Product Name]],Sales!A:A,Sales!C:C)</f>
        <v>4</v>
      </c>
      <c r="S656">
        <f>_xlfn.XLOOKUP(Table3[[#This Row],[Product Name]],Sales!A:A,Sales!D:D)</f>
        <v>0</v>
      </c>
      <c r="T656">
        <f>_xlfn.XLOOKUP(Table3[[#This Row],[Product Name]],Sales!A:A,Sales!E:E)</f>
        <v>31.6</v>
      </c>
    </row>
    <row r="657" spans="1:20" x14ac:dyDescent="0.3">
      <c r="A657">
        <v>652</v>
      </c>
      <c r="B657" t="s">
        <v>1707</v>
      </c>
      <c r="C657">
        <v>23</v>
      </c>
      <c r="D657">
        <v>10</v>
      </c>
      <c r="E657">
        <v>2020</v>
      </c>
      <c r="F657" t="s">
        <v>37</v>
      </c>
      <c r="G657" t="s">
        <v>1708</v>
      </c>
      <c r="H657" t="s">
        <v>2866</v>
      </c>
      <c r="I657" t="s">
        <v>78</v>
      </c>
      <c r="J657" t="s">
        <v>2434</v>
      </c>
      <c r="K657" t="s">
        <v>108</v>
      </c>
      <c r="L657">
        <v>10024</v>
      </c>
      <c r="M657" t="s">
        <v>239</v>
      </c>
      <c r="N657" t="s">
        <v>33</v>
      </c>
      <c r="O657" t="s">
        <v>70</v>
      </c>
      <c r="P657" t="s">
        <v>240</v>
      </c>
      <c r="Q657">
        <f>_xlfn.XLOOKUP(Table3[[#This Row],[Product Name]],Sales!A:A,Sales!B:B)</f>
        <v>75.88</v>
      </c>
      <c r="R657">
        <f>_xlfn.XLOOKUP(Table3[[#This Row],[Product Name]],Sales!A:A,Sales!C:C)</f>
        <v>2</v>
      </c>
      <c r="S657">
        <f>_xlfn.XLOOKUP(Table3[[#This Row],[Product Name]],Sales!A:A,Sales!D:D)</f>
        <v>0</v>
      </c>
      <c r="T657">
        <f>_xlfn.XLOOKUP(Table3[[#This Row],[Product Name]],Sales!A:A,Sales!E:E)</f>
        <v>35.663600000000002</v>
      </c>
    </row>
    <row r="658" spans="1:20" x14ac:dyDescent="0.3">
      <c r="A658">
        <v>653</v>
      </c>
      <c r="B658" t="s">
        <v>1709</v>
      </c>
      <c r="C658">
        <v>19</v>
      </c>
      <c r="D658">
        <v>6</v>
      </c>
      <c r="E658">
        <v>2021</v>
      </c>
      <c r="F658" t="s">
        <v>37</v>
      </c>
      <c r="G658" t="s">
        <v>1037</v>
      </c>
      <c r="H658" t="s">
        <v>2763</v>
      </c>
      <c r="I658" t="s">
        <v>30</v>
      </c>
      <c r="J658" t="s">
        <v>2434</v>
      </c>
      <c r="K658" t="s">
        <v>108</v>
      </c>
      <c r="L658">
        <v>10035</v>
      </c>
      <c r="M658" t="s">
        <v>223</v>
      </c>
      <c r="N658" t="s">
        <v>33</v>
      </c>
      <c r="O658" t="s">
        <v>70</v>
      </c>
      <c r="P658" t="s">
        <v>224</v>
      </c>
      <c r="Q658">
        <f>_xlfn.XLOOKUP(Table3[[#This Row],[Product Name]],Sales!A:A,Sales!B:B)</f>
        <v>146.72999999999999</v>
      </c>
      <c r="R658">
        <f>_xlfn.XLOOKUP(Table3[[#This Row],[Product Name]],Sales!A:A,Sales!C:C)</f>
        <v>3</v>
      </c>
      <c r="S658">
        <f>_xlfn.XLOOKUP(Table3[[#This Row],[Product Name]],Sales!A:A,Sales!D:D)</f>
        <v>0</v>
      </c>
      <c r="T658">
        <f>_xlfn.XLOOKUP(Table3[[#This Row],[Product Name]],Sales!A:A,Sales!E:E)</f>
        <v>68.963099999999997</v>
      </c>
    </row>
    <row r="659" spans="1:20" x14ac:dyDescent="0.3">
      <c r="A659">
        <v>654</v>
      </c>
      <c r="B659" t="s">
        <v>1709</v>
      </c>
      <c r="C659">
        <v>19</v>
      </c>
      <c r="D659">
        <v>6</v>
      </c>
      <c r="E659">
        <v>2021</v>
      </c>
      <c r="F659" t="s">
        <v>37</v>
      </c>
      <c r="G659" t="s">
        <v>1037</v>
      </c>
      <c r="H659" t="s">
        <v>2763</v>
      </c>
      <c r="I659" t="s">
        <v>30</v>
      </c>
      <c r="J659" t="s">
        <v>2434</v>
      </c>
      <c r="K659" t="s">
        <v>108</v>
      </c>
      <c r="L659">
        <v>10035</v>
      </c>
      <c r="M659" t="s">
        <v>1710</v>
      </c>
      <c r="N659" t="s">
        <v>54</v>
      </c>
      <c r="O659" t="s">
        <v>118</v>
      </c>
      <c r="P659" t="s">
        <v>1711</v>
      </c>
      <c r="Q659">
        <f>_xlfn.XLOOKUP(Table3[[#This Row],[Product Name]],Sales!A:A,Sales!B:B)</f>
        <v>103.12</v>
      </c>
      <c r="R659">
        <f>_xlfn.XLOOKUP(Table3[[#This Row],[Product Name]],Sales!A:A,Sales!C:C)</f>
        <v>8</v>
      </c>
      <c r="S659">
        <f>_xlfn.XLOOKUP(Table3[[#This Row],[Product Name]],Sales!A:A,Sales!D:D)</f>
        <v>0</v>
      </c>
      <c r="T659">
        <f>_xlfn.XLOOKUP(Table3[[#This Row],[Product Name]],Sales!A:A,Sales!E:E)</f>
        <v>10.311999999999999</v>
      </c>
    </row>
    <row r="660" spans="1:20" x14ac:dyDescent="0.3">
      <c r="A660">
        <v>655</v>
      </c>
      <c r="B660" t="s">
        <v>1712</v>
      </c>
      <c r="C660">
        <v>22</v>
      </c>
      <c r="D660">
        <v>8</v>
      </c>
      <c r="E660">
        <v>2020</v>
      </c>
      <c r="F660" t="s">
        <v>37</v>
      </c>
      <c r="G660" t="s">
        <v>1713</v>
      </c>
      <c r="H660" t="s">
        <v>2867</v>
      </c>
      <c r="I660" t="s">
        <v>19</v>
      </c>
      <c r="J660" t="s">
        <v>2452</v>
      </c>
      <c r="K660" t="s">
        <v>108</v>
      </c>
      <c r="L660">
        <v>43229</v>
      </c>
      <c r="M660" t="s">
        <v>1714</v>
      </c>
      <c r="N660" t="s">
        <v>33</v>
      </c>
      <c r="O660" t="s">
        <v>61</v>
      </c>
      <c r="P660" t="s">
        <v>1715</v>
      </c>
      <c r="Q660">
        <f>_xlfn.XLOOKUP(Table3[[#This Row],[Product Name]],Sales!A:A,Sales!B:B)</f>
        <v>113.55200000000001</v>
      </c>
      <c r="R660">
        <f>_xlfn.XLOOKUP(Table3[[#This Row],[Product Name]],Sales!A:A,Sales!C:C)</f>
        <v>2</v>
      </c>
      <c r="S660">
        <f>_xlfn.XLOOKUP(Table3[[#This Row],[Product Name]],Sales!A:A,Sales!D:D)</f>
        <v>0.2</v>
      </c>
      <c r="T660">
        <f>_xlfn.XLOOKUP(Table3[[#This Row],[Product Name]],Sales!A:A,Sales!E:E)</f>
        <v>8.5164000000000009</v>
      </c>
    </row>
    <row r="661" spans="1:20" x14ac:dyDescent="0.3">
      <c r="A661">
        <v>656</v>
      </c>
      <c r="B661" t="s">
        <v>1712</v>
      </c>
      <c r="C661">
        <v>22</v>
      </c>
      <c r="D661">
        <v>8</v>
      </c>
      <c r="E661">
        <v>2020</v>
      </c>
      <c r="F661" t="s">
        <v>37</v>
      </c>
      <c r="G661" t="s">
        <v>1713</v>
      </c>
      <c r="H661" t="s">
        <v>2867</v>
      </c>
      <c r="I661" t="s">
        <v>19</v>
      </c>
      <c r="J661" t="s">
        <v>2452</v>
      </c>
      <c r="K661" t="s">
        <v>108</v>
      </c>
      <c r="L661">
        <v>43229</v>
      </c>
      <c r="M661" t="s">
        <v>1716</v>
      </c>
      <c r="N661" t="s">
        <v>33</v>
      </c>
      <c r="O661" t="s">
        <v>58</v>
      </c>
      <c r="P661" t="s">
        <v>1717</v>
      </c>
      <c r="Q661">
        <f>_xlfn.XLOOKUP(Table3[[#This Row],[Product Name]],Sales!A:A,Sales!B:B)</f>
        <v>3.3180000000000001</v>
      </c>
      <c r="R661">
        <f>_xlfn.XLOOKUP(Table3[[#This Row],[Product Name]],Sales!A:A,Sales!C:C)</f>
        <v>2</v>
      </c>
      <c r="S661">
        <f>_xlfn.XLOOKUP(Table3[[#This Row],[Product Name]],Sales!A:A,Sales!D:D)</f>
        <v>0.7</v>
      </c>
      <c r="T661">
        <f>_xlfn.XLOOKUP(Table3[[#This Row],[Product Name]],Sales!A:A,Sales!E:E)</f>
        <v>-2.6543999999999999</v>
      </c>
    </row>
    <row r="662" spans="1:20" x14ac:dyDescent="0.3">
      <c r="A662">
        <v>657</v>
      </c>
      <c r="B662" t="s">
        <v>1712</v>
      </c>
      <c r="C662">
        <v>22</v>
      </c>
      <c r="D662">
        <v>8</v>
      </c>
      <c r="E662">
        <v>2020</v>
      </c>
      <c r="F662" t="s">
        <v>37</v>
      </c>
      <c r="G662" t="s">
        <v>1713</v>
      </c>
      <c r="H662" t="s">
        <v>2867</v>
      </c>
      <c r="I662" t="s">
        <v>19</v>
      </c>
      <c r="J662" t="s">
        <v>2452</v>
      </c>
      <c r="K662" t="s">
        <v>108</v>
      </c>
      <c r="L662">
        <v>43229</v>
      </c>
      <c r="M662" t="s">
        <v>1718</v>
      </c>
      <c r="N662" t="s">
        <v>33</v>
      </c>
      <c r="O662" t="s">
        <v>129</v>
      </c>
      <c r="P662" t="s">
        <v>1719</v>
      </c>
      <c r="Q662">
        <f>_xlfn.XLOOKUP(Table3[[#This Row],[Product Name]],Sales!A:A,Sales!B:B)</f>
        <v>134.28800000000001</v>
      </c>
      <c r="R662">
        <f>_xlfn.XLOOKUP(Table3[[#This Row],[Product Name]],Sales!A:A,Sales!C:C)</f>
        <v>2</v>
      </c>
      <c r="S662">
        <f>_xlfn.XLOOKUP(Table3[[#This Row],[Product Name]],Sales!A:A,Sales!D:D)</f>
        <v>0.2</v>
      </c>
      <c r="T662">
        <f>_xlfn.XLOOKUP(Table3[[#This Row],[Product Name]],Sales!A:A,Sales!E:E)</f>
        <v>45.322200000000002</v>
      </c>
    </row>
    <row r="663" spans="1:20" x14ac:dyDescent="0.3">
      <c r="A663">
        <v>658</v>
      </c>
      <c r="B663" t="s">
        <v>1720</v>
      </c>
      <c r="C663">
        <v>19</v>
      </c>
      <c r="D663">
        <v>9</v>
      </c>
      <c r="E663">
        <v>2020</v>
      </c>
      <c r="F663" t="s">
        <v>1010</v>
      </c>
      <c r="G663" t="s">
        <v>1721</v>
      </c>
      <c r="H663" t="s">
        <v>2868</v>
      </c>
      <c r="I663" t="s">
        <v>78</v>
      </c>
      <c r="J663" t="s">
        <v>2564</v>
      </c>
      <c r="K663" t="s">
        <v>79</v>
      </c>
      <c r="L663">
        <v>60505</v>
      </c>
      <c r="M663" t="s">
        <v>1365</v>
      </c>
      <c r="N663" t="s">
        <v>22</v>
      </c>
      <c r="O663" t="s">
        <v>26</v>
      </c>
      <c r="P663" t="s">
        <v>1366</v>
      </c>
      <c r="Q663">
        <f>_xlfn.XLOOKUP(Table3[[#This Row],[Product Name]],Sales!A:A,Sales!B:B)</f>
        <v>801.56799999999998</v>
      </c>
      <c r="R663">
        <f>_xlfn.XLOOKUP(Table3[[#This Row],[Product Name]],Sales!A:A,Sales!C:C)</f>
        <v>2</v>
      </c>
      <c r="S663">
        <f>_xlfn.XLOOKUP(Table3[[#This Row],[Product Name]],Sales!A:A,Sales!D:D)</f>
        <v>0.2</v>
      </c>
      <c r="T663">
        <f>_xlfn.XLOOKUP(Table3[[#This Row],[Product Name]],Sales!A:A,Sales!E:E)</f>
        <v>50.097999999999999</v>
      </c>
    </row>
    <row r="664" spans="1:20" x14ac:dyDescent="0.3">
      <c r="A664">
        <v>659</v>
      </c>
      <c r="B664" t="s">
        <v>1720</v>
      </c>
      <c r="C664">
        <v>19</v>
      </c>
      <c r="D664">
        <v>9</v>
      </c>
      <c r="E664">
        <v>2020</v>
      </c>
      <c r="F664" t="s">
        <v>1010</v>
      </c>
      <c r="G664" t="s">
        <v>1721</v>
      </c>
      <c r="H664" t="s">
        <v>2868</v>
      </c>
      <c r="I664" t="s">
        <v>78</v>
      </c>
      <c r="J664" t="s">
        <v>2564</v>
      </c>
      <c r="K664" t="s">
        <v>79</v>
      </c>
      <c r="L664">
        <v>60505</v>
      </c>
      <c r="M664" t="s">
        <v>243</v>
      </c>
      <c r="N664" t="s">
        <v>33</v>
      </c>
      <c r="O664" t="s">
        <v>58</v>
      </c>
      <c r="P664" t="s">
        <v>244</v>
      </c>
      <c r="Q664">
        <f>_xlfn.XLOOKUP(Table3[[#This Row],[Product Name]],Sales!A:A,Sales!B:B)</f>
        <v>4.6159999999999997</v>
      </c>
      <c r="R664">
        <f>_xlfn.XLOOKUP(Table3[[#This Row],[Product Name]],Sales!A:A,Sales!C:C)</f>
        <v>1</v>
      </c>
      <c r="S664">
        <f>_xlfn.XLOOKUP(Table3[[#This Row],[Product Name]],Sales!A:A,Sales!D:D)</f>
        <v>0.2</v>
      </c>
      <c r="T664">
        <f>_xlfn.XLOOKUP(Table3[[#This Row],[Product Name]],Sales!A:A,Sales!E:E)</f>
        <v>1.7310000000000001</v>
      </c>
    </row>
    <row r="665" spans="1:20" x14ac:dyDescent="0.3">
      <c r="A665">
        <v>660</v>
      </c>
      <c r="B665" t="s">
        <v>1722</v>
      </c>
      <c r="C665">
        <v>24</v>
      </c>
      <c r="D665">
        <v>8</v>
      </c>
      <c r="E665">
        <v>2019</v>
      </c>
      <c r="F665" t="s">
        <v>37</v>
      </c>
      <c r="G665" t="s">
        <v>593</v>
      </c>
      <c r="H665" t="s">
        <v>2700</v>
      </c>
      <c r="I665" t="s">
        <v>19</v>
      </c>
      <c r="J665" t="s">
        <v>2565</v>
      </c>
      <c r="K665" t="s">
        <v>79</v>
      </c>
      <c r="L665">
        <v>76017</v>
      </c>
      <c r="M665" t="s">
        <v>1599</v>
      </c>
      <c r="N665" t="s">
        <v>33</v>
      </c>
      <c r="O665" t="s">
        <v>43</v>
      </c>
      <c r="P665" t="s">
        <v>1600</v>
      </c>
      <c r="Q665">
        <f>_xlfn.XLOOKUP(Table3[[#This Row],[Product Name]],Sales!A:A,Sales!B:B)</f>
        <v>142.77600000000001</v>
      </c>
      <c r="R665">
        <f>_xlfn.XLOOKUP(Table3[[#This Row],[Product Name]],Sales!A:A,Sales!C:C)</f>
        <v>1</v>
      </c>
      <c r="S665">
        <f>_xlfn.XLOOKUP(Table3[[#This Row],[Product Name]],Sales!A:A,Sales!D:D)</f>
        <v>0.2</v>
      </c>
      <c r="T665">
        <f>_xlfn.XLOOKUP(Table3[[#This Row],[Product Name]],Sales!A:A,Sales!E:E)</f>
        <v>17.847000000000001</v>
      </c>
    </row>
    <row r="666" spans="1:20" x14ac:dyDescent="0.3">
      <c r="A666">
        <v>661</v>
      </c>
      <c r="B666" t="s">
        <v>1722</v>
      </c>
      <c r="C666">
        <v>24</v>
      </c>
      <c r="D666">
        <v>8</v>
      </c>
      <c r="E666">
        <v>2019</v>
      </c>
      <c r="F666" t="s">
        <v>37</v>
      </c>
      <c r="G666" t="s">
        <v>593</v>
      </c>
      <c r="H666" t="s">
        <v>2700</v>
      </c>
      <c r="I666" t="s">
        <v>19</v>
      </c>
      <c r="J666" t="s">
        <v>2565</v>
      </c>
      <c r="K666" t="s">
        <v>79</v>
      </c>
      <c r="L666">
        <v>76017</v>
      </c>
      <c r="M666" t="s">
        <v>1723</v>
      </c>
      <c r="N666" t="s">
        <v>33</v>
      </c>
      <c r="O666" t="s">
        <v>43</v>
      </c>
      <c r="P666" t="s">
        <v>1724</v>
      </c>
      <c r="Q666">
        <f>_xlfn.XLOOKUP(Table3[[#This Row],[Product Name]],Sales!A:A,Sales!B:B)</f>
        <v>724.08</v>
      </c>
      <c r="R666">
        <f>_xlfn.XLOOKUP(Table3[[#This Row],[Product Name]],Sales!A:A,Sales!C:C)</f>
        <v>14</v>
      </c>
      <c r="S666">
        <f>_xlfn.XLOOKUP(Table3[[#This Row],[Product Name]],Sales!A:A,Sales!D:D)</f>
        <v>0.2</v>
      </c>
      <c r="T666">
        <f>_xlfn.XLOOKUP(Table3[[#This Row],[Product Name]],Sales!A:A,Sales!E:E)</f>
        <v>-135.76499999999999</v>
      </c>
    </row>
    <row r="667" spans="1:20" x14ac:dyDescent="0.3">
      <c r="A667">
        <v>662</v>
      </c>
      <c r="B667" t="s">
        <v>1722</v>
      </c>
      <c r="C667">
        <v>24</v>
      </c>
      <c r="D667">
        <v>8</v>
      </c>
      <c r="E667">
        <v>2019</v>
      </c>
      <c r="F667" t="s">
        <v>37</v>
      </c>
      <c r="G667" t="s">
        <v>593</v>
      </c>
      <c r="H667" t="s">
        <v>2700</v>
      </c>
      <c r="I667" t="s">
        <v>19</v>
      </c>
      <c r="J667" t="s">
        <v>2565</v>
      </c>
      <c r="K667" t="s">
        <v>79</v>
      </c>
      <c r="L667">
        <v>76017</v>
      </c>
      <c r="M667" t="s">
        <v>382</v>
      </c>
      <c r="N667" t="s">
        <v>22</v>
      </c>
      <c r="O667" t="s">
        <v>40</v>
      </c>
      <c r="P667" t="s">
        <v>383</v>
      </c>
      <c r="Q667">
        <f>_xlfn.XLOOKUP(Table3[[#This Row],[Product Name]],Sales!A:A,Sales!B:B)</f>
        <v>787.53</v>
      </c>
      <c r="R667">
        <f>_xlfn.XLOOKUP(Table3[[#This Row],[Product Name]],Sales!A:A,Sales!C:C)</f>
        <v>3</v>
      </c>
      <c r="S667">
        <f>_xlfn.XLOOKUP(Table3[[#This Row],[Product Name]],Sales!A:A,Sales!D:D)</f>
        <v>0</v>
      </c>
      <c r="T667">
        <f>_xlfn.XLOOKUP(Table3[[#This Row],[Product Name]],Sales!A:A,Sales!E:E)</f>
        <v>165.38130000000001</v>
      </c>
    </row>
    <row r="668" spans="1:20" x14ac:dyDescent="0.3">
      <c r="A668">
        <v>663</v>
      </c>
      <c r="B668" t="s">
        <v>1722</v>
      </c>
      <c r="C668">
        <v>24</v>
      </c>
      <c r="D668">
        <v>8</v>
      </c>
      <c r="E668">
        <v>2019</v>
      </c>
      <c r="F668" t="s">
        <v>37</v>
      </c>
      <c r="G668" t="s">
        <v>593</v>
      </c>
      <c r="H668" t="s">
        <v>2700</v>
      </c>
      <c r="I668" t="s">
        <v>19</v>
      </c>
      <c r="J668" t="s">
        <v>2565</v>
      </c>
      <c r="K668" t="s">
        <v>79</v>
      </c>
      <c r="L668">
        <v>76017</v>
      </c>
      <c r="M668" t="s">
        <v>369</v>
      </c>
      <c r="N668" t="s">
        <v>33</v>
      </c>
      <c r="O668" t="s">
        <v>58</v>
      </c>
      <c r="P668" t="s">
        <v>370</v>
      </c>
      <c r="Q668">
        <f>_xlfn.XLOOKUP(Table3[[#This Row],[Product Name]],Sales!A:A,Sales!B:B)</f>
        <v>27.24</v>
      </c>
      <c r="R668">
        <f>_xlfn.XLOOKUP(Table3[[#This Row],[Product Name]],Sales!A:A,Sales!C:C)</f>
        <v>6</v>
      </c>
      <c r="S668">
        <f>_xlfn.XLOOKUP(Table3[[#This Row],[Product Name]],Sales!A:A,Sales!D:D)</f>
        <v>0</v>
      </c>
      <c r="T668">
        <f>_xlfn.XLOOKUP(Table3[[#This Row],[Product Name]],Sales!A:A,Sales!E:E)</f>
        <v>13.3476</v>
      </c>
    </row>
    <row r="669" spans="1:20" x14ac:dyDescent="0.3">
      <c r="A669">
        <v>664</v>
      </c>
      <c r="B669" t="s">
        <v>1725</v>
      </c>
      <c r="C669">
        <v>26</v>
      </c>
      <c r="D669">
        <v>3</v>
      </c>
      <c r="E669">
        <v>2020</v>
      </c>
      <c r="F669" t="s">
        <v>37</v>
      </c>
      <c r="G669" t="s">
        <v>1726</v>
      </c>
      <c r="H669" t="s">
        <v>2869</v>
      </c>
      <c r="I669" t="s">
        <v>30</v>
      </c>
      <c r="J669" t="s">
        <v>2434</v>
      </c>
      <c r="K669" t="s">
        <v>108</v>
      </c>
      <c r="L669">
        <v>10011</v>
      </c>
      <c r="M669" t="s">
        <v>637</v>
      </c>
      <c r="N669" t="s">
        <v>33</v>
      </c>
      <c r="O669" t="s">
        <v>43</v>
      </c>
      <c r="P669" t="s">
        <v>638</v>
      </c>
      <c r="Q669">
        <f>_xlfn.XLOOKUP(Table3[[#This Row],[Product Name]],Sales!A:A,Sales!B:B)</f>
        <v>91.99</v>
      </c>
      <c r="R669">
        <f>_xlfn.XLOOKUP(Table3[[#This Row],[Product Name]],Sales!A:A,Sales!C:C)</f>
        <v>1</v>
      </c>
      <c r="S669">
        <f>_xlfn.XLOOKUP(Table3[[#This Row],[Product Name]],Sales!A:A,Sales!D:D)</f>
        <v>0</v>
      </c>
      <c r="T669">
        <f>_xlfn.XLOOKUP(Table3[[#This Row],[Product Name]],Sales!A:A,Sales!E:E)</f>
        <v>3.6796000000000002</v>
      </c>
    </row>
    <row r="670" spans="1:20" x14ac:dyDescent="0.3">
      <c r="A670">
        <v>665</v>
      </c>
      <c r="B670" t="s">
        <v>1727</v>
      </c>
      <c r="C670">
        <v>4</v>
      </c>
      <c r="D670">
        <v>11</v>
      </c>
      <c r="E670">
        <v>2020</v>
      </c>
      <c r="F670" t="s">
        <v>1010</v>
      </c>
      <c r="G670" t="s">
        <v>759</v>
      </c>
      <c r="H670" t="s">
        <v>2726</v>
      </c>
      <c r="I670" t="s">
        <v>19</v>
      </c>
      <c r="J670" t="s">
        <v>2566</v>
      </c>
      <c r="K670" t="s">
        <v>20</v>
      </c>
      <c r="L670">
        <v>40214</v>
      </c>
      <c r="M670" t="s">
        <v>373</v>
      </c>
      <c r="N670" t="s">
        <v>33</v>
      </c>
      <c r="O670" t="s">
        <v>199</v>
      </c>
      <c r="P670" t="s">
        <v>374</v>
      </c>
      <c r="Q670">
        <f>_xlfn.XLOOKUP(Table3[[#This Row],[Product Name]],Sales!A:A,Sales!B:B)</f>
        <v>40.095999999999997</v>
      </c>
      <c r="R670">
        <f>_xlfn.XLOOKUP(Table3[[#This Row],[Product Name]],Sales!A:A,Sales!C:C)</f>
        <v>14</v>
      </c>
      <c r="S670">
        <f>_xlfn.XLOOKUP(Table3[[#This Row],[Product Name]],Sales!A:A,Sales!D:D)</f>
        <v>0.2</v>
      </c>
      <c r="T670">
        <f>_xlfn.XLOOKUP(Table3[[#This Row],[Product Name]],Sales!A:A,Sales!E:E)</f>
        <v>14.534800000000001</v>
      </c>
    </row>
    <row r="671" spans="1:20" x14ac:dyDescent="0.3">
      <c r="A671">
        <v>666</v>
      </c>
      <c r="B671" t="s">
        <v>1728</v>
      </c>
      <c r="C671">
        <v>8</v>
      </c>
      <c r="D671">
        <v>6</v>
      </c>
      <c r="E671">
        <v>2021</v>
      </c>
      <c r="F671" t="s">
        <v>17</v>
      </c>
      <c r="G671" t="s">
        <v>1729</v>
      </c>
      <c r="H671" t="s">
        <v>2870</v>
      </c>
      <c r="I671" t="s">
        <v>30</v>
      </c>
      <c r="J671" t="s">
        <v>2476</v>
      </c>
      <c r="K671" t="s">
        <v>79</v>
      </c>
      <c r="L671">
        <v>75081</v>
      </c>
      <c r="M671" t="s">
        <v>1730</v>
      </c>
      <c r="N671" t="s">
        <v>33</v>
      </c>
      <c r="O671" t="s">
        <v>438</v>
      </c>
      <c r="P671" t="s">
        <v>1731</v>
      </c>
      <c r="Q671">
        <f>_xlfn.XLOOKUP(Table3[[#This Row],[Product Name]],Sales!A:A,Sales!B:B)</f>
        <v>23.76</v>
      </c>
      <c r="R671">
        <f>_xlfn.XLOOKUP(Table3[[#This Row],[Product Name]],Sales!A:A,Sales!C:C)</f>
        <v>3</v>
      </c>
      <c r="S671">
        <f>_xlfn.XLOOKUP(Table3[[#This Row],[Product Name]],Sales!A:A,Sales!D:D)</f>
        <v>0.2</v>
      </c>
      <c r="T671">
        <f>_xlfn.XLOOKUP(Table3[[#This Row],[Product Name]],Sales!A:A,Sales!E:E)</f>
        <v>2.0790000000000002</v>
      </c>
    </row>
    <row r="672" spans="1:20" x14ac:dyDescent="0.3">
      <c r="A672">
        <v>667</v>
      </c>
      <c r="B672" t="s">
        <v>1728</v>
      </c>
      <c r="C672">
        <v>8</v>
      </c>
      <c r="D672">
        <v>6</v>
      </c>
      <c r="E672">
        <v>2021</v>
      </c>
      <c r="F672" t="s">
        <v>17</v>
      </c>
      <c r="G672" t="s">
        <v>1729</v>
      </c>
      <c r="H672" t="s">
        <v>2870</v>
      </c>
      <c r="I672" t="s">
        <v>30</v>
      </c>
      <c r="J672" t="s">
        <v>2476</v>
      </c>
      <c r="K672" t="s">
        <v>79</v>
      </c>
      <c r="L672">
        <v>75081</v>
      </c>
      <c r="M672" t="s">
        <v>816</v>
      </c>
      <c r="N672" t="s">
        <v>33</v>
      </c>
      <c r="O672" t="s">
        <v>70</v>
      </c>
      <c r="P672" t="s">
        <v>140</v>
      </c>
      <c r="Q672">
        <f>_xlfn.XLOOKUP(Table3[[#This Row],[Product Name]],Sales!A:A,Sales!B:B)</f>
        <v>29.472000000000001</v>
      </c>
      <c r="R672">
        <f>_xlfn.XLOOKUP(Table3[[#This Row],[Product Name]],Sales!A:A,Sales!C:C)</f>
        <v>3</v>
      </c>
      <c r="S672">
        <f>_xlfn.XLOOKUP(Table3[[#This Row],[Product Name]],Sales!A:A,Sales!D:D)</f>
        <v>0.2</v>
      </c>
      <c r="T672">
        <f>_xlfn.XLOOKUP(Table3[[#This Row],[Product Name]],Sales!A:A,Sales!E:E)</f>
        <v>9.9467999999999996</v>
      </c>
    </row>
    <row r="673" spans="1:20" x14ac:dyDescent="0.3">
      <c r="A673">
        <v>668</v>
      </c>
      <c r="B673" t="s">
        <v>1728</v>
      </c>
      <c r="C673">
        <v>8</v>
      </c>
      <c r="D673">
        <v>6</v>
      </c>
      <c r="E673">
        <v>2021</v>
      </c>
      <c r="F673" t="s">
        <v>17</v>
      </c>
      <c r="G673" t="s">
        <v>1729</v>
      </c>
      <c r="H673" t="s">
        <v>2870</v>
      </c>
      <c r="I673" t="s">
        <v>30</v>
      </c>
      <c r="J673" t="s">
        <v>2476</v>
      </c>
      <c r="K673" t="s">
        <v>79</v>
      </c>
      <c r="L673">
        <v>75081</v>
      </c>
      <c r="M673" t="s">
        <v>1732</v>
      </c>
      <c r="N673" t="s">
        <v>54</v>
      </c>
      <c r="O673" t="s">
        <v>55</v>
      </c>
      <c r="P673" t="s">
        <v>1733</v>
      </c>
      <c r="Q673">
        <f>_xlfn.XLOOKUP(Table3[[#This Row],[Product Name]],Sales!A:A,Sales!B:B)</f>
        <v>381.57600000000002</v>
      </c>
      <c r="R673">
        <f>_xlfn.XLOOKUP(Table3[[#This Row],[Product Name]],Sales!A:A,Sales!C:C)</f>
        <v>3</v>
      </c>
      <c r="S673">
        <f>_xlfn.XLOOKUP(Table3[[#This Row],[Product Name]],Sales!A:A,Sales!D:D)</f>
        <v>0.2</v>
      </c>
      <c r="T673">
        <f>_xlfn.XLOOKUP(Table3[[#This Row],[Product Name]],Sales!A:A,Sales!E:E)</f>
        <v>28.618200000000002</v>
      </c>
    </row>
    <row r="674" spans="1:20" x14ac:dyDescent="0.3">
      <c r="A674">
        <v>669</v>
      </c>
      <c r="B674" t="s">
        <v>1734</v>
      </c>
      <c r="C674">
        <v>24</v>
      </c>
      <c r="D674">
        <v>12</v>
      </c>
      <c r="E674">
        <v>2018</v>
      </c>
      <c r="F674" t="s">
        <v>142</v>
      </c>
      <c r="G674" t="s">
        <v>1735</v>
      </c>
      <c r="H674" t="s">
        <v>2871</v>
      </c>
      <c r="I674" t="s">
        <v>19</v>
      </c>
      <c r="J674" t="s">
        <v>2567</v>
      </c>
      <c r="K674" t="s">
        <v>108</v>
      </c>
      <c r="L674">
        <v>44105</v>
      </c>
      <c r="M674" t="s">
        <v>1736</v>
      </c>
      <c r="N674" t="s">
        <v>22</v>
      </c>
      <c r="O674" t="s">
        <v>48</v>
      </c>
      <c r="P674" t="s">
        <v>1737</v>
      </c>
      <c r="Q674">
        <f>_xlfn.XLOOKUP(Table3[[#This Row],[Product Name]],Sales!A:A,Sales!B:B)</f>
        <v>30.36</v>
      </c>
      <c r="R674">
        <f>_xlfn.XLOOKUP(Table3[[#This Row],[Product Name]],Sales!A:A,Sales!C:C)</f>
        <v>5</v>
      </c>
      <c r="S674">
        <f>_xlfn.XLOOKUP(Table3[[#This Row],[Product Name]],Sales!A:A,Sales!D:D)</f>
        <v>0.2</v>
      </c>
      <c r="T674">
        <f>_xlfn.XLOOKUP(Table3[[#This Row],[Product Name]],Sales!A:A,Sales!E:E)</f>
        <v>8.7285000000000004</v>
      </c>
    </row>
    <row r="675" spans="1:20" x14ac:dyDescent="0.3">
      <c r="A675">
        <v>670</v>
      </c>
      <c r="B675" t="s">
        <v>1738</v>
      </c>
      <c r="C675">
        <v>9</v>
      </c>
      <c r="D675">
        <v>6</v>
      </c>
      <c r="E675">
        <v>2021</v>
      </c>
      <c r="F675" t="s">
        <v>37</v>
      </c>
      <c r="G675" t="s">
        <v>1646</v>
      </c>
      <c r="H675" t="s">
        <v>2856</v>
      </c>
      <c r="I675" t="s">
        <v>78</v>
      </c>
      <c r="J675" t="s">
        <v>2436</v>
      </c>
      <c r="K675" t="s">
        <v>79</v>
      </c>
      <c r="L675">
        <v>60653</v>
      </c>
      <c r="M675" t="s">
        <v>1739</v>
      </c>
      <c r="N675" t="s">
        <v>22</v>
      </c>
      <c r="O675" t="s">
        <v>48</v>
      </c>
      <c r="P675" t="s">
        <v>1740</v>
      </c>
      <c r="Q675">
        <f>_xlfn.XLOOKUP(Table3[[#This Row],[Product Name]],Sales!A:A,Sales!B:B)</f>
        <v>23.975999999999999</v>
      </c>
      <c r="R675">
        <f>_xlfn.XLOOKUP(Table3[[#This Row],[Product Name]],Sales!A:A,Sales!C:C)</f>
        <v>3</v>
      </c>
      <c r="S675">
        <f>_xlfn.XLOOKUP(Table3[[#This Row],[Product Name]],Sales!A:A,Sales!D:D)</f>
        <v>0.6</v>
      </c>
      <c r="T675">
        <f>_xlfn.XLOOKUP(Table3[[#This Row],[Product Name]],Sales!A:A,Sales!E:E)</f>
        <v>-14.3856</v>
      </c>
    </row>
    <row r="676" spans="1:20" x14ac:dyDescent="0.3">
      <c r="A676">
        <v>671</v>
      </c>
      <c r="B676" t="s">
        <v>1738</v>
      </c>
      <c r="C676">
        <v>9</v>
      </c>
      <c r="D676">
        <v>6</v>
      </c>
      <c r="E676">
        <v>2021</v>
      </c>
      <c r="F676" t="s">
        <v>37</v>
      </c>
      <c r="G676" t="s">
        <v>1646</v>
      </c>
      <c r="H676" t="s">
        <v>2856</v>
      </c>
      <c r="I676" t="s">
        <v>78</v>
      </c>
      <c r="J676" t="s">
        <v>2436</v>
      </c>
      <c r="K676" t="s">
        <v>79</v>
      </c>
      <c r="L676">
        <v>60653</v>
      </c>
      <c r="M676" t="s">
        <v>1741</v>
      </c>
      <c r="N676" t="s">
        <v>22</v>
      </c>
      <c r="O676" t="s">
        <v>40</v>
      </c>
      <c r="P676" t="s">
        <v>1742</v>
      </c>
      <c r="Q676">
        <f>_xlfn.XLOOKUP(Table3[[#This Row],[Product Name]],Sales!A:A,Sales!B:B)</f>
        <v>108.925</v>
      </c>
      <c r="R676">
        <f>_xlfn.XLOOKUP(Table3[[#This Row],[Product Name]],Sales!A:A,Sales!C:C)</f>
        <v>1</v>
      </c>
      <c r="S676">
        <f>_xlfn.XLOOKUP(Table3[[#This Row],[Product Name]],Sales!A:A,Sales!D:D)</f>
        <v>0.5</v>
      </c>
      <c r="T676">
        <f>_xlfn.XLOOKUP(Table3[[#This Row],[Product Name]],Sales!A:A,Sales!E:E)</f>
        <v>-71.890500000000003</v>
      </c>
    </row>
    <row r="677" spans="1:20" x14ac:dyDescent="0.3">
      <c r="A677">
        <v>672</v>
      </c>
      <c r="B677" t="s">
        <v>1738</v>
      </c>
      <c r="C677">
        <v>9</v>
      </c>
      <c r="D677">
        <v>6</v>
      </c>
      <c r="E677">
        <v>2021</v>
      </c>
      <c r="F677" t="s">
        <v>37</v>
      </c>
      <c r="G677" t="s">
        <v>1646</v>
      </c>
      <c r="H677" t="s">
        <v>2856</v>
      </c>
      <c r="I677" t="s">
        <v>78</v>
      </c>
      <c r="J677" t="s">
        <v>2436</v>
      </c>
      <c r="K677" t="s">
        <v>79</v>
      </c>
      <c r="L677">
        <v>60653</v>
      </c>
      <c r="M677" t="s">
        <v>421</v>
      </c>
      <c r="N677" t="s">
        <v>33</v>
      </c>
      <c r="O677" t="s">
        <v>70</v>
      </c>
      <c r="P677" t="s">
        <v>1743</v>
      </c>
      <c r="Q677">
        <f>_xlfn.XLOOKUP(Table3[[#This Row],[Product Name]],Sales!A:A,Sales!B:B)</f>
        <v>36.351999999999997</v>
      </c>
      <c r="R677">
        <f>_xlfn.XLOOKUP(Table3[[#This Row],[Product Name]],Sales!A:A,Sales!C:C)</f>
        <v>8</v>
      </c>
      <c r="S677">
        <f>_xlfn.XLOOKUP(Table3[[#This Row],[Product Name]],Sales!A:A,Sales!D:D)</f>
        <v>0.2</v>
      </c>
      <c r="T677">
        <f>_xlfn.XLOOKUP(Table3[[#This Row],[Product Name]],Sales!A:A,Sales!E:E)</f>
        <v>11.36</v>
      </c>
    </row>
    <row r="678" spans="1:20" x14ac:dyDescent="0.3">
      <c r="A678">
        <v>673</v>
      </c>
      <c r="B678" t="s">
        <v>1744</v>
      </c>
      <c r="C678">
        <v>15</v>
      </c>
      <c r="D678">
        <v>6</v>
      </c>
      <c r="E678">
        <v>2021</v>
      </c>
      <c r="F678" t="s">
        <v>37</v>
      </c>
      <c r="G678" t="s">
        <v>971</v>
      </c>
      <c r="H678" t="s">
        <v>2753</v>
      </c>
      <c r="I678" t="s">
        <v>19</v>
      </c>
      <c r="J678" t="s">
        <v>2513</v>
      </c>
      <c r="K678" t="s">
        <v>79</v>
      </c>
      <c r="L678">
        <v>62301</v>
      </c>
      <c r="M678" t="s">
        <v>1745</v>
      </c>
      <c r="N678" t="s">
        <v>33</v>
      </c>
      <c r="O678" t="s">
        <v>51</v>
      </c>
      <c r="P678" t="s">
        <v>1746</v>
      </c>
      <c r="Q678">
        <f>_xlfn.XLOOKUP(Table3[[#This Row],[Product Name]],Sales!A:A,Sales!B:B)</f>
        <v>19.559999999999999</v>
      </c>
      <c r="R678">
        <f>_xlfn.XLOOKUP(Table3[[#This Row],[Product Name]],Sales!A:A,Sales!C:C)</f>
        <v>5</v>
      </c>
      <c r="S678">
        <f>_xlfn.XLOOKUP(Table3[[#This Row],[Product Name]],Sales!A:A,Sales!D:D)</f>
        <v>0.2</v>
      </c>
      <c r="T678">
        <f>_xlfn.XLOOKUP(Table3[[#This Row],[Product Name]],Sales!A:A,Sales!E:E)</f>
        <v>1.7115</v>
      </c>
    </row>
    <row r="679" spans="1:20" x14ac:dyDescent="0.3">
      <c r="A679">
        <v>674</v>
      </c>
      <c r="B679" t="s">
        <v>1747</v>
      </c>
      <c r="C679">
        <v>5</v>
      </c>
      <c r="D679">
        <v>12</v>
      </c>
      <c r="E679">
        <v>2021</v>
      </c>
      <c r="F679" t="s">
        <v>142</v>
      </c>
      <c r="G679" t="s">
        <v>1748</v>
      </c>
      <c r="H679" t="s">
        <v>2872</v>
      </c>
      <c r="I679" t="s">
        <v>19</v>
      </c>
      <c r="J679" t="s">
        <v>2531</v>
      </c>
      <c r="K679" t="s">
        <v>79</v>
      </c>
      <c r="L679">
        <v>47201</v>
      </c>
      <c r="M679" t="s">
        <v>1749</v>
      </c>
      <c r="N679" t="s">
        <v>33</v>
      </c>
      <c r="O679" t="s">
        <v>61</v>
      </c>
      <c r="P679" t="s">
        <v>1750</v>
      </c>
      <c r="Q679">
        <f>_xlfn.XLOOKUP(Table3[[#This Row],[Product Name]],Sales!A:A,Sales!B:B)</f>
        <v>61.44</v>
      </c>
      <c r="R679">
        <f>_xlfn.XLOOKUP(Table3[[#This Row],[Product Name]],Sales!A:A,Sales!C:C)</f>
        <v>3</v>
      </c>
      <c r="S679">
        <f>_xlfn.XLOOKUP(Table3[[#This Row],[Product Name]],Sales!A:A,Sales!D:D)</f>
        <v>0</v>
      </c>
      <c r="T679">
        <f>_xlfn.XLOOKUP(Table3[[#This Row],[Product Name]],Sales!A:A,Sales!E:E)</f>
        <v>16.588799999999999</v>
      </c>
    </row>
    <row r="680" spans="1:20" x14ac:dyDescent="0.3">
      <c r="A680">
        <v>675</v>
      </c>
      <c r="B680" t="s">
        <v>1747</v>
      </c>
      <c r="C680">
        <v>5</v>
      </c>
      <c r="D680">
        <v>12</v>
      </c>
      <c r="E680">
        <v>2021</v>
      </c>
      <c r="F680" t="s">
        <v>142</v>
      </c>
      <c r="G680" t="s">
        <v>1748</v>
      </c>
      <c r="H680" t="s">
        <v>2872</v>
      </c>
      <c r="I680" t="s">
        <v>19</v>
      </c>
      <c r="J680" t="s">
        <v>2531</v>
      </c>
      <c r="K680" t="s">
        <v>79</v>
      </c>
      <c r="L680">
        <v>47201</v>
      </c>
      <c r="M680" t="s">
        <v>1751</v>
      </c>
      <c r="N680" t="s">
        <v>33</v>
      </c>
      <c r="O680" t="s">
        <v>70</v>
      </c>
      <c r="P680" t="s">
        <v>1752</v>
      </c>
      <c r="Q680">
        <f>_xlfn.XLOOKUP(Table3[[#This Row],[Product Name]],Sales!A:A,Sales!B:B)</f>
        <v>38.9</v>
      </c>
      <c r="R680">
        <f>_xlfn.XLOOKUP(Table3[[#This Row],[Product Name]],Sales!A:A,Sales!C:C)</f>
        <v>5</v>
      </c>
      <c r="S680">
        <f>_xlfn.XLOOKUP(Table3[[#This Row],[Product Name]],Sales!A:A,Sales!D:D)</f>
        <v>0</v>
      </c>
      <c r="T680">
        <f>_xlfn.XLOOKUP(Table3[[#This Row],[Product Name]],Sales!A:A,Sales!E:E)</f>
        <v>17.504999999999999</v>
      </c>
    </row>
    <row r="681" spans="1:20" x14ac:dyDescent="0.3">
      <c r="A681">
        <v>676</v>
      </c>
      <c r="B681" t="s">
        <v>1747</v>
      </c>
      <c r="C681">
        <v>5</v>
      </c>
      <c r="D681">
        <v>12</v>
      </c>
      <c r="E681">
        <v>2021</v>
      </c>
      <c r="F681" t="s">
        <v>142</v>
      </c>
      <c r="G681" t="s">
        <v>1748</v>
      </c>
      <c r="H681" t="s">
        <v>2872</v>
      </c>
      <c r="I681" t="s">
        <v>19</v>
      </c>
      <c r="J681" t="s">
        <v>2531</v>
      </c>
      <c r="K681" t="s">
        <v>79</v>
      </c>
      <c r="L681">
        <v>47201</v>
      </c>
      <c r="M681" t="s">
        <v>694</v>
      </c>
      <c r="N681" t="s">
        <v>54</v>
      </c>
      <c r="O681" t="s">
        <v>118</v>
      </c>
      <c r="P681" t="s">
        <v>1414</v>
      </c>
      <c r="Q681">
        <f>_xlfn.XLOOKUP(Table3[[#This Row],[Product Name]],Sales!A:A,Sales!B:B)</f>
        <v>66.260000000000005</v>
      </c>
      <c r="R681">
        <f>_xlfn.XLOOKUP(Table3[[#This Row],[Product Name]],Sales!A:A,Sales!C:C)</f>
        <v>2</v>
      </c>
      <c r="S681">
        <f>_xlfn.XLOOKUP(Table3[[#This Row],[Product Name]],Sales!A:A,Sales!D:D)</f>
        <v>0</v>
      </c>
      <c r="T681">
        <f>_xlfn.XLOOKUP(Table3[[#This Row],[Product Name]],Sales!A:A,Sales!E:E)</f>
        <v>27.166599999999999</v>
      </c>
    </row>
    <row r="682" spans="1:20" x14ac:dyDescent="0.3">
      <c r="A682">
        <v>677</v>
      </c>
      <c r="B682" t="s">
        <v>1753</v>
      </c>
      <c r="C682">
        <v>18</v>
      </c>
      <c r="D682">
        <v>3</v>
      </c>
      <c r="E682">
        <v>2021</v>
      </c>
      <c r="F682" t="s">
        <v>37</v>
      </c>
      <c r="G682" t="s">
        <v>1754</v>
      </c>
      <c r="H682" t="s">
        <v>2873</v>
      </c>
      <c r="I682" t="s">
        <v>19</v>
      </c>
      <c r="J682" t="s">
        <v>2568</v>
      </c>
      <c r="K682" t="s">
        <v>79</v>
      </c>
      <c r="L682">
        <v>75701</v>
      </c>
      <c r="M682" t="s">
        <v>1755</v>
      </c>
      <c r="N682" t="s">
        <v>33</v>
      </c>
      <c r="O682" t="s">
        <v>61</v>
      </c>
      <c r="P682" t="s">
        <v>1756</v>
      </c>
      <c r="Q682">
        <f>_xlfn.XLOOKUP(Table3[[#This Row],[Product Name]],Sales!A:A,Sales!B:B)</f>
        <v>2.6880000000000002</v>
      </c>
      <c r="R682">
        <f>_xlfn.XLOOKUP(Table3[[#This Row],[Product Name]],Sales!A:A,Sales!C:C)</f>
        <v>3</v>
      </c>
      <c r="S682">
        <f>_xlfn.XLOOKUP(Table3[[#This Row],[Product Name]],Sales!A:A,Sales!D:D)</f>
        <v>0.8</v>
      </c>
      <c r="T682">
        <f>_xlfn.XLOOKUP(Table3[[#This Row],[Product Name]],Sales!A:A,Sales!E:E)</f>
        <v>-7.3920000000000003</v>
      </c>
    </row>
    <row r="683" spans="1:20" x14ac:dyDescent="0.3">
      <c r="A683">
        <v>678</v>
      </c>
      <c r="B683" t="s">
        <v>1753</v>
      </c>
      <c r="C683">
        <v>18</v>
      </c>
      <c r="D683">
        <v>3</v>
      </c>
      <c r="E683">
        <v>2021</v>
      </c>
      <c r="F683" t="s">
        <v>37</v>
      </c>
      <c r="G683" t="s">
        <v>1754</v>
      </c>
      <c r="H683" t="s">
        <v>2873</v>
      </c>
      <c r="I683" t="s">
        <v>19</v>
      </c>
      <c r="J683" t="s">
        <v>2568</v>
      </c>
      <c r="K683" t="s">
        <v>79</v>
      </c>
      <c r="L683">
        <v>75701</v>
      </c>
      <c r="M683" t="s">
        <v>1757</v>
      </c>
      <c r="N683" t="s">
        <v>54</v>
      </c>
      <c r="O683" t="s">
        <v>118</v>
      </c>
      <c r="P683" t="s">
        <v>1758</v>
      </c>
      <c r="Q683">
        <f>_xlfn.XLOOKUP(Table3[[#This Row],[Product Name]],Sales!A:A,Sales!B:B)</f>
        <v>27.815999999999999</v>
      </c>
      <c r="R683">
        <f>_xlfn.XLOOKUP(Table3[[#This Row],[Product Name]],Sales!A:A,Sales!C:C)</f>
        <v>3</v>
      </c>
      <c r="S683">
        <f>_xlfn.XLOOKUP(Table3[[#This Row],[Product Name]],Sales!A:A,Sales!D:D)</f>
        <v>0.2</v>
      </c>
      <c r="T683">
        <f>_xlfn.XLOOKUP(Table3[[#This Row],[Product Name]],Sales!A:A,Sales!E:E)</f>
        <v>4.5201000000000002</v>
      </c>
    </row>
    <row r="684" spans="1:20" x14ac:dyDescent="0.3">
      <c r="A684">
        <v>679</v>
      </c>
      <c r="B684" t="s">
        <v>1753</v>
      </c>
      <c r="C684">
        <v>18</v>
      </c>
      <c r="D684">
        <v>3</v>
      </c>
      <c r="E684">
        <v>2021</v>
      </c>
      <c r="F684" t="s">
        <v>37</v>
      </c>
      <c r="G684" t="s">
        <v>1754</v>
      </c>
      <c r="H684" t="s">
        <v>2873</v>
      </c>
      <c r="I684" t="s">
        <v>19</v>
      </c>
      <c r="J684" t="s">
        <v>2568</v>
      </c>
      <c r="K684" t="s">
        <v>79</v>
      </c>
      <c r="L684">
        <v>75701</v>
      </c>
      <c r="M684" t="s">
        <v>1759</v>
      </c>
      <c r="N684" t="s">
        <v>22</v>
      </c>
      <c r="O684" t="s">
        <v>48</v>
      </c>
      <c r="P684" t="s">
        <v>1760</v>
      </c>
      <c r="Q684">
        <f>_xlfn.XLOOKUP(Table3[[#This Row],[Product Name]],Sales!A:A,Sales!B:B)</f>
        <v>82.524000000000001</v>
      </c>
      <c r="R684">
        <f>_xlfn.XLOOKUP(Table3[[#This Row],[Product Name]],Sales!A:A,Sales!C:C)</f>
        <v>3</v>
      </c>
      <c r="S684">
        <f>_xlfn.XLOOKUP(Table3[[#This Row],[Product Name]],Sales!A:A,Sales!D:D)</f>
        <v>0.6</v>
      </c>
      <c r="T684">
        <f>_xlfn.XLOOKUP(Table3[[#This Row],[Product Name]],Sales!A:A,Sales!E:E)</f>
        <v>-41.262</v>
      </c>
    </row>
    <row r="685" spans="1:20" x14ac:dyDescent="0.3">
      <c r="A685">
        <v>680</v>
      </c>
      <c r="B685" t="s">
        <v>1753</v>
      </c>
      <c r="C685">
        <v>18</v>
      </c>
      <c r="D685">
        <v>3</v>
      </c>
      <c r="E685">
        <v>2021</v>
      </c>
      <c r="F685" t="s">
        <v>37</v>
      </c>
      <c r="G685" t="s">
        <v>1754</v>
      </c>
      <c r="H685" t="s">
        <v>2873</v>
      </c>
      <c r="I685" t="s">
        <v>19</v>
      </c>
      <c r="J685" t="s">
        <v>2568</v>
      </c>
      <c r="K685" t="s">
        <v>79</v>
      </c>
      <c r="L685">
        <v>75701</v>
      </c>
      <c r="M685" t="s">
        <v>1761</v>
      </c>
      <c r="N685" t="s">
        <v>33</v>
      </c>
      <c r="O685" t="s">
        <v>58</v>
      </c>
      <c r="P685" t="s">
        <v>1762</v>
      </c>
      <c r="Q685">
        <f>_xlfn.XLOOKUP(Table3[[#This Row],[Product Name]],Sales!A:A,Sales!B:B)</f>
        <v>182.994</v>
      </c>
      <c r="R685">
        <f>_xlfn.XLOOKUP(Table3[[#This Row],[Product Name]],Sales!A:A,Sales!C:C)</f>
        <v>3</v>
      </c>
      <c r="S685">
        <f>_xlfn.XLOOKUP(Table3[[#This Row],[Product Name]],Sales!A:A,Sales!D:D)</f>
        <v>0.8</v>
      </c>
      <c r="T685">
        <f>_xlfn.XLOOKUP(Table3[[#This Row],[Product Name]],Sales!A:A,Sales!E:E)</f>
        <v>-320.23950000000002</v>
      </c>
    </row>
    <row r="686" spans="1:20" x14ac:dyDescent="0.3">
      <c r="A686">
        <v>681</v>
      </c>
      <c r="B686" t="s">
        <v>1763</v>
      </c>
      <c r="C686">
        <v>19</v>
      </c>
      <c r="D686">
        <v>11</v>
      </c>
      <c r="E686">
        <v>2020</v>
      </c>
      <c r="F686" t="s">
        <v>37</v>
      </c>
      <c r="G686" t="s">
        <v>1764</v>
      </c>
      <c r="H686" t="s">
        <v>2874</v>
      </c>
      <c r="I686" t="s">
        <v>19</v>
      </c>
      <c r="J686" t="s">
        <v>2434</v>
      </c>
      <c r="K686" t="s">
        <v>108</v>
      </c>
      <c r="L686">
        <v>10024</v>
      </c>
      <c r="M686" t="s">
        <v>1765</v>
      </c>
      <c r="N686" t="s">
        <v>33</v>
      </c>
      <c r="O686" t="s">
        <v>58</v>
      </c>
      <c r="P686" t="s">
        <v>1766</v>
      </c>
      <c r="Q686">
        <f>_xlfn.XLOOKUP(Table3[[#This Row],[Product Name]],Sales!A:A,Sales!B:B)</f>
        <v>14.352</v>
      </c>
      <c r="R686">
        <f>_xlfn.XLOOKUP(Table3[[#This Row],[Product Name]],Sales!A:A,Sales!C:C)</f>
        <v>3</v>
      </c>
      <c r="S686">
        <f>_xlfn.XLOOKUP(Table3[[#This Row],[Product Name]],Sales!A:A,Sales!D:D)</f>
        <v>0.2</v>
      </c>
      <c r="T686">
        <f>_xlfn.XLOOKUP(Table3[[#This Row],[Product Name]],Sales!A:A,Sales!E:E)</f>
        <v>4.6643999999999997</v>
      </c>
    </row>
    <row r="687" spans="1:20" x14ac:dyDescent="0.3">
      <c r="A687">
        <v>682</v>
      </c>
      <c r="B687" t="s">
        <v>1763</v>
      </c>
      <c r="C687">
        <v>19</v>
      </c>
      <c r="D687">
        <v>11</v>
      </c>
      <c r="E687">
        <v>2020</v>
      </c>
      <c r="F687" t="s">
        <v>37</v>
      </c>
      <c r="G687" t="s">
        <v>1764</v>
      </c>
      <c r="H687" t="s">
        <v>2874</v>
      </c>
      <c r="I687" t="s">
        <v>19</v>
      </c>
      <c r="J687" t="s">
        <v>2434</v>
      </c>
      <c r="K687" t="s">
        <v>108</v>
      </c>
      <c r="L687">
        <v>10024</v>
      </c>
      <c r="M687" t="s">
        <v>1767</v>
      </c>
      <c r="N687" t="s">
        <v>33</v>
      </c>
      <c r="O687" t="s">
        <v>43</v>
      </c>
      <c r="P687" t="s">
        <v>1768</v>
      </c>
      <c r="Q687">
        <f>_xlfn.XLOOKUP(Table3[[#This Row],[Product Name]],Sales!A:A,Sales!B:B)</f>
        <v>64.959999999999994</v>
      </c>
      <c r="R687">
        <f>_xlfn.XLOOKUP(Table3[[#This Row],[Product Name]],Sales!A:A,Sales!C:C)</f>
        <v>2</v>
      </c>
      <c r="S687">
        <f>_xlfn.XLOOKUP(Table3[[#This Row],[Product Name]],Sales!A:A,Sales!D:D)</f>
        <v>0</v>
      </c>
      <c r="T687">
        <f>_xlfn.XLOOKUP(Table3[[#This Row],[Product Name]],Sales!A:A,Sales!E:E)</f>
        <v>2.5983999999999998</v>
      </c>
    </row>
    <row r="688" spans="1:20" x14ac:dyDescent="0.3">
      <c r="A688">
        <v>683</v>
      </c>
      <c r="B688" t="s">
        <v>1763</v>
      </c>
      <c r="C688">
        <v>19</v>
      </c>
      <c r="D688">
        <v>11</v>
      </c>
      <c r="E688">
        <v>2020</v>
      </c>
      <c r="F688" t="s">
        <v>37</v>
      </c>
      <c r="G688" t="s">
        <v>1764</v>
      </c>
      <c r="H688" t="s">
        <v>2874</v>
      </c>
      <c r="I688" t="s">
        <v>19</v>
      </c>
      <c r="J688" t="s">
        <v>2434</v>
      </c>
      <c r="K688" t="s">
        <v>108</v>
      </c>
      <c r="L688">
        <v>10024</v>
      </c>
      <c r="M688" t="s">
        <v>1397</v>
      </c>
      <c r="N688" t="s">
        <v>33</v>
      </c>
      <c r="O688" t="s">
        <v>43</v>
      </c>
      <c r="P688" t="s">
        <v>1398</v>
      </c>
      <c r="Q688">
        <f>_xlfn.XLOOKUP(Table3[[#This Row],[Product Name]],Sales!A:A,Sales!B:B)</f>
        <v>51.45</v>
      </c>
      <c r="R688">
        <f>_xlfn.XLOOKUP(Table3[[#This Row],[Product Name]],Sales!A:A,Sales!C:C)</f>
        <v>3</v>
      </c>
      <c r="S688">
        <f>_xlfn.XLOOKUP(Table3[[#This Row],[Product Name]],Sales!A:A,Sales!D:D)</f>
        <v>0</v>
      </c>
      <c r="T688">
        <f>_xlfn.XLOOKUP(Table3[[#This Row],[Product Name]],Sales!A:A,Sales!E:E)</f>
        <v>13.891500000000001</v>
      </c>
    </row>
    <row r="689" spans="1:20" x14ac:dyDescent="0.3">
      <c r="A689">
        <v>684</v>
      </c>
      <c r="B689" t="s">
        <v>1769</v>
      </c>
      <c r="C689">
        <v>4</v>
      </c>
      <c r="D689">
        <v>11</v>
      </c>
      <c r="E689">
        <v>2021</v>
      </c>
      <c r="F689" t="s">
        <v>1010</v>
      </c>
      <c r="G689" t="s">
        <v>1770</v>
      </c>
      <c r="H689" t="s">
        <v>2875</v>
      </c>
      <c r="I689" t="s">
        <v>30</v>
      </c>
      <c r="J689" t="s">
        <v>2569</v>
      </c>
      <c r="K689" t="s">
        <v>20</v>
      </c>
      <c r="L689">
        <v>27217</v>
      </c>
      <c r="M689" t="s">
        <v>1771</v>
      </c>
      <c r="N689" t="s">
        <v>54</v>
      </c>
      <c r="O689" t="s">
        <v>515</v>
      </c>
      <c r="P689" t="s">
        <v>1772</v>
      </c>
      <c r="Q689">
        <f>_xlfn.XLOOKUP(Table3[[#This Row],[Product Name]],Sales!A:A,Sales!B:B)</f>
        <v>7999.98</v>
      </c>
      <c r="R689">
        <f>_xlfn.XLOOKUP(Table3[[#This Row],[Product Name]],Sales!A:A,Sales!C:C)</f>
        <v>4</v>
      </c>
      <c r="S689">
        <f>_xlfn.XLOOKUP(Table3[[#This Row],[Product Name]],Sales!A:A,Sales!D:D)</f>
        <v>0.5</v>
      </c>
      <c r="T689">
        <f>_xlfn.XLOOKUP(Table3[[#This Row],[Product Name]],Sales!A:A,Sales!E:E)</f>
        <v>-3839.9904000000001</v>
      </c>
    </row>
    <row r="690" spans="1:20" x14ac:dyDescent="0.3">
      <c r="A690">
        <v>685</v>
      </c>
      <c r="B690" t="s">
        <v>1769</v>
      </c>
      <c r="C690">
        <v>4</v>
      </c>
      <c r="D690">
        <v>11</v>
      </c>
      <c r="E690">
        <v>2021</v>
      </c>
      <c r="F690" t="s">
        <v>1010</v>
      </c>
      <c r="G690" t="s">
        <v>1770</v>
      </c>
      <c r="H690" t="s">
        <v>2875</v>
      </c>
      <c r="I690" t="s">
        <v>30</v>
      </c>
      <c r="J690" t="s">
        <v>2569</v>
      </c>
      <c r="K690" t="s">
        <v>20</v>
      </c>
      <c r="L690">
        <v>27217</v>
      </c>
      <c r="M690" t="s">
        <v>1697</v>
      </c>
      <c r="N690" t="s">
        <v>33</v>
      </c>
      <c r="O690" t="s">
        <v>61</v>
      </c>
      <c r="P690" t="s">
        <v>1698</v>
      </c>
      <c r="Q690">
        <f>_xlfn.XLOOKUP(Table3[[#This Row],[Product Name]],Sales!A:A,Sales!B:B)</f>
        <v>209.3</v>
      </c>
      <c r="R690">
        <f>_xlfn.XLOOKUP(Table3[[#This Row],[Product Name]],Sales!A:A,Sales!C:C)</f>
        <v>2</v>
      </c>
      <c r="S690">
        <f>_xlfn.XLOOKUP(Table3[[#This Row],[Product Name]],Sales!A:A,Sales!D:D)</f>
        <v>0</v>
      </c>
      <c r="T690">
        <f>_xlfn.XLOOKUP(Table3[[#This Row],[Product Name]],Sales!A:A,Sales!E:E)</f>
        <v>56.511000000000003</v>
      </c>
    </row>
    <row r="691" spans="1:20" x14ac:dyDescent="0.3">
      <c r="A691">
        <v>686</v>
      </c>
      <c r="B691" t="s">
        <v>1773</v>
      </c>
      <c r="C691">
        <v>5</v>
      </c>
      <c r="D691">
        <v>7</v>
      </c>
      <c r="E691">
        <v>2018</v>
      </c>
      <c r="F691" t="s">
        <v>142</v>
      </c>
      <c r="G691" t="s">
        <v>1774</v>
      </c>
      <c r="H691" t="s">
        <v>2876</v>
      </c>
      <c r="I691" t="s">
        <v>19</v>
      </c>
      <c r="J691" t="s">
        <v>2526</v>
      </c>
      <c r="K691" t="s">
        <v>20</v>
      </c>
      <c r="L691">
        <v>39212</v>
      </c>
      <c r="M691" t="s">
        <v>1026</v>
      </c>
      <c r="N691" t="s">
        <v>54</v>
      </c>
      <c r="O691" t="s">
        <v>118</v>
      </c>
      <c r="P691" t="s">
        <v>1027</v>
      </c>
      <c r="Q691">
        <f>_xlfn.XLOOKUP(Table3[[#This Row],[Product Name]],Sales!A:A,Sales!B:B)</f>
        <v>1023.936</v>
      </c>
      <c r="R691">
        <f>_xlfn.XLOOKUP(Table3[[#This Row],[Product Name]],Sales!A:A,Sales!C:C)</f>
        <v>8</v>
      </c>
      <c r="S691">
        <f>_xlfn.XLOOKUP(Table3[[#This Row],[Product Name]],Sales!A:A,Sales!D:D)</f>
        <v>0.2</v>
      </c>
      <c r="T691">
        <f>_xlfn.XLOOKUP(Table3[[#This Row],[Product Name]],Sales!A:A,Sales!E:E)</f>
        <v>179.18879999999999</v>
      </c>
    </row>
    <row r="692" spans="1:20" x14ac:dyDescent="0.3">
      <c r="A692">
        <v>687</v>
      </c>
      <c r="B692" t="s">
        <v>1773</v>
      </c>
      <c r="C692">
        <v>5</v>
      </c>
      <c r="D692">
        <v>7</v>
      </c>
      <c r="E692">
        <v>2018</v>
      </c>
      <c r="F692" t="s">
        <v>142</v>
      </c>
      <c r="G692" t="s">
        <v>1774</v>
      </c>
      <c r="H692" t="s">
        <v>2876</v>
      </c>
      <c r="I692" t="s">
        <v>19</v>
      </c>
      <c r="J692" t="s">
        <v>2526</v>
      </c>
      <c r="K692" t="s">
        <v>20</v>
      </c>
      <c r="L692">
        <v>39212</v>
      </c>
      <c r="M692" t="s">
        <v>1775</v>
      </c>
      <c r="N692" t="s">
        <v>33</v>
      </c>
      <c r="O692" t="s">
        <v>34</v>
      </c>
      <c r="P692" t="s">
        <v>1776</v>
      </c>
      <c r="Q692">
        <f>_xlfn.XLOOKUP(Table3[[#This Row],[Product Name]],Sales!A:A,Sales!B:B)</f>
        <v>14.62</v>
      </c>
      <c r="R692">
        <f>_xlfn.XLOOKUP(Table3[[#This Row],[Product Name]],Sales!A:A,Sales!C:C)</f>
        <v>2</v>
      </c>
      <c r="S692">
        <f>_xlfn.XLOOKUP(Table3[[#This Row],[Product Name]],Sales!A:A,Sales!D:D)</f>
        <v>0</v>
      </c>
      <c r="T692">
        <f>_xlfn.XLOOKUP(Table3[[#This Row],[Product Name]],Sales!A:A,Sales!E:E)</f>
        <v>6.8714000000000004</v>
      </c>
    </row>
    <row r="693" spans="1:20" x14ac:dyDescent="0.3">
      <c r="A693">
        <v>688</v>
      </c>
      <c r="B693" t="s">
        <v>1773</v>
      </c>
      <c r="C693">
        <v>5</v>
      </c>
      <c r="D693">
        <v>7</v>
      </c>
      <c r="E693">
        <v>2018</v>
      </c>
      <c r="F693" t="s">
        <v>142</v>
      </c>
      <c r="G693" t="s">
        <v>1774</v>
      </c>
      <c r="H693" t="s">
        <v>2876</v>
      </c>
      <c r="I693" t="s">
        <v>19</v>
      </c>
      <c r="J693" t="s">
        <v>2526</v>
      </c>
      <c r="K693" t="s">
        <v>20</v>
      </c>
      <c r="L693">
        <v>39212</v>
      </c>
      <c r="M693" t="s">
        <v>303</v>
      </c>
      <c r="N693" t="s">
        <v>33</v>
      </c>
      <c r="O693" t="s">
        <v>70</v>
      </c>
      <c r="P693" t="s">
        <v>304</v>
      </c>
      <c r="Q693">
        <f>_xlfn.XLOOKUP(Table3[[#This Row],[Product Name]],Sales!A:A,Sales!B:B)</f>
        <v>6.48</v>
      </c>
      <c r="R693">
        <f>_xlfn.XLOOKUP(Table3[[#This Row],[Product Name]],Sales!A:A,Sales!C:C)</f>
        <v>1</v>
      </c>
      <c r="S693">
        <f>_xlfn.XLOOKUP(Table3[[#This Row],[Product Name]],Sales!A:A,Sales!D:D)</f>
        <v>0</v>
      </c>
      <c r="T693">
        <f>_xlfn.XLOOKUP(Table3[[#This Row],[Product Name]],Sales!A:A,Sales!E:E)</f>
        <v>3.1103999999999998</v>
      </c>
    </row>
    <row r="694" spans="1:20" x14ac:dyDescent="0.3">
      <c r="A694">
        <v>689</v>
      </c>
      <c r="B694" t="s">
        <v>1777</v>
      </c>
      <c r="C694">
        <v>25</v>
      </c>
      <c r="D694">
        <v>12</v>
      </c>
      <c r="E694">
        <v>2021</v>
      </c>
      <c r="F694" t="s">
        <v>37</v>
      </c>
      <c r="G694" t="s">
        <v>1778</v>
      </c>
      <c r="H694" t="s">
        <v>2877</v>
      </c>
      <c r="I694" t="s">
        <v>19</v>
      </c>
      <c r="J694" t="s">
        <v>2434</v>
      </c>
      <c r="K694" t="s">
        <v>108</v>
      </c>
      <c r="L694">
        <v>10035</v>
      </c>
      <c r="M694" t="s">
        <v>1779</v>
      </c>
      <c r="N694" t="s">
        <v>22</v>
      </c>
      <c r="O694" t="s">
        <v>23</v>
      </c>
      <c r="P694" t="s">
        <v>1780</v>
      </c>
      <c r="Q694">
        <f>_xlfn.XLOOKUP(Table3[[#This Row],[Product Name]],Sales!A:A,Sales!B:B)</f>
        <v>191.98400000000001</v>
      </c>
      <c r="R694">
        <f>_xlfn.XLOOKUP(Table3[[#This Row],[Product Name]],Sales!A:A,Sales!C:C)</f>
        <v>2</v>
      </c>
      <c r="S694">
        <f>_xlfn.XLOOKUP(Table3[[#This Row],[Product Name]],Sales!A:A,Sales!D:D)</f>
        <v>0.2</v>
      </c>
      <c r="T694">
        <f>_xlfn.XLOOKUP(Table3[[#This Row],[Product Name]],Sales!A:A,Sales!E:E)</f>
        <v>4.7995999999999999</v>
      </c>
    </row>
    <row r="695" spans="1:20" x14ac:dyDescent="0.3">
      <c r="A695">
        <v>690</v>
      </c>
      <c r="B695" t="s">
        <v>1781</v>
      </c>
      <c r="C695">
        <v>21</v>
      </c>
      <c r="D695">
        <v>6</v>
      </c>
      <c r="E695">
        <v>2018</v>
      </c>
      <c r="F695" t="s">
        <v>17</v>
      </c>
      <c r="G695" t="s">
        <v>1782</v>
      </c>
      <c r="H695" t="s">
        <v>2878</v>
      </c>
      <c r="I695" t="s">
        <v>19</v>
      </c>
      <c r="J695" t="s">
        <v>2570</v>
      </c>
      <c r="K695" t="s">
        <v>20</v>
      </c>
      <c r="L695">
        <v>22980</v>
      </c>
      <c r="M695" t="s">
        <v>1783</v>
      </c>
      <c r="N695" t="s">
        <v>22</v>
      </c>
      <c r="O695" t="s">
        <v>48</v>
      </c>
      <c r="P695" t="s">
        <v>1784</v>
      </c>
      <c r="Q695">
        <f>_xlfn.XLOOKUP(Table3[[#This Row],[Product Name]],Sales!A:A,Sales!B:B)</f>
        <v>104.01</v>
      </c>
      <c r="R695">
        <f>_xlfn.XLOOKUP(Table3[[#This Row],[Product Name]],Sales!A:A,Sales!C:C)</f>
        <v>1</v>
      </c>
      <c r="S695">
        <f>_xlfn.XLOOKUP(Table3[[#This Row],[Product Name]],Sales!A:A,Sales!D:D)</f>
        <v>0</v>
      </c>
      <c r="T695">
        <f>_xlfn.XLOOKUP(Table3[[#This Row],[Product Name]],Sales!A:A,Sales!E:E)</f>
        <v>14.561400000000001</v>
      </c>
    </row>
    <row r="696" spans="1:20" x14ac:dyDescent="0.3">
      <c r="A696">
        <v>691</v>
      </c>
      <c r="B696" t="s">
        <v>1781</v>
      </c>
      <c r="C696">
        <v>21</v>
      </c>
      <c r="D696">
        <v>6</v>
      </c>
      <c r="E696">
        <v>2018</v>
      </c>
      <c r="F696" t="s">
        <v>17</v>
      </c>
      <c r="G696" t="s">
        <v>1782</v>
      </c>
      <c r="H696" t="s">
        <v>2878</v>
      </c>
      <c r="I696" t="s">
        <v>19</v>
      </c>
      <c r="J696" t="s">
        <v>2570</v>
      </c>
      <c r="K696" t="s">
        <v>20</v>
      </c>
      <c r="L696">
        <v>22980</v>
      </c>
      <c r="M696" t="s">
        <v>65</v>
      </c>
      <c r="N696" t="s">
        <v>54</v>
      </c>
      <c r="O696" t="s">
        <v>55</v>
      </c>
      <c r="P696" t="s">
        <v>66</v>
      </c>
      <c r="Q696">
        <f>_xlfn.XLOOKUP(Table3[[#This Row],[Product Name]],Sales!A:A,Sales!B:B)</f>
        <v>911.42399999999998</v>
      </c>
      <c r="R696">
        <f>_xlfn.XLOOKUP(Table3[[#This Row],[Product Name]],Sales!A:A,Sales!C:C)</f>
        <v>4</v>
      </c>
      <c r="S696">
        <f>_xlfn.XLOOKUP(Table3[[#This Row],[Product Name]],Sales!A:A,Sales!D:D)</f>
        <v>0.2</v>
      </c>
      <c r="T696">
        <f>_xlfn.XLOOKUP(Table3[[#This Row],[Product Name]],Sales!A:A,Sales!E:E)</f>
        <v>68.356800000000007</v>
      </c>
    </row>
    <row r="697" spans="1:20" x14ac:dyDescent="0.3">
      <c r="A697">
        <v>692</v>
      </c>
      <c r="B697" t="s">
        <v>1781</v>
      </c>
      <c r="C697">
        <v>21</v>
      </c>
      <c r="D697">
        <v>6</v>
      </c>
      <c r="E697">
        <v>2018</v>
      </c>
      <c r="F697" t="s">
        <v>17</v>
      </c>
      <c r="G697" t="s">
        <v>1782</v>
      </c>
      <c r="H697" t="s">
        <v>2878</v>
      </c>
      <c r="I697" t="s">
        <v>19</v>
      </c>
      <c r="J697" t="s">
        <v>2570</v>
      </c>
      <c r="K697" t="s">
        <v>20</v>
      </c>
      <c r="L697">
        <v>22980</v>
      </c>
      <c r="M697" t="s">
        <v>1785</v>
      </c>
      <c r="N697" t="s">
        <v>33</v>
      </c>
      <c r="O697" t="s">
        <v>43</v>
      </c>
      <c r="P697" t="s">
        <v>1786</v>
      </c>
      <c r="Q697">
        <f>_xlfn.XLOOKUP(Table3[[#This Row],[Product Name]],Sales!A:A,Sales!B:B)</f>
        <v>36.840000000000003</v>
      </c>
      <c r="R697">
        <f>_xlfn.XLOOKUP(Table3[[#This Row],[Product Name]],Sales!A:A,Sales!C:C)</f>
        <v>3</v>
      </c>
      <c r="S697">
        <f>_xlfn.XLOOKUP(Table3[[#This Row],[Product Name]],Sales!A:A,Sales!D:D)</f>
        <v>0</v>
      </c>
      <c r="T697">
        <f>_xlfn.XLOOKUP(Table3[[#This Row],[Product Name]],Sales!A:A,Sales!E:E)</f>
        <v>10.315200000000001</v>
      </c>
    </row>
    <row r="698" spans="1:20" x14ac:dyDescent="0.3">
      <c r="A698">
        <v>693</v>
      </c>
      <c r="B698" t="s">
        <v>1787</v>
      </c>
      <c r="C698">
        <v>28</v>
      </c>
      <c r="D698">
        <v>3</v>
      </c>
      <c r="E698">
        <v>2019</v>
      </c>
      <c r="F698" t="s">
        <v>37</v>
      </c>
      <c r="G698" t="s">
        <v>1788</v>
      </c>
      <c r="H698" t="s">
        <v>2879</v>
      </c>
      <c r="I698" t="s">
        <v>19</v>
      </c>
      <c r="J698" t="s">
        <v>2415</v>
      </c>
      <c r="K698" t="s">
        <v>31</v>
      </c>
      <c r="L698">
        <v>90036</v>
      </c>
      <c r="M698" t="s">
        <v>1789</v>
      </c>
      <c r="N698" t="s">
        <v>54</v>
      </c>
      <c r="O698" t="s">
        <v>118</v>
      </c>
      <c r="P698" t="s">
        <v>1790</v>
      </c>
      <c r="Q698">
        <f>_xlfn.XLOOKUP(Table3[[#This Row],[Product Name]],Sales!A:A,Sales!B:B)</f>
        <v>166.24</v>
      </c>
      <c r="R698">
        <f>_xlfn.XLOOKUP(Table3[[#This Row],[Product Name]],Sales!A:A,Sales!C:C)</f>
        <v>1</v>
      </c>
      <c r="S698">
        <f>_xlfn.XLOOKUP(Table3[[#This Row],[Product Name]],Sales!A:A,Sales!D:D)</f>
        <v>0</v>
      </c>
      <c r="T698">
        <f>_xlfn.XLOOKUP(Table3[[#This Row],[Product Name]],Sales!A:A,Sales!E:E)</f>
        <v>24.936</v>
      </c>
    </row>
    <row r="699" spans="1:20" x14ac:dyDescent="0.3">
      <c r="A699">
        <v>694</v>
      </c>
      <c r="B699" t="s">
        <v>1787</v>
      </c>
      <c r="C699">
        <v>28</v>
      </c>
      <c r="D699">
        <v>3</v>
      </c>
      <c r="E699">
        <v>2019</v>
      </c>
      <c r="F699" t="s">
        <v>37</v>
      </c>
      <c r="G699" t="s">
        <v>1788</v>
      </c>
      <c r="H699" t="s">
        <v>2879</v>
      </c>
      <c r="I699" t="s">
        <v>19</v>
      </c>
      <c r="J699" t="s">
        <v>2415</v>
      </c>
      <c r="K699" t="s">
        <v>31</v>
      </c>
      <c r="L699">
        <v>90036</v>
      </c>
      <c r="M699" t="s">
        <v>1791</v>
      </c>
      <c r="N699" t="s">
        <v>33</v>
      </c>
      <c r="O699" t="s">
        <v>70</v>
      </c>
      <c r="P699" t="s">
        <v>1792</v>
      </c>
      <c r="Q699">
        <f>_xlfn.XLOOKUP(Table3[[#This Row],[Product Name]],Sales!A:A,Sales!B:B)</f>
        <v>33.4</v>
      </c>
      <c r="R699">
        <f>_xlfn.XLOOKUP(Table3[[#This Row],[Product Name]],Sales!A:A,Sales!C:C)</f>
        <v>5</v>
      </c>
      <c r="S699">
        <f>_xlfn.XLOOKUP(Table3[[#This Row],[Product Name]],Sales!A:A,Sales!D:D)</f>
        <v>0</v>
      </c>
      <c r="T699">
        <f>_xlfn.XLOOKUP(Table3[[#This Row],[Product Name]],Sales!A:A,Sales!E:E)</f>
        <v>16.032</v>
      </c>
    </row>
    <row r="700" spans="1:20" x14ac:dyDescent="0.3">
      <c r="A700">
        <v>695</v>
      </c>
      <c r="B700" t="s">
        <v>1793</v>
      </c>
      <c r="C700">
        <v>14</v>
      </c>
      <c r="D700">
        <v>5</v>
      </c>
      <c r="E700">
        <v>2019</v>
      </c>
      <c r="F700" t="s">
        <v>142</v>
      </c>
      <c r="G700" t="s">
        <v>1794</v>
      </c>
      <c r="H700" t="s">
        <v>2880</v>
      </c>
      <c r="I700" t="s">
        <v>78</v>
      </c>
      <c r="J700" t="s">
        <v>2571</v>
      </c>
      <c r="K700" t="s">
        <v>108</v>
      </c>
      <c r="L700">
        <v>19013</v>
      </c>
      <c r="M700" t="s">
        <v>902</v>
      </c>
      <c r="N700" t="s">
        <v>33</v>
      </c>
      <c r="O700" t="s">
        <v>51</v>
      </c>
      <c r="P700" t="s">
        <v>903</v>
      </c>
      <c r="Q700">
        <f>_xlfn.XLOOKUP(Table3[[#This Row],[Product Name]],Sales!A:A,Sales!B:B)</f>
        <v>99.135999999999996</v>
      </c>
      <c r="R700">
        <f>_xlfn.XLOOKUP(Table3[[#This Row],[Product Name]],Sales!A:A,Sales!C:C)</f>
        <v>4</v>
      </c>
      <c r="S700">
        <f>_xlfn.XLOOKUP(Table3[[#This Row],[Product Name]],Sales!A:A,Sales!D:D)</f>
        <v>0.2</v>
      </c>
      <c r="T700">
        <f>_xlfn.XLOOKUP(Table3[[#This Row],[Product Name]],Sales!A:A,Sales!E:E)</f>
        <v>8.6744000000000003</v>
      </c>
    </row>
    <row r="701" spans="1:20" x14ac:dyDescent="0.3">
      <c r="A701">
        <v>696</v>
      </c>
      <c r="B701" t="s">
        <v>1793</v>
      </c>
      <c r="C701">
        <v>14</v>
      </c>
      <c r="D701">
        <v>5</v>
      </c>
      <c r="E701">
        <v>2019</v>
      </c>
      <c r="F701" t="s">
        <v>142</v>
      </c>
      <c r="G701" t="s">
        <v>1794</v>
      </c>
      <c r="H701" t="s">
        <v>2880</v>
      </c>
      <c r="I701" t="s">
        <v>78</v>
      </c>
      <c r="J701" t="s">
        <v>2571</v>
      </c>
      <c r="K701" t="s">
        <v>108</v>
      </c>
      <c r="L701">
        <v>19013</v>
      </c>
      <c r="M701" t="s">
        <v>1795</v>
      </c>
      <c r="N701" t="s">
        <v>33</v>
      </c>
      <c r="O701" t="s">
        <v>34</v>
      </c>
      <c r="P701" t="s">
        <v>1796</v>
      </c>
      <c r="Q701">
        <f>_xlfn.XLOOKUP(Table3[[#This Row],[Product Name]],Sales!A:A,Sales!B:B)</f>
        <v>47.36</v>
      </c>
      <c r="R701">
        <f>_xlfn.XLOOKUP(Table3[[#This Row],[Product Name]],Sales!A:A,Sales!C:C)</f>
        <v>4</v>
      </c>
      <c r="S701">
        <f>_xlfn.XLOOKUP(Table3[[#This Row],[Product Name]],Sales!A:A,Sales!D:D)</f>
        <v>0.2</v>
      </c>
      <c r="T701">
        <f>_xlfn.XLOOKUP(Table3[[#This Row],[Product Name]],Sales!A:A,Sales!E:E)</f>
        <v>17.760000000000002</v>
      </c>
    </row>
    <row r="702" spans="1:20" x14ac:dyDescent="0.3">
      <c r="A702">
        <v>697</v>
      </c>
      <c r="B702" t="s">
        <v>1793</v>
      </c>
      <c r="C702">
        <v>14</v>
      </c>
      <c r="D702">
        <v>5</v>
      </c>
      <c r="E702">
        <v>2019</v>
      </c>
      <c r="F702" t="s">
        <v>142</v>
      </c>
      <c r="G702" t="s">
        <v>1794</v>
      </c>
      <c r="H702" t="s">
        <v>2880</v>
      </c>
      <c r="I702" t="s">
        <v>78</v>
      </c>
      <c r="J702" t="s">
        <v>2571</v>
      </c>
      <c r="K702" t="s">
        <v>108</v>
      </c>
      <c r="L702">
        <v>19013</v>
      </c>
      <c r="M702" t="s">
        <v>280</v>
      </c>
      <c r="N702" t="s">
        <v>33</v>
      </c>
      <c r="O702" t="s">
        <v>129</v>
      </c>
      <c r="P702" t="s">
        <v>281</v>
      </c>
      <c r="Q702">
        <f>_xlfn.XLOOKUP(Table3[[#This Row],[Product Name]],Sales!A:A,Sales!B:B)</f>
        <v>200.98400000000001</v>
      </c>
      <c r="R702">
        <f>_xlfn.XLOOKUP(Table3[[#This Row],[Product Name]],Sales!A:A,Sales!C:C)</f>
        <v>7</v>
      </c>
      <c r="S702">
        <f>_xlfn.XLOOKUP(Table3[[#This Row],[Product Name]],Sales!A:A,Sales!D:D)</f>
        <v>0.2</v>
      </c>
      <c r="T702">
        <f>_xlfn.XLOOKUP(Table3[[#This Row],[Product Name]],Sales!A:A,Sales!E:E)</f>
        <v>62.807499999999997</v>
      </c>
    </row>
    <row r="703" spans="1:20" x14ac:dyDescent="0.3">
      <c r="A703">
        <v>698</v>
      </c>
      <c r="B703" t="s">
        <v>1793</v>
      </c>
      <c r="C703">
        <v>14</v>
      </c>
      <c r="D703">
        <v>5</v>
      </c>
      <c r="E703">
        <v>2019</v>
      </c>
      <c r="F703" t="s">
        <v>142</v>
      </c>
      <c r="G703" t="s">
        <v>1794</v>
      </c>
      <c r="H703" t="s">
        <v>2880</v>
      </c>
      <c r="I703" t="s">
        <v>78</v>
      </c>
      <c r="J703" t="s">
        <v>2571</v>
      </c>
      <c r="K703" t="s">
        <v>108</v>
      </c>
      <c r="L703">
        <v>19013</v>
      </c>
      <c r="M703" t="s">
        <v>1797</v>
      </c>
      <c r="N703" t="s">
        <v>33</v>
      </c>
      <c r="O703" t="s">
        <v>34</v>
      </c>
      <c r="P703" t="s">
        <v>1798</v>
      </c>
      <c r="Q703">
        <f>_xlfn.XLOOKUP(Table3[[#This Row],[Product Name]],Sales!A:A,Sales!B:B)</f>
        <v>97.695999999999998</v>
      </c>
      <c r="R703">
        <f>_xlfn.XLOOKUP(Table3[[#This Row],[Product Name]],Sales!A:A,Sales!C:C)</f>
        <v>4</v>
      </c>
      <c r="S703">
        <f>_xlfn.XLOOKUP(Table3[[#This Row],[Product Name]],Sales!A:A,Sales!D:D)</f>
        <v>0.2</v>
      </c>
      <c r="T703">
        <f>_xlfn.XLOOKUP(Table3[[#This Row],[Product Name]],Sales!A:A,Sales!E:E)</f>
        <v>31.751200000000001</v>
      </c>
    </row>
    <row r="704" spans="1:20" x14ac:dyDescent="0.3">
      <c r="A704">
        <v>699</v>
      </c>
      <c r="B704" t="s">
        <v>1793</v>
      </c>
      <c r="C704">
        <v>14</v>
      </c>
      <c r="D704">
        <v>5</v>
      </c>
      <c r="E704">
        <v>2019</v>
      </c>
      <c r="F704" t="s">
        <v>142</v>
      </c>
      <c r="G704" t="s">
        <v>1794</v>
      </c>
      <c r="H704" t="s">
        <v>2880</v>
      </c>
      <c r="I704" t="s">
        <v>78</v>
      </c>
      <c r="J704" t="s">
        <v>2571</v>
      </c>
      <c r="K704" t="s">
        <v>108</v>
      </c>
      <c r="L704">
        <v>19013</v>
      </c>
      <c r="M704" t="s">
        <v>1799</v>
      </c>
      <c r="N704" t="s">
        <v>33</v>
      </c>
      <c r="O704" t="s">
        <v>51</v>
      </c>
      <c r="P704" t="s">
        <v>1800</v>
      </c>
      <c r="Q704">
        <f>_xlfn.XLOOKUP(Table3[[#This Row],[Product Name]],Sales!A:A,Sales!B:B)</f>
        <v>2.6960000000000002</v>
      </c>
      <c r="R704">
        <f>_xlfn.XLOOKUP(Table3[[#This Row],[Product Name]],Sales!A:A,Sales!C:C)</f>
        <v>1</v>
      </c>
      <c r="S704">
        <f>_xlfn.XLOOKUP(Table3[[#This Row],[Product Name]],Sales!A:A,Sales!D:D)</f>
        <v>0.2</v>
      </c>
      <c r="T704">
        <f>_xlfn.XLOOKUP(Table3[[#This Row],[Product Name]],Sales!A:A,Sales!E:E)</f>
        <v>0.80879999999999996</v>
      </c>
    </row>
    <row r="705" spans="1:20" x14ac:dyDescent="0.3">
      <c r="A705">
        <v>700</v>
      </c>
      <c r="B705" t="s">
        <v>1793</v>
      </c>
      <c r="C705">
        <v>14</v>
      </c>
      <c r="D705">
        <v>5</v>
      </c>
      <c r="E705">
        <v>2019</v>
      </c>
      <c r="F705" t="s">
        <v>142</v>
      </c>
      <c r="G705" t="s">
        <v>1794</v>
      </c>
      <c r="H705" t="s">
        <v>2880</v>
      </c>
      <c r="I705" t="s">
        <v>78</v>
      </c>
      <c r="J705" t="s">
        <v>2571</v>
      </c>
      <c r="K705" t="s">
        <v>108</v>
      </c>
      <c r="L705">
        <v>19013</v>
      </c>
      <c r="M705" t="s">
        <v>1801</v>
      </c>
      <c r="N705" t="s">
        <v>33</v>
      </c>
      <c r="O705" t="s">
        <v>58</v>
      </c>
      <c r="P705" t="s">
        <v>1802</v>
      </c>
      <c r="Q705">
        <f>_xlfn.XLOOKUP(Table3[[#This Row],[Product Name]],Sales!A:A,Sales!B:B)</f>
        <v>18.588000000000001</v>
      </c>
      <c r="R705">
        <f>_xlfn.XLOOKUP(Table3[[#This Row],[Product Name]],Sales!A:A,Sales!C:C)</f>
        <v>2</v>
      </c>
      <c r="S705">
        <f>_xlfn.XLOOKUP(Table3[[#This Row],[Product Name]],Sales!A:A,Sales!D:D)</f>
        <v>0.7</v>
      </c>
      <c r="T705">
        <f>_xlfn.XLOOKUP(Table3[[#This Row],[Product Name]],Sales!A:A,Sales!E:E)</f>
        <v>-13.6312</v>
      </c>
    </row>
    <row r="706" spans="1:20" x14ac:dyDescent="0.3">
      <c r="A706">
        <v>701</v>
      </c>
      <c r="B706" t="s">
        <v>1793</v>
      </c>
      <c r="C706">
        <v>14</v>
      </c>
      <c r="D706">
        <v>5</v>
      </c>
      <c r="E706">
        <v>2019</v>
      </c>
      <c r="F706" t="s">
        <v>142</v>
      </c>
      <c r="G706" t="s">
        <v>1794</v>
      </c>
      <c r="H706" t="s">
        <v>2880</v>
      </c>
      <c r="I706" t="s">
        <v>78</v>
      </c>
      <c r="J706" t="s">
        <v>2571</v>
      </c>
      <c r="K706" t="s">
        <v>108</v>
      </c>
      <c r="L706">
        <v>19013</v>
      </c>
      <c r="M706" t="s">
        <v>942</v>
      </c>
      <c r="N706" t="s">
        <v>33</v>
      </c>
      <c r="O706" t="s">
        <v>58</v>
      </c>
      <c r="P706" t="s">
        <v>943</v>
      </c>
      <c r="Q706">
        <f>_xlfn.XLOOKUP(Table3[[#This Row],[Product Name]],Sales!A:A,Sales!B:B)</f>
        <v>4.8959999999999999</v>
      </c>
      <c r="R706">
        <f>_xlfn.XLOOKUP(Table3[[#This Row],[Product Name]],Sales!A:A,Sales!C:C)</f>
        <v>3</v>
      </c>
      <c r="S706">
        <f>_xlfn.XLOOKUP(Table3[[#This Row],[Product Name]],Sales!A:A,Sales!D:D)</f>
        <v>0.7</v>
      </c>
      <c r="T706">
        <f>_xlfn.XLOOKUP(Table3[[#This Row],[Product Name]],Sales!A:A,Sales!E:E)</f>
        <v>-3.4272</v>
      </c>
    </row>
    <row r="707" spans="1:20" x14ac:dyDescent="0.3">
      <c r="A707">
        <v>702</v>
      </c>
      <c r="B707" t="s">
        <v>1803</v>
      </c>
      <c r="C707">
        <v>2</v>
      </c>
      <c r="D707">
        <v>9</v>
      </c>
      <c r="E707">
        <v>2021</v>
      </c>
      <c r="F707" t="s">
        <v>37</v>
      </c>
      <c r="G707" t="s">
        <v>751</v>
      </c>
      <c r="H707" t="s">
        <v>2724</v>
      </c>
      <c r="I707" t="s">
        <v>30</v>
      </c>
      <c r="J707" t="s">
        <v>2567</v>
      </c>
      <c r="K707" t="s">
        <v>108</v>
      </c>
      <c r="L707">
        <v>44105</v>
      </c>
      <c r="M707" t="s">
        <v>623</v>
      </c>
      <c r="N707" t="s">
        <v>22</v>
      </c>
      <c r="O707" t="s">
        <v>48</v>
      </c>
      <c r="P707" t="s">
        <v>624</v>
      </c>
      <c r="Q707">
        <f>_xlfn.XLOOKUP(Table3[[#This Row],[Product Name]],Sales!A:A,Sales!B:B)</f>
        <v>35.167999999999999</v>
      </c>
      <c r="R707">
        <f>_xlfn.XLOOKUP(Table3[[#This Row],[Product Name]],Sales!A:A,Sales!C:C)</f>
        <v>7</v>
      </c>
      <c r="S707">
        <f>_xlfn.XLOOKUP(Table3[[#This Row],[Product Name]],Sales!A:A,Sales!D:D)</f>
        <v>0.2</v>
      </c>
      <c r="T707">
        <f>_xlfn.XLOOKUP(Table3[[#This Row],[Product Name]],Sales!A:A,Sales!E:E)</f>
        <v>9.6712000000000007</v>
      </c>
    </row>
    <row r="708" spans="1:20" x14ac:dyDescent="0.3">
      <c r="A708">
        <v>703</v>
      </c>
      <c r="B708" t="s">
        <v>1804</v>
      </c>
      <c r="C708">
        <v>4</v>
      </c>
      <c r="D708">
        <v>11</v>
      </c>
      <c r="E708">
        <v>2020</v>
      </c>
      <c r="F708" t="s">
        <v>17</v>
      </c>
      <c r="G708" t="s">
        <v>1049</v>
      </c>
      <c r="H708" t="s">
        <v>2765</v>
      </c>
      <c r="I708" t="s">
        <v>30</v>
      </c>
      <c r="J708" t="s">
        <v>2418</v>
      </c>
      <c r="K708" t="s">
        <v>31</v>
      </c>
      <c r="L708">
        <v>98103</v>
      </c>
      <c r="M708" t="s">
        <v>1805</v>
      </c>
      <c r="N708" t="s">
        <v>22</v>
      </c>
      <c r="O708" t="s">
        <v>48</v>
      </c>
      <c r="P708" t="s">
        <v>1806</v>
      </c>
      <c r="Q708">
        <f>_xlfn.XLOOKUP(Table3[[#This Row],[Product Name]],Sales!A:A,Sales!B:B)</f>
        <v>209.88</v>
      </c>
      <c r="R708">
        <f>_xlfn.XLOOKUP(Table3[[#This Row],[Product Name]],Sales!A:A,Sales!C:C)</f>
        <v>3</v>
      </c>
      <c r="S708">
        <f>_xlfn.XLOOKUP(Table3[[#This Row],[Product Name]],Sales!A:A,Sales!D:D)</f>
        <v>0</v>
      </c>
      <c r="T708">
        <f>_xlfn.XLOOKUP(Table3[[#This Row],[Product Name]],Sales!A:A,Sales!E:E)</f>
        <v>35.679600000000001</v>
      </c>
    </row>
    <row r="709" spans="1:20" x14ac:dyDescent="0.3">
      <c r="A709">
        <v>704</v>
      </c>
      <c r="B709" t="s">
        <v>1807</v>
      </c>
      <c r="C709">
        <v>9</v>
      </c>
      <c r="D709">
        <v>4</v>
      </c>
      <c r="E709">
        <v>2019</v>
      </c>
      <c r="F709" t="s">
        <v>37</v>
      </c>
      <c r="G709" t="s">
        <v>1808</v>
      </c>
      <c r="H709" t="s">
        <v>2881</v>
      </c>
      <c r="I709" t="s">
        <v>19</v>
      </c>
      <c r="J709" t="s">
        <v>2503</v>
      </c>
      <c r="K709" t="s">
        <v>31</v>
      </c>
      <c r="L709">
        <v>90805</v>
      </c>
      <c r="M709" t="s">
        <v>1809</v>
      </c>
      <c r="N709" t="s">
        <v>22</v>
      </c>
      <c r="O709" t="s">
        <v>40</v>
      </c>
      <c r="P709" t="s">
        <v>1810</v>
      </c>
      <c r="Q709">
        <f>_xlfn.XLOOKUP(Table3[[#This Row],[Product Name]],Sales!A:A,Sales!B:B)</f>
        <v>369.91199999999998</v>
      </c>
      <c r="R709">
        <f>_xlfn.XLOOKUP(Table3[[#This Row],[Product Name]],Sales!A:A,Sales!C:C)</f>
        <v>3</v>
      </c>
      <c r="S709">
        <f>_xlfn.XLOOKUP(Table3[[#This Row],[Product Name]],Sales!A:A,Sales!D:D)</f>
        <v>0.2</v>
      </c>
      <c r="T709">
        <f>_xlfn.XLOOKUP(Table3[[#This Row],[Product Name]],Sales!A:A,Sales!E:E)</f>
        <v>-13.871700000000001</v>
      </c>
    </row>
    <row r="710" spans="1:20" x14ac:dyDescent="0.3">
      <c r="A710">
        <v>705</v>
      </c>
      <c r="B710" t="s">
        <v>1811</v>
      </c>
      <c r="C710">
        <v>12</v>
      </c>
      <c r="D710">
        <v>9</v>
      </c>
      <c r="E710">
        <v>2018</v>
      </c>
      <c r="F710" t="s">
        <v>37</v>
      </c>
      <c r="G710" t="s">
        <v>1812</v>
      </c>
      <c r="H710" t="s">
        <v>2882</v>
      </c>
      <c r="I710" t="s">
        <v>30</v>
      </c>
      <c r="J710" t="s">
        <v>2572</v>
      </c>
      <c r="K710" t="s">
        <v>20</v>
      </c>
      <c r="L710">
        <v>27511</v>
      </c>
      <c r="M710" t="s">
        <v>1813</v>
      </c>
      <c r="N710" t="s">
        <v>33</v>
      </c>
      <c r="O710" t="s">
        <v>70</v>
      </c>
      <c r="P710" t="s">
        <v>1814</v>
      </c>
      <c r="Q710">
        <f>_xlfn.XLOOKUP(Table3[[#This Row],[Product Name]],Sales!A:A,Sales!B:B)</f>
        <v>10.368</v>
      </c>
      <c r="R710">
        <f>_xlfn.XLOOKUP(Table3[[#This Row],[Product Name]],Sales!A:A,Sales!C:C)</f>
        <v>2</v>
      </c>
      <c r="S710">
        <f>_xlfn.XLOOKUP(Table3[[#This Row],[Product Name]],Sales!A:A,Sales!D:D)</f>
        <v>0.2</v>
      </c>
      <c r="T710">
        <f>_xlfn.XLOOKUP(Table3[[#This Row],[Product Name]],Sales!A:A,Sales!E:E)</f>
        <v>3.6288</v>
      </c>
    </row>
    <row r="711" spans="1:20" x14ac:dyDescent="0.3">
      <c r="A711">
        <v>706</v>
      </c>
      <c r="B711" t="s">
        <v>1811</v>
      </c>
      <c r="C711">
        <v>12</v>
      </c>
      <c r="D711">
        <v>9</v>
      </c>
      <c r="E711">
        <v>2018</v>
      </c>
      <c r="F711" t="s">
        <v>37</v>
      </c>
      <c r="G711" t="s">
        <v>1812</v>
      </c>
      <c r="H711" t="s">
        <v>2882</v>
      </c>
      <c r="I711" t="s">
        <v>30</v>
      </c>
      <c r="J711" t="s">
        <v>2572</v>
      </c>
      <c r="K711" t="s">
        <v>20</v>
      </c>
      <c r="L711">
        <v>27511</v>
      </c>
      <c r="M711" t="s">
        <v>1815</v>
      </c>
      <c r="N711" t="s">
        <v>33</v>
      </c>
      <c r="O711" t="s">
        <v>61</v>
      </c>
      <c r="P711" t="s">
        <v>1816</v>
      </c>
      <c r="Q711">
        <f>_xlfn.XLOOKUP(Table3[[#This Row],[Product Name]],Sales!A:A,Sales!B:B)</f>
        <v>166.84</v>
      </c>
      <c r="R711">
        <f>_xlfn.XLOOKUP(Table3[[#This Row],[Product Name]],Sales!A:A,Sales!C:C)</f>
        <v>5</v>
      </c>
      <c r="S711">
        <f>_xlfn.XLOOKUP(Table3[[#This Row],[Product Name]],Sales!A:A,Sales!D:D)</f>
        <v>0.2</v>
      </c>
      <c r="T711">
        <f>_xlfn.XLOOKUP(Table3[[#This Row],[Product Name]],Sales!A:A,Sales!E:E)</f>
        <v>18.769500000000001</v>
      </c>
    </row>
    <row r="712" spans="1:20" x14ac:dyDescent="0.3">
      <c r="A712">
        <v>707</v>
      </c>
      <c r="B712" t="s">
        <v>1811</v>
      </c>
      <c r="C712">
        <v>12</v>
      </c>
      <c r="D712">
        <v>9</v>
      </c>
      <c r="E712">
        <v>2018</v>
      </c>
      <c r="F712" t="s">
        <v>37</v>
      </c>
      <c r="G712" t="s">
        <v>1812</v>
      </c>
      <c r="H712" t="s">
        <v>2882</v>
      </c>
      <c r="I712" t="s">
        <v>30</v>
      </c>
      <c r="J712" t="s">
        <v>2572</v>
      </c>
      <c r="K712" t="s">
        <v>20</v>
      </c>
      <c r="L712">
        <v>27511</v>
      </c>
      <c r="M712" t="s">
        <v>1385</v>
      </c>
      <c r="N712" t="s">
        <v>54</v>
      </c>
      <c r="O712" t="s">
        <v>118</v>
      </c>
      <c r="P712" t="s">
        <v>1386</v>
      </c>
      <c r="Q712">
        <f>_xlfn.XLOOKUP(Table3[[#This Row],[Product Name]],Sales!A:A,Sales!B:B)</f>
        <v>38.04</v>
      </c>
      <c r="R712">
        <f>_xlfn.XLOOKUP(Table3[[#This Row],[Product Name]],Sales!A:A,Sales!C:C)</f>
        <v>2</v>
      </c>
      <c r="S712">
        <f>_xlfn.XLOOKUP(Table3[[#This Row],[Product Name]],Sales!A:A,Sales!D:D)</f>
        <v>0</v>
      </c>
      <c r="T712">
        <f>_xlfn.XLOOKUP(Table3[[#This Row],[Product Name]],Sales!A:A,Sales!E:E)</f>
        <v>12.172800000000001</v>
      </c>
    </row>
    <row r="713" spans="1:20" x14ac:dyDescent="0.3">
      <c r="A713">
        <v>708</v>
      </c>
      <c r="B713" t="s">
        <v>1817</v>
      </c>
      <c r="C713">
        <v>2</v>
      </c>
      <c r="D713">
        <v>12</v>
      </c>
      <c r="E713">
        <v>2018</v>
      </c>
      <c r="F713" t="s">
        <v>142</v>
      </c>
      <c r="G713" t="s">
        <v>1818</v>
      </c>
      <c r="H713" t="s">
        <v>2883</v>
      </c>
      <c r="I713" t="s">
        <v>19</v>
      </c>
      <c r="J713" t="s">
        <v>2434</v>
      </c>
      <c r="K713" t="s">
        <v>108</v>
      </c>
      <c r="L713">
        <v>10035</v>
      </c>
      <c r="M713" t="s">
        <v>784</v>
      </c>
      <c r="N713" t="s">
        <v>54</v>
      </c>
      <c r="O713" t="s">
        <v>118</v>
      </c>
      <c r="P713" t="s">
        <v>785</v>
      </c>
      <c r="Q713">
        <f>_xlfn.XLOOKUP(Table3[[#This Row],[Product Name]],Sales!A:A,Sales!B:B)</f>
        <v>209.93</v>
      </c>
      <c r="R713">
        <f>_xlfn.XLOOKUP(Table3[[#This Row],[Product Name]],Sales!A:A,Sales!C:C)</f>
        <v>7</v>
      </c>
      <c r="S713">
        <f>_xlfn.XLOOKUP(Table3[[#This Row],[Product Name]],Sales!A:A,Sales!D:D)</f>
        <v>0</v>
      </c>
      <c r="T713">
        <f>_xlfn.XLOOKUP(Table3[[#This Row],[Product Name]],Sales!A:A,Sales!E:E)</f>
        <v>92.369200000000006</v>
      </c>
    </row>
    <row r="714" spans="1:20" x14ac:dyDescent="0.3">
      <c r="A714">
        <v>709</v>
      </c>
      <c r="B714" t="s">
        <v>1817</v>
      </c>
      <c r="C714">
        <v>2</v>
      </c>
      <c r="D714">
        <v>12</v>
      </c>
      <c r="E714">
        <v>2018</v>
      </c>
      <c r="F714" t="s">
        <v>142</v>
      </c>
      <c r="G714" t="s">
        <v>1818</v>
      </c>
      <c r="H714" t="s">
        <v>2883</v>
      </c>
      <c r="I714" t="s">
        <v>19</v>
      </c>
      <c r="J714" t="s">
        <v>2434</v>
      </c>
      <c r="K714" t="s">
        <v>108</v>
      </c>
      <c r="L714">
        <v>10035</v>
      </c>
      <c r="M714" t="s">
        <v>1819</v>
      </c>
      <c r="N714" t="s">
        <v>22</v>
      </c>
      <c r="O714" t="s">
        <v>23</v>
      </c>
      <c r="P714" t="s">
        <v>1820</v>
      </c>
      <c r="Q714">
        <f>_xlfn.XLOOKUP(Table3[[#This Row],[Product Name]],Sales!A:A,Sales!B:B)</f>
        <v>883.92</v>
      </c>
      <c r="R714">
        <f>_xlfn.XLOOKUP(Table3[[#This Row],[Product Name]],Sales!A:A,Sales!C:C)</f>
        <v>5</v>
      </c>
      <c r="S714">
        <f>_xlfn.XLOOKUP(Table3[[#This Row],[Product Name]],Sales!A:A,Sales!D:D)</f>
        <v>0.2</v>
      </c>
      <c r="T714">
        <f>_xlfn.XLOOKUP(Table3[[#This Row],[Product Name]],Sales!A:A,Sales!E:E)</f>
        <v>-110.49</v>
      </c>
    </row>
    <row r="715" spans="1:20" x14ac:dyDescent="0.3">
      <c r="A715">
        <v>710</v>
      </c>
      <c r="B715" t="s">
        <v>1817</v>
      </c>
      <c r="C715">
        <v>2</v>
      </c>
      <c r="D715">
        <v>12</v>
      </c>
      <c r="E715">
        <v>2018</v>
      </c>
      <c r="F715" t="s">
        <v>142</v>
      </c>
      <c r="G715" t="s">
        <v>1818</v>
      </c>
      <c r="H715" t="s">
        <v>2883</v>
      </c>
      <c r="I715" t="s">
        <v>19</v>
      </c>
      <c r="J715" t="s">
        <v>2434</v>
      </c>
      <c r="K715" t="s">
        <v>108</v>
      </c>
      <c r="L715">
        <v>10035</v>
      </c>
      <c r="M715" t="s">
        <v>1076</v>
      </c>
      <c r="N715" t="s">
        <v>33</v>
      </c>
      <c r="O715" t="s">
        <v>58</v>
      </c>
      <c r="P715" t="s">
        <v>1077</v>
      </c>
      <c r="Q715">
        <f>_xlfn.XLOOKUP(Table3[[#This Row],[Product Name]],Sales!A:A,Sales!B:B)</f>
        <v>23.36</v>
      </c>
      <c r="R715">
        <f>_xlfn.XLOOKUP(Table3[[#This Row],[Product Name]],Sales!A:A,Sales!C:C)</f>
        <v>4</v>
      </c>
      <c r="S715">
        <f>_xlfn.XLOOKUP(Table3[[#This Row],[Product Name]],Sales!A:A,Sales!D:D)</f>
        <v>0.2</v>
      </c>
      <c r="T715">
        <f>_xlfn.XLOOKUP(Table3[[#This Row],[Product Name]],Sales!A:A,Sales!E:E)</f>
        <v>7.8840000000000003</v>
      </c>
    </row>
    <row r="716" spans="1:20" x14ac:dyDescent="0.3">
      <c r="A716">
        <v>711</v>
      </c>
      <c r="B716" t="s">
        <v>1821</v>
      </c>
      <c r="C716">
        <v>5</v>
      </c>
      <c r="D716">
        <v>4</v>
      </c>
      <c r="E716">
        <v>2018</v>
      </c>
      <c r="F716" t="s">
        <v>142</v>
      </c>
      <c r="G716" t="s">
        <v>1822</v>
      </c>
      <c r="H716" t="s">
        <v>2884</v>
      </c>
      <c r="I716" t="s">
        <v>78</v>
      </c>
      <c r="J716" t="s">
        <v>2434</v>
      </c>
      <c r="K716" t="s">
        <v>108</v>
      </c>
      <c r="L716">
        <v>10035</v>
      </c>
      <c r="M716" t="s">
        <v>1281</v>
      </c>
      <c r="N716" t="s">
        <v>33</v>
      </c>
      <c r="O716" t="s">
        <v>70</v>
      </c>
      <c r="P716" t="s">
        <v>1282</v>
      </c>
      <c r="Q716">
        <f>_xlfn.XLOOKUP(Table3[[#This Row],[Product Name]],Sales!A:A,Sales!B:B)</f>
        <v>55.48</v>
      </c>
      <c r="R716">
        <f>_xlfn.XLOOKUP(Table3[[#This Row],[Product Name]],Sales!A:A,Sales!C:C)</f>
        <v>1</v>
      </c>
      <c r="S716">
        <f>_xlfn.XLOOKUP(Table3[[#This Row],[Product Name]],Sales!A:A,Sales!D:D)</f>
        <v>0</v>
      </c>
      <c r="T716">
        <f>_xlfn.XLOOKUP(Table3[[#This Row],[Product Name]],Sales!A:A,Sales!E:E)</f>
        <v>26.630400000000002</v>
      </c>
    </row>
    <row r="717" spans="1:20" x14ac:dyDescent="0.3">
      <c r="A717">
        <v>712</v>
      </c>
      <c r="B717" t="s">
        <v>1823</v>
      </c>
      <c r="C717">
        <v>3</v>
      </c>
      <c r="D717">
        <v>9</v>
      </c>
      <c r="E717">
        <v>2021</v>
      </c>
      <c r="F717" t="s">
        <v>37</v>
      </c>
      <c r="G717" t="s">
        <v>1824</v>
      </c>
      <c r="H717" t="s">
        <v>2885</v>
      </c>
      <c r="I717" t="s">
        <v>19</v>
      </c>
      <c r="J717" t="s">
        <v>2573</v>
      </c>
      <c r="K717" t="s">
        <v>20</v>
      </c>
      <c r="L717">
        <v>32137</v>
      </c>
      <c r="M717" t="s">
        <v>1825</v>
      </c>
      <c r="N717" t="s">
        <v>33</v>
      </c>
      <c r="O717" t="s">
        <v>129</v>
      </c>
      <c r="P717" t="s">
        <v>1826</v>
      </c>
      <c r="Q717">
        <f>_xlfn.XLOOKUP(Table3[[#This Row],[Product Name]],Sales!A:A,Sales!B:B)</f>
        <v>24.448</v>
      </c>
      <c r="R717">
        <f>_xlfn.XLOOKUP(Table3[[#This Row],[Product Name]],Sales!A:A,Sales!C:C)</f>
        <v>4</v>
      </c>
      <c r="S717">
        <f>_xlfn.XLOOKUP(Table3[[#This Row],[Product Name]],Sales!A:A,Sales!D:D)</f>
        <v>0.2</v>
      </c>
      <c r="T717">
        <f>_xlfn.XLOOKUP(Table3[[#This Row],[Product Name]],Sales!A:A,Sales!E:E)</f>
        <v>8.8623999999999992</v>
      </c>
    </row>
    <row r="718" spans="1:20" x14ac:dyDescent="0.3">
      <c r="A718">
        <v>713</v>
      </c>
      <c r="B718" t="s">
        <v>1827</v>
      </c>
      <c r="C718">
        <v>19</v>
      </c>
      <c r="D718">
        <v>5</v>
      </c>
      <c r="E718">
        <v>2021</v>
      </c>
      <c r="F718" t="s">
        <v>37</v>
      </c>
      <c r="G718" t="s">
        <v>1828</v>
      </c>
      <c r="H718" t="s">
        <v>2886</v>
      </c>
      <c r="I718" t="s">
        <v>30</v>
      </c>
      <c r="J718" t="s">
        <v>2574</v>
      </c>
      <c r="K718" t="s">
        <v>108</v>
      </c>
      <c r="L718">
        <v>10550</v>
      </c>
      <c r="M718" t="s">
        <v>1829</v>
      </c>
      <c r="N718" t="s">
        <v>33</v>
      </c>
      <c r="O718" t="s">
        <v>61</v>
      </c>
      <c r="P718" t="s">
        <v>1830</v>
      </c>
      <c r="Q718">
        <f>_xlfn.XLOOKUP(Table3[[#This Row],[Product Name]],Sales!A:A,Sales!B:B)</f>
        <v>281.33999999999997</v>
      </c>
      <c r="R718">
        <f>_xlfn.XLOOKUP(Table3[[#This Row],[Product Name]],Sales!A:A,Sales!C:C)</f>
        <v>6</v>
      </c>
      <c r="S718">
        <f>_xlfn.XLOOKUP(Table3[[#This Row],[Product Name]],Sales!A:A,Sales!D:D)</f>
        <v>0</v>
      </c>
      <c r="T718">
        <f>_xlfn.XLOOKUP(Table3[[#This Row],[Product Name]],Sales!A:A,Sales!E:E)</f>
        <v>109.7226</v>
      </c>
    </row>
    <row r="719" spans="1:20" x14ac:dyDescent="0.3">
      <c r="A719">
        <v>714</v>
      </c>
      <c r="B719" t="s">
        <v>1827</v>
      </c>
      <c r="C719">
        <v>19</v>
      </c>
      <c r="D719">
        <v>5</v>
      </c>
      <c r="E719">
        <v>2021</v>
      </c>
      <c r="F719" t="s">
        <v>37</v>
      </c>
      <c r="G719" t="s">
        <v>1828</v>
      </c>
      <c r="H719" t="s">
        <v>2886</v>
      </c>
      <c r="I719" t="s">
        <v>30</v>
      </c>
      <c r="J719" t="s">
        <v>2574</v>
      </c>
      <c r="K719" t="s">
        <v>108</v>
      </c>
      <c r="L719">
        <v>10550</v>
      </c>
      <c r="M719" t="s">
        <v>1080</v>
      </c>
      <c r="N719" t="s">
        <v>54</v>
      </c>
      <c r="O719" t="s">
        <v>55</v>
      </c>
      <c r="P719" t="s">
        <v>1081</v>
      </c>
      <c r="Q719">
        <f>_xlfn.XLOOKUP(Table3[[#This Row],[Product Name]],Sales!A:A,Sales!B:B)</f>
        <v>246.38399999999999</v>
      </c>
      <c r="R719">
        <f>_xlfn.XLOOKUP(Table3[[#This Row],[Product Name]],Sales!A:A,Sales!C:C)</f>
        <v>2</v>
      </c>
      <c r="S719">
        <f>_xlfn.XLOOKUP(Table3[[#This Row],[Product Name]],Sales!A:A,Sales!D:D)</f>
        <v>0.2</v>
      </c>
      <c r="T719">
        <f>_xlfn.XLOOKUP(Table3[[#This Row],[Product Name]],Sales!A:A,Sales!E:E)</f>
        <v>27.7182</v>
      </c>
    </row>
    <row r="720" spans="1:20" x14ac:dyDescent="0.3">
      <c r="A720">
        <v>715</v>
      </c>
      <c r="B720" t="s">
        <v>1827</v>
      </c>
      <c r="C720">
        <v>19</v>
      </c>
      <c r="D720">
        <v>5</v>
      </c>
      <c r="E720">
        <v>2021</v>
      </c>
      <c r="F720" t="s">
        <v>37</v>
      </c>
      <c r="G720" t="s">
        <v>1828</v>
      </c>
      <c r="H720" t="s">
        <v>2886</v>
      </c>
      <c r="I720" t="s">
        <v>30</v>
      </c>
      <c r="J720" t="s">
        <v>2574</v>
      </c>
      <c r="K720" t="s">
        <v>108</v>
      </c>
      <c r="L720">
        <v>10550</v>
      </c>
      <c r="M720" t="s">
        <v>1831</v>
      </c>
      <c r="N720" t="s">
        <v>54</v>
      </c>
      <c r="O720" t="s">
        <v>118</v>
      </c>
      <c r="P720" t="s">
        <v>1832</v>
      </c>
      <c r="Q720">
        <f>_xlfn.XLOOKUP(Table3[[#This Row],[Product Name]],Sales!A:A,Sales!B:B)</f>
        <v>299.97000000000003</v>
      </c>
      <c r="R720">
        <f>_xlfn.XLOOKUP(Table3[[#This Row],[Product Name]],Sales!A:A,Sales!C:C)</f>
        <v>3</v>
      </c>
      <c r="S720">
        <f>_xlfn.XLOOKUP(Table3[[#This Row],[Product Name]],Sales!A:A,Sales!D:D)</f>
        <v>0</v>
      </c>
      <c r="T720">
        <f>_xlfn.XLOOKUP(Table3[[#This Row],[Product Name]],Sales!A:A,Sales!E:E)</f>
        <v>113.98860000000001</v>
      </c>
    </row>
    <row r="721" spans="1:20" x14ac:dyDescent="0.3">
      <c r="A721">
        <v>716</v>
      </c>
      <c r="B721" t="s">
        <v>1833</v>
      </c>
      <c r="C721">
        <v>1</v>
      </c>
      <c r="D721">
        <v>7</v>
      </c>
      <c r="E721">
        <v>2018</v>
      </c>
      <c r="F721" t="s">
        <v>17</v>
      </c>
      <c r="G721" t="s">
        <v>751</v>
      </c>
      <c r="H721" t="s">
        <v>2724</v>
      </c>
      <c r="I721" t="s">
        <v>30</v>
      </c>
      <c r="J721" t="s">
        <v>2418</v>
      </c>
      <c r="K721" t="s">
        <v>31</v>
      </c>
      <c r="L721">
        <v>98105</v>
      </c>
      <c r="M721" t="s">
        <v>1834</v>
      </c>
      <c r="N721" t="s">
        <v>33</v>
      </c>
      <c r="O721" t="s">
        <v>58</v>
      </c>
      <c r="P721" t="s">
        <v>1835</v>
      </c>
      <c r="Q721">
        <f>_xlfn.XLOOKUP(Table3[[#This Row],[Product Name]],Sales!A:A,Sales!B:B)</f>
        <v>19.920000000000002</v>
      </c>
      <c r="R721">
        <f>_xlfn.XLOOKUP(Table3[[#This Row],[Product Name]],Sales!A:A,Sales!C:C)</f>
        <v>5</v>
      </c>
      <c r="S721">
        <f>_xlfn.XLOOKUP(Table3[[#This Row],[Product Name]],Sales!A:A,Sales!D:D)</f>
        <v>0.2</v>
      </c>
      <c r="T721">
        <f>_xlfn.XLOOKUP(Table3[[#This Row],[Product Name]],Sales!A:A,Sales!E:E)</f>
        <v>6.9720000000000004</v>
      </c>
    </row>
    <row r="722" spans="1:20" x14ac:dyDescent="0.3">
      <c r="A722">
        <v>717</v>
      </c>
      <c r="B722" t="s">
        <v>1836</v>
      </c>
      <c r="C722">
        <v>11</v>
      </c>
      <c r="D722">
        <v>1</v>
      </c>
      <c r="E722">
        <v>2018</v>
      </c>
      <c r="F722" t="s">
        <v>142</v>
      </c>
      <c r="G722" t="s">
        <v>1837</v>
      </c>
      <c r="H722" t="s">
        <v>2887</v>
      </c>
      <c r="I722" t="s">
        <v>19</v>
      </c>
      <c r="J722" t="s">
        <v>2432</v>
      </c>
      <c r="K722" t="s">
        <v>108</v>
      </c>
      <c r="L722">
        <v>19901</v>
      </c>
      <c r="M722" t="s">
        <v>1627</v>
      </c>
      <c r="N722" t="s">
        <v>22</v>
      </c>
      <c r="O722" t="s">
        <v>48</v>
      </c>
      <c r="P722" t="s">
        <v>1628</v>
      </c>
      <c r="Q722">
        <f>_xlfn.XLOOKUP(Table3[[#This Row],[Product Name]],Sales!A:A,Sales!B:B)</f>
        <v>9.94</v>
      </c>
      <c r="R722">
        <f>_xlfn.XLOOKUP(Table3[[#This Row],[Product Name]],Sales!A:A,Sales!C:C)</f>
        <v>2</v>
      </c>
      <c r="S722">
        <f>_xlfn.XLOOKUP(Table3[[#This Row],[Product Name]],Sales!A:A,Sales!D:D)</f>
        <v>0</v>
      </c>
      <c r="T722">
        <f>_xlfn.XLOOKUP(Table3[[#This Row],[Product Name]],Sales!A:A,Sales!E:E)</f>
        <v>3.0813999999999999</v>
      </c>
    </row>
    <row r="723" spans="1:20" x14ac:dyDescent="0.3">
      <c r="A723">
        <v>718</v>
      </c>
      <c r="B723" t="s">
        <v>1838</v>
      </c>
      <c r="C723">
        <v>24</v>
      </c>
      <c r="D723">
        <v>9</v>
      </c>
      <c r="E723">
        <v>2021</v>
      </c>
      <c r="F723" t="s">
        <v>37</v>
      </c>
      <c r="G723" t="s">
        <v>727</v>
      </c>
      <c r="H723" t="s">
        <v>2720</v>
      </c>
      <c r="I723" t="s">
        <v>19</v>
      </c>
      <c r="J723" t="s">
        <v>2460</v>
      </c>
      <c r="K723" t="s">
        <v>108</v>
      </c>
      <c r="L723">
        <v>43055</v>
      </c>
      <c r="M723" t="s">
        <v>1839</v>
      </c>
      <c r="N723" t="s">
        <v>22</v>
      </c>
      <c r="O723" t="s">
        <v>48</v>
      </c>
      <c r="P723" t="s">
        <v>1840</v>
      </c>
      <c r="Q723">
        <f>_xlfn.XLOOKUP(Table3[[#This Row],[Product Name]],Sales!A:A,Sales!B:B)</f>
        <v>103.056</v>
      </c>
      <c r="R723">
        <f>_xlfn.XLOOKUP(Table3[[#This Row],[Product Name]],Sales!A:A,Sales!C:C)</f>
        <v>3</v>
      </c>
      <c r="S723">
        <f>_xlfn.XLOOKUP(Table3[[#This Row],[Product Name]],Sales!A:A,Sales!D:D)</f>
        <v>0.2</v>
      </c>
      <c r="T723">
        <f>_xlfn.XLOOKUP(Table3[[#This Row],[Product Name]],Sales!A:A,Sales!E:E)</f>
        <v>24.4758</v>
      </c>
    </row>
    <row r="724" spans="1:20" x14ac:dyDescent="0.3">
      <c r="A724">
        <v>719</v>
      </c>
      <c r="B724" t="s">
        <v>1841</v>
      </c>
      <c r="C724">
        <v>2</v>
      </c>
      <c r="D724">
        <v>6</v>
      </c>
      <c r="E724">
        <v>2018</v>
      </c>
      <c r="F724" t="s">
        <v>37</v>
      </c>
      <c r="G724" t="s">
        <v>1842</v>
      </c>
      <c r="H724" t="s">
        <v>2888</v>
      </c>
      <c r="I724" t="s">
        <v>78</v>
      </c>
      <c r="J724" t="s">
        <v>2425</v>
      </c>
      <c r="K724" t="s">
        <v>31</v>
      </c>
      <c r="L724">
        <v>84057</v>
      </c>
      <c r="M724" t="s">
        <v>1363</v>
      </c>
      <c r="N724" t="s">
        <v>33</v>
      </c>
      <c r="O724" t="s">
        <v>58</v>
      </c>
      <c r="P724" t="s">
        <v>1364</v>
      </c>
      <c r="Q724">
        <f>_xlfn.XLOOKUP(Table3[[#This Row],[Product Name]],Sales!A:A,Sales!B:B)</f>
        <v>14.952</v>
      </c>
      <c r="R724">
        <f>_xlfn.XLOOKUP(Table3[[#This Row],[Product Name]],Sales!A:A,Sales!C:C)</f>
        <v>2</v>
      </c>
      <c r="S724">
        <f>_xlfn.XLOOKUP(Table3[[#This Row],[Product Name]],Sales!A:A,Sales!D:D)</f>
        <v>0.7</v>
      </c>
      <c r="T724">
        <f>_xlfn.XLOOKUP(Table3[[#This Row],[Product Name]],Sales!A:A,Sales!E:E)</f>
        <v>-11.961600000000001</v>
      </c>
    </row>
    <row r="725" spans="1:20" x14ac:dyDescent="0.3">
      <c r="A725">
        <v>720</v>
      </c>
      <c r="B725" t="s">
        <v>1841</v>
      </c>
      <c r="C725">
        <v>2</v>
      </c>
      <c r="D725">
        <v>6</v>
      </c>
      <c r="E725">
        <v>2018</v>
      </c>
      <c r="F725" t="s">
        <v>37</v>
      </c>
      <c r="G725" t="s">
        <v>1842</v>
      </c>
      <c r="H725" t="s">
        <v>2888</v>
      </c>
      <c r="I725" t="s">
        <v>78</v>
      </c>
      <c r="J725" t="s">
        <v>2425</v>
      </c>
      <c r="K725" t="s">
        <v>31</v>
      </c>
      <c r="L725">
        <v>84057</v>
      </c>
      <c r="M725" t="s">
        <v>1210</v>
      </c>
      <c r="N725" t="s">
        <v>22</v>
      </c>
      <c r="O725" t="s">
        <v>48</v>
      </c>
      <c r="P725" t="s">
        <v>1211</v>
      </c>
      <c r="Q725">
        <f>_xlfn.XLOOKUP(Table3[[#This Row],[Product Name]],Sales!A:A,Sales!B:B)</f>
        <v>12.22</v>
      </c>
      <c r="R725">
        <f>_xlfn.XLOOKUP(Table3[[#This Row],[Product Name]],Sales!A:A,Sales!C:C)</f>
        <v>1</v>
      </c>
      <c r="S725">
        <f>_xlfn.XLOOKUP(Table3[[#This Row],[Product Name]],Sales!A:A,Sales!D:D)</f>
        <v>0</v>
      </c>
      <c r="T725">
        <f>_xlfn.XLOOKUP(Table3[[#This Row],[Product Name]],Sales!A:A,Sales!E:E)</f>
        <v>3.6659999999999999</v>
      </c>
    </row>
    <row r="726" spans="1:20" x14ac:dyDescent="0.3">
      <c r="A726">
        <v>721</v>
      </c>
      <c r="B726" t="s">
        <v>1843</v>
      </c>
      <c r="C726">
        <v>13</v>
      </c>
      <c r="D726">
        <v>2</v>
      </c>
      <c r="E726">
        <v>2020</v>
      </c>
      <c r="F726" t="s">
        <v>37</v>
      </c>
      <c r="G726" t="s">
        <v>1844</v>
      </c>
      <c r="H726" t="s">
        <v>2889</v>
      </c>
      <c r="I726" t="s">
        <v>78</v>
      </c>
      <c r="J726" t="s">
        <v>2415</v>
      </c>
      <c r="K726" t="s">
        <v>31</v>
      </c>
      <c r="L726">
        <v>90045</v>
      </c>
      <c r="M726" t="s">
        <v>1845</v>
      </c>
      <c r="N726" t="s">
        <v>33</v>
      </c>
      <c r="O726" t="s">
        <v>70</v>
      </c>
      <c r="P726" t="s">
        <v>1846</v>
      </c>
      <c r="Q726">
        <f>_xlfn.XLOOKUP(Table3[[#This Row],[Product Name]],Sales!A:A,Sales!B:B)</f>
        <v>146.82</v>
      </c>
      <c r="R726">
        <f>_xlfn.XLOOKUP(Table3[[#This Row],[Product Name]],Sales!A:A,Sales!C:C)</f>
        <v>3</v>
      </c>
      <c r="S726">
        <f>_xlfn.XLOOKUP(Table3[[#This Row],[Product Name]],Sales!A:A,Sales!D:D)</f>
        <v>0</v>
      </c>
      <c r="T726">
        <f>_xlfn.XLOOKUP(Table3[[#This Row],[Product Name]],Sales!A:A,Sales!E:E)</f>
        <v>73.41</v>
      </c>
    </row>
    <row r="727" spans="1:20" x14ac:dyDescent="0.3">
      <c r="A727">
        <v>722</v>
      </c>
      <c r="B727" t="s">
        <v>1847</v>
      </c>
      <c r="C727">
        <v>15</v>
      </c>
      <c r="D727">
        <v>12</v>
      </c>
      <c r="E727">
        <v>2020</v>
      </c>
      <c r="F727" t="s">
        <v>37</v>
      </c>
      <c r="G727" t="s">
        <v>1161</v>
      </c>
      <c r="H727" t="s">
        <v>2782</v>
      </c>
      <c r="I727" t="s">
        <v>30</v>
      </c>
      <c r="J727" t="s">
        <v>2482</v>
      </c>
      <c r="K727" t="s">
        <v>79</v>
      </c>
      <c r="L727">
        <v>48205</v>
      </c>
      <c r="M727" t="s">
        <v>1848</v>
      </c>
      <c r="N727" t="s">
        <v>22</v>
      </c>
      <c r="O727" t="s">
        <v>40</v>
      </c>
      <c r="P727" t="s">
        <v>1849</v>
      </c>
      <c r="Q727">
        <f>_xlfn.XLOOKUP(Table3[[#This Row],[Product Name]],Sales!A:A,Sales!B:B)</f>
        <v>1652.94</v>
      </c>
      <c r="R727">
        <f>_xlfn.XLOOKUP(Table3[[#This Row],[Product Name]],Sales!A:A,Sales!C:C)</f>
        <v>3</v>
      </c>
      <c r="S727">
        <f>_xlfn.XLOOKUP(Table3[[#This Row],[Product Name]],Sales!A:A,Sales!D:D)</f>
        <v>0</v>
      </c>
      <c r="T727">
        <f>_xlfn.XLOOKUP(Table3[[#This Row],[Product Name]],Sales!A:A,Sales!E:E)</f>
        <v>231.41159999999999</v>
      </c>
    </row>
    <row r="728" spans="1:20" x14ac:dyDescent="0.3">
      <c r="A728">
        <v>723</v>
      </c>
      <c r="B728" t="s">
        <v>1847</v>
      </c>
      <c r="C728">
        <v>15</v>
      </c>
      <c r="D728">
        <v>12</v>
      </c>
      <c r="E728">
        <v>2020</v>
      </c>
      <c r="F728" t="s">
        <v>37</v>
      </c>
      <c r="G728" t="s">
        <v>1161</v>
      </c>
      <c r="H728" t="s">
        <v>2782</v>
      </c>
      <c r="I728" t="s">
        <v>30</v>
      </c>
      <c r="J728" t="s">
        <v>2482</v>
      </c>
      <c r="K728" t="s">
        <v>79</v>
      </c>
      <c r="L728">
        <v>48205</v>
      </c>
      <c r="M728" t="s">
        <v>1850</v>
      </c>
      <c r="N728" t="s">
        <v>33</v>
      </c>
      <c r="O728" t="s">
        <v>43</v>
      </c>
      <c r="P728" t="s">
        <v>1851</v>
      </c>
      <c r="Q728">
        <f>_xlfn.XLOOKUP(Table3[[#This Row],[Product Name]],Sales!A:A,Sales!B:B)</f>
        <v>296.37</v>
      </c>
      <c r="R728">
        <f>_xlfn.XLOOKUP(Table3[[#This Row],[Product Name]],Sales!A:A,Sales!C:C)</f>
        <v>3</v>
      </c>
      <c r="S728">
        <f>_xlfn.XLOOKUP(Table3[[#This Row],[Product Name]],Sales!A:A,Sales!D:D)</f>
        <v>0</v>
      </c>
      <c r="T728">
        <f>_xlfn.XLOOKUP(Table3[[#This Row],[Product Name]],Sales!A:A,Sales!E:E)</f>
        <v>80.019900000000007</v>
      </c>
    </row>
    <row r="729" spans="1:20" x14ac:dyDescent="0.3">
      <c r="A729">
        <v>724</v>
      </c>
      <c r="B729" t="s">
        <v>1852</v>
      </c>
      <c r="C729">
        <v>7</v>
      </c>
      <c r="D729">
        <v>10</v>
      </c>
      <c r="E729">
        <v>2018</v>
      </c>
      <c r="F729" t="s">
        <v>37</v>
      </c>
      <c r="G729" t="s">
        <v>1853</v>
      </c>
      <c r="H729" t="s">
        <v>2890</v>
      </c>
      <c r="I729" t="s">
        <v>78</v>
      </c>
      <c r="J729" t="s">
        <v>2424</v>
      </c>
      <c r="K729" t="s">
        <v>108</v>
      </c>
      <c r="L729">
        <v>19140</v>
      </c>
      <c r="M729" t="s">
        <v>1854</v>
      </c>
      <c r="N729" t="s">
        <v>22</v>
      </c>
      <c r="O729" t="s">
        <v>48</v>
      </c>
      <c r="P729" t="s">
        <v>1855</v>
      </c>
      <c r="Q729">
        <f>_xlfn.XLOOKUP(Table3[[#This Row],[Product Name]],Sales!A:A,Sales!B:B)</f>
        <v>129.91999999999999</v>
      </c>
      <c r="R729">
        <f>_xlfn.XLOOKUP(Table3[[#This Row],[Product Name]],Sales!A:A,Sales!C:C)</f>
        <v>5</v>
      </c>
      <c r="S729">
        <f>_xlfn.XLOOKUP(Table3[[#This Row],[Product Name]],Sales!A:A,Sales!D:D)</f>
        <v>0.2</v>
      </c>
      <c r="T729">
        <f>_xlfn.XLOOKUP(Table3[[#This Row],[Product Name]],Sales!A:A,Sales!E:E)</f>
        <v>21.111999999999998</v>
      </c>
    </row>
    <row r="730" spans="1:20" x14ac:dyDescent="0.3">
      <c r="A730">
        <v>725</v>
      </c>
      <c r="B730" t="s">
        <v>1856</v>
      </c>
      <c r="C730">
        <v>7</v>
      </c>
      <c r="D730">
        <v>7</v>
      </c>
      <c r="E730">
        <v>2020</v>
      </c>
      <c r="F730" t="s">
        <v>37</v>
      </c>
      <c r="G730" t="s">
        <v>1857</v>
      </c>
      <c r="H730" t="s">
        <v>2891</v>
      </c>
      <c r="I730" t="s">
        <v>30</v>
      </c>
      <c r="J730" t="s">
        <v>2575</v>
      </c>
      <c r="K730" t="s">
        <v>20</v>
      </c>
      <c r="L730">
        <v>33012</v>
      </c>
      <c r="M730" t="s">
        <v>1858</v>
      </c>
      <c r="N730" t="s">
        <v>33</v>
      </c>
      <c r="O730" t="s">
        <v>438</v>
      </c>
      <c r="P730" t="s">
        <v>1859</v>
      </c>
      <c r="Q730">
        <f>_xlfn.XLOOKUP(Table3[[#This Row],[Product Name]],Sales!A:A,Sales!B:B)</f>
        <v>45.584000000000003</v>
      </c>
      <c r="R730">
        <f>_xlfn.XLOOKUP(Table3[[#This Row],[Product Name]],Sales!A:A,Sales!C:C)</f>
        <v>7</v>
      </c>
      <c r="S730">
        <f>_xlfn.XLOOKUP(Table3[[#This Row],[Product Name]],Sales!A:A,Sales!D:D)</f>
        <v>0.2</v>
      </c>
      <c r="T730">
        <f>_xlfn.XLOOKUP(Table3[[#This Row],[Product Name]],Sales!A:A,Sales!E:E)</f>
        <v>5.1281999999999996</v>
      </c>
    </row>
    <row r="731" spans="1:20" x14ac:dyDescent="0.3">
      <c r="A731">
        <v>726</v>
      </c>
      <c r="B731" t="s">
        <v>1860</v>
      </c>
      <c r="C731">
        <v>16</v>
      </c>
      <c r="D731">
        <v>9</v>
      </c>
      <c r="E731">
        <v>2021</v>
      </c>
      <c r="F731" t="s">
        <v>37</v>
      </c>
      <c r="G731" t="s">
        <v>1861</v>
      </c>
      <c r="H731" t="s">
        <v>2892</v>
      </c>
      <c r="I731" t="s">
        <v>19</v>
      </c>
      <c r="J731" t="s">
        <v>2507</v>
      </c>
      <c r="K731" t="s">
        <v>79</v>
      </c>
      <c r="L731">
        <v>78745</v>
      </c>
      <c r="M731" t="s">
        <v>1862</v>
      </c>
      <c r="N731" t="s">
        <v>33</v>
      </c>
      <c r="O731" t="s">
        <v>129</v>
      </c>
      <c r="P731" t="s">
        <v>1863</v>
      </c>
      <c r="Q731">
        <f>_xlfn.XLOOKUP(Table3[[#This Row],[Product Name]],Sales!A:A,Sales!B:B)</f>
        <v>17.568000000000001</v>
      </c>
      <c r="R731">
        <f>_xlfn.XLOOKUP(Table3[[#This Row],[Product Name]],Sales!A:A,Sales!C:C)</f>
        <v>2</v>
      </c>
      <c r="S731">
        <f>_xlfn.XLOOKUP(Table3[[#This Row],[Product Name]],Sales!A:A,Sales!D:D)</f>
        <v>0.2</v>
      </c>
      <c r="T731">
        <f>_xlfn.XLOOKUP(Table3[[#This Row],[Product Name]],Sales!A:A,Sales!E:E)</f>
        <v>6.3684000000000003</v>
      </c>
    </row>
    <row r="732" spans="1:20" x14ac:dyDescent="0.3">
      <c r="A732">
        <v>727</v>
      </c>
      <c r="B732" t="s">
        <v>1860</v>
      </c>
      <c r="C732">
        <v>16</v>
      </c>
      <c r="D732">
        <v>9</v>
      </c>
      <c r="E732">
        <v>2021</v>
      </c>
      <c r="F732" t="s">
        <v>37</v>
      </c>
      <c r="G732" t="s">
        <v>1861</v>
      </c>
      <c r="H732" t="s">
        <v>2892</v>
      </c>
      <c r="I732" t="s">
        <v>19</v>
      </c>
      <c r="J732" t="s">
        <v>2507</v>
      </c>
      <c r="K732" t="s">
        <v>79</v>
      </c>
      <c r="L732">
        <v>78745</v>
      </c>
      <c r="M732" t="s">
        <v>1864</v>
      </c>
      <c r="N732" t="s">
        <v>54</v>
      </c>
      <c r="O732" t="s">
        <v>55</v>
      </c>
      <c r="P732" t="s">
        <v>1865</v>
      </c>
      <c r="Q732">
        <f>_xlfn.XLOOKUP(Table3[[#This Row],[Product Name]],Sales!A:A,Sales!B:B)</f>
        <v>55.991999999999997</v>
      </c>
      <c r="R732">
        <f>_xlfn.XLOOKUP(Table3[[#This Row],[Product Name]],Sales!A:A,Sales!C:C)</f>
        <v>1</v>
      </c>
      <c r="S732">
        <f>_xlfn.XLOOKUP(Table3[[#This Row],[Product Name]],Sales!A:A,Sales!D:D)</f>
        <v>0.2</v>
      </c>
      <c r="T732">
        <f>_xlfn.XLOOKUP(Table3[[#This Row],[Product Name]],Sales!A:A,Sales!E:E)</f>
        <v>5.5991999999999997</v>
      </c>
    </row>
    <row r="733" spans="1:20" x14ac:dyDescent="0.3">
      <c r="A733">
        <v>728</v>
      </c>
      <c r="B733" t="s">
        <v>1866</v>
      </c>
      <c r="C733">
        <v>3</v>
      </c>
      <c r="D733">
        <v>12</v>
      </c>
      <c r="E733">
        <v>2020</v>
      </c>
      <c r="F733" t="s">
        <v>142</v>
      </c>
      <c r="G733" t="s">
        <v>1867</v>
      </c>
      <c r="H733" t="s">
        <v>2893</v>
      </c>
      <c r="I733" t="s">
        <v>19</v>
      </c>
      <c r="J733" t="s">
        <v>2576</v>
      </c>
      <c r="K733" t="s">
        <v>108</v>
      </c>
      <c r="L733">
        <v>11572</v>
      </c>
      <c r="M733" t="s">
        <v>1868</v>
      </c>
      <c r="N733" t="s">
        <v>33</v>
      </c>
      <c r="O733" t="s">
        <v>70</v>
      </c>
      <c r="P733" t="s">
        <v>1869</v>
      </c>
      <c r="Q733">
        <f>_xlfn.XLOOKUP(Table3[[#This Row],[Product Name]],Sales!A:A,Sales!B:B)</f>
        <v>182.72</v>
      </c>
      <c r="R733">
        <f>_xlfn.XLOOKUP(Table3[[#This Row],[Product Name]],Sales!A:A,Sales!C:C)</f>
        <v>8</v>
      </c>
      <c r="S733">
        <f>_xlfn.XLOOKUP(Table3[[#This Row],[Product Name]],Sales!A:A,Sales!D:D)</f>
        <v>0</v>
      </c>
      <c r="T733">
        <f>_xlfn.XLOOKUP(Table3[[#This Row],[Product Name]],Sales!A:A,Sales!E:E)</f>
        <v>84.051199999999994</v>
      </c>
    </row>
    <row r="734" spans="1:20" x14ac:dyDescent="0.3">
      <c r="A734">
        <v>729</v>
      </c>
      <c r="B734" t="s">
        <v>1866</v>
      </c>
      <c r="C734">
        <v>3</v>
      </c>
      <c r="D734">
        <v>12</v>
      </c>
      <c r="E734">
        <v>2020</v>
      </c>
      <c r="F734" t="s">
        <v>142</v>
      </c>
      <c r="G734" t="s">
        <v>1867</v>
      </c>
      <c r="H734" t="s">
        <v>2893</v>
      </c>
      <c r="I734" t="s">
        <v>19</v>
      </c>
      <c r="J734" t="s">
        <v>2576</v>
      </c>
      <c r="K734" t="s">
        <v>108</v>
      </c>
      <c r="L734">
        <v>11572</v>
      </c>
      <c r="M734" t="s">
        <v>1870</v>
      </c>
      <c r="N734" t="s">
        <v>22</v>
      </c>
      <c r="O734" t="s">
        <v>40</v>
      </c>
      <c r="P734" t="s">
        <v>1871</v>
      </c>
      <c r="Q734">
        <f>_xlfn.XLOOKUP(Table3[[#This Row],[Product Name]],Sales!A:A,Sales!B:B)</f>
        <v>400.03199999999998</v>
      </c>
      <c r="R734">
        <f>_xlfn.XLOOKUP(Table3[[#This Row],[Product Name]],Sales!A:A,Sales!C:C)</f>
        <v>2</v>
      </c>
      <c r="S734">
        <f>_xlfn.XLOOKUP(Table3[[#This Row],[Product Name]],Sales!A:A,Sales!D:D)</f>
        <v>0.4</v>
      </c>
      <c r="T734">
        <f>_xlfn.XLOOKUP(Table3[[#This Row],[Product Name]],Sales!A:A,Sales!E:E)</f>
        <v>-153.34559999999999</v>
      </c>
    </row>
    <row r="735" spans="1:20" x14ac:dyDescent="0.3">
      <c r="A735">
        <v>730</v>
      </c>
      <c r="B735" t="s">
        <v>1866</v>
      </c>
      <c r="C735">
        <v>3</v>
      </c>
      <c r="D735">
        <v>12</v>
      </c>
      <c r="E735">
        <v>2020</v>
      </c>
      <c r="F735" t="s">
        <v>142</v>
      </c>
      <c r="G735" t="s">
        <v>1867</v>
      </c>
      <c r="H735" t="s">
        <v>2893</v>
      </c>
      <c r="I735" t="s">
        <v>19</v>
      </c>
      <c r="J735" t="s">
        <v>2576</v>
      </c>
      <c r="K735" t="s">
        <v>108</v>
      </c>
      <c r="L735">
        <v>11572</v>
      </c>
      <c r="M735" t="s">
        <v>1872</v>
      </c>
      <c r="N735" t="s">
        <v>33</v>
      </c>
      <c r="O735" t="s">
        <v>43</v>
      </c>
      <c r="P735" t="s">
        <v>1873</v>
      </c>
      <c r="Q735">
        <f>_xlfn.XLOOKUP(Table3[[#This Row],[Product Name]],Sales!A:A,Sales!B:B)</f>
        <v>33.630000000000003</v>
      </c>
      <c r="R735">
        <f>_xlfn.XLOOKUP(Table3[[#This Row],[Product Name]],Sales!A:A,Sales!C:C)</f>
        <v>3</v>
      </c>
      <c r="S735">
        <f>_xlfn.XLOOKUP(Table3[[#This Row],[Product Name]],Sales!A:A,Sales!D:D)</f>
        <v>0</v>
      </c>
      <c r="T735">
        <f>_xlfn.XLOOKUP(Table3[[#This Row],[Product Name]],Sales!A:A,Sales!E:E)</f>
        <v>10.089</v>
      </c>
    </row>
    <row r="736" spans="1:20" x14ac:dyDescent="0.3">
      <c r="A736">
        <v>731</v>
      </c>
      <c r="B736" t="s">
        <v>1866</v>
      </c>
      <c r="C736">
        <v>3</v>
      </c>
      <c r="D736">
        <v>12</v>
      </c>
      <c r="E736">
        <v>2020</v>
      </c>
      <c r="F736" t="s">
        <v>142</v>
      </c>
      <c r="G736" t="s">
        <v>1867</v>
      </c>
      <c r="H736" t="s">
        <v>2893</v>
      </c>
      <c r="I736" t="s">
        <v>19</v>
      </c>
      <c r="J736" t="s">
        <v>2576</v>
      </c>
      <c r="K736" t="s">
        <v>108</v>
      </c>
      <c r="L736">
        <v>11572</v>
      </c>
      <c r="M736" t="s">
        <v>724</v>
      </c>
      <c r="N736" t="s">
        <v>22</v>
      </c>
      <c r="O736" t="s">
        <v>26</v>
      </c>
      <c r="P736" t="s">
        <v>725</v>
      </c>
      <c r="Q736">
        <f>_xlfn.XLOOKUP(Table3[[#This Row],[Product Name]],Sales!A:A,Sales!B:B)</f>
        <v>321.56799999999998</v>
      </c>
      <c r="R736">
        <f>_xlfn.XLOOKUP(Table3[[#This Row],[Product Name]],Sales!A:A,Sales!C:C)</f>
        <v>2</v>
      </c>
      <c r="S736">
        <f>_xlfn.XLOOKUP(Table3[[#This Row],[Product Name]],Sales!A:A,Sales!D:D)</f>
        <v>0.2</v>
      </c>
      <c r="T736">
        <f>_xlfn.XLOOKUP(Table3[[#This Row],[Product Name]],Sales!A:A,Sales!E:E)</f>
        <v>28.1372</v>
      </c>
    </row>
    <row r="737" spans="1:20" x14ac:dyDescent="0.3">
      <c r="A737">
        <v>732</v>
      </c>
      <c r="B737" t="s">
        <v>1866</v>
      </c>
      <c r="C737">
        <v>3</v>
      </c>
      <c r="D737">
        <v>12</v>
      </c>
      <c r="E737">
        <v>2020</v>
      </c>
      <c r="F737" t="s">
        <v>142</v>
      </c>
      <c r="G737" t="s">
        <v>1867</v>
      </c>
      <c r="H737" t="s">
        <v>2893</v>
      </c>
      <c r="I737" t="s">
        <v>19</v>
      </c>
      <c r="J737" t="s">
        <v>2576</v>
      </c>
      <c r="K737" t="s">
        <v>108</v>
      </c>
      <c r="L737">
        <v>11572</v>
      </c>
      <c r="M737" t="s">
        <v>1219</v>
      </c>
      <c r="N737" t="s">
        <v>33</v>
      </c>
      <c r="O737" t="s">
        <v>34</v>
      </c>
      <c r="P737" t="s">
        <v>1220</v>
      </c>
      <c r="Q737">
        <f>_xlfn.XLOOKUP(Table3[[#This Row],[Product Name]],Sales!A:A,Sales!B:B)</f>
        <v>22.05</v>
      </c>
      <c r="R737">
        <f>_xlfn.XLOOKUP(Table3[[#This Row],[Product Name]],Sales!A:A,Sales!C:C)</f>
        <v>7</v>
      </c>
      <c r="S737">
        <f>_xlfn.XLOOKUP(Table3[[#This Row],[Product Name]],Sales!A:A,Sales!D:D)</f>
        <v>0</v>
      </c>
      <c r="T737">
        <f>_xlfn.XLOOKUP(Table3[[#This Row],[Product Name]],Sales!A:A,Sales!E:E)</f>
        <v>10.584</v>
      </c>
    </row>
    <row r="738" spans="1:20" x14ac:dyDescent="0.3">
      <c r="A738">
        <v>733</v>
      </c>
      <c r="B738" t="s">
        <v>1874</v>
      </c>
      <c r="C738">
        <v>21</v>
      </c>
      <c r="D738">
        <v>1</v>
      </c>
      <c r="E738">
        <v>2021</v>
      </c>
      <c r="F738" t="s">
        <v>37</v>
      </c>
      <c r="G738" t="s">
        <v>1875</v>
      </c>
      <c r="H738" t="s">
        <v>2894</v>
      </c>
      <c r="I738" t="s">
        <v>78</v>
      </c>
      <c r="J738" t="s">
        <v>2418</v>
      </c>
      <c r="K738" t="s">
        <v>31</v>
      </c>
      <c r="L738">
        <v>98115</v>
      </c>
      <c r="M738" t="s">
        <v>1405</v>
      </c>
      <c r="N738" t="s">
        <v>33</v>
      </c>
      <c r="O738" t="s">
        <v>43</v>
      </c>
      <c r="P738" t="s">
        <v>1406</v>
      </c>
      <c r="Q738">
        <f>_xlfn.XLOOKUP(Table3[[#This Row],[Product Name]],Sales!A:A,Sales!B:B)</f>
        <v>129.56800000000001</v>
      </c>
      <c r="R738">
        <f>_xlfn.XLOOKUP(Table3[[#This Row],[Product Name]],Sales!A:A,Sales!C:C)</f>
        <v>2</v>
      </c>
      <c r="S738">
        <f>_xlfn.XLOOKUP(Table3[[#This Row],[Product Name]],Sales!A:A,Sales!D:D)</f>
        <v>0.2</v>
      </c>
      <c r="T738">
        <f>_xlfn.XLOOKUP(Table3[[#This Row],[Product Name]],Sales!A:A,Sales!E:E)</f>
        <v>-25.913599999999999</v>
      </c>
    </row>
    <row r="739" spans="1:20" x14ac:dyDescent="0.3">
      <c r="A739">
        <v>734</v>
      </c>
      <c r="B739" t="s">
        <v>1874</v>
      </c>
      <c r="C739">
        <v>21</v>
      </c>
      <c r="D739">
        <v>1</v>
      </c>
      <c r="E739">
        <v>2021</v>
      </c>
      <c r="F739" t="s">
        <v>37</v>
      </c>
      <c r="G739" t="s">
        <v>1875</v>
      </c>
      <c r="H739" t="s">
        <v>2894</v>
      </c>
      <c r="I739" t="s">
        <v>78</v>
      </c>
      <c r="J739" t="s">
        <v>2418</v>
      </c>
      <c r="K739" t="s">
        <v>31</v>
      </c>
      <c r="L739">
        <v>98115</v>
      </c>
      <c r="M739" t="s">
        <v>1876</v>
      </c>
      <c r="N739" t="s">
        <v>54</v>
      </c>
      <c r="O739" t="s">
        <v>118</v>
      </c>
      <c r="P739" t="s">
        <v>1877</v>
      </c>
      <c r="Q739">
        <f>_xlfn.XLOOKUP(Table3[[#This Row],[Product Name]],Sales!A:A,Sales!B:B)</f>
        <v>179.97</v>
      </c>
      <c r="R739">
        <f>_xlfn.XLOOKUP(Table3[[#This Row],[Product Name]],Sales!A:A,Sales!C:C)</f>
        <v>3</v>
      </c>
      <c r="S739">
        <f>_xlfn.XLOOKUP(Table3[[#This Row],[Product Name]],Sales!A:A,Sales!D:D)</f>
        <v>0</v>
      </c>
      <c r="T739">
        <f>_xlfn.XLOOKUP(Table3[[#This Row],[Product Name]],Sales!A:A,Sales!E:E)</f>
        <v>86.385599999999997</v>
      </c>
    </row>
    <row r="740" spans="1:20" x14ac:dyDescent="0.3">
      <c r="A740">
        <v>735</v>
      </c>
      <c r="B740" t="s">
        <v>1874</v>
      </c>
      <c r="C740">
        <v>21</v>
      </c>
      <c r="D740">
        <v>1</v>
      </c>
      <c r="E740">
        <v>2021</v>
      </c>
      <c r="F740" t="s">
        <v>37</v>
      </c>
      <c r="G740" t="s">
        <v>1875</v>
      </c>
      <c r="H740" t="s">
        <v>2894</v>
      </c>
      <c r="I740" t="s">
        <v>78</v>
      </c>
      <c r="J740" t="s">
        <v>2418</v>
      </c>
      <c r="K740" t="s">
        <v>31</v>
      </c>
      <c r="L740">
        <v>98115</v>
      </c>
      <c r="M740" t="s">
        <v>1086</v>
      </c>
      <c r="N740" t="s">
        <v>33</v>
      </c>
      <c r="O740" t="s">
        <v>58</v>
      </c>
      <c r="P740" t="s">
        <v>1087</v>
      </c>
      <c r="Q740">
        <f>_xlfn.XLOOKUP(Table3[[#This Row],[Product Name]],Sales!A:A,Sales!B:B)</f>
        <v>12.462</v>
      </c>
      <c r="R740">
        <f>_xlfn.XLOOKUP(Table3[[#This Row],[Product Name]],Sales!A:A,Sales!C:C)</f>
        <v>3</v>
      </c>
      <c r="S740">
        <f>_xlfn.XLOOKUP(Table3[[#This Row],[Product Name]],Sales!A:A,Sales!D:D)</f>
        <v>0.8</v>
      </c>
      <c r="T740">
        <f>_xlfn.XLOOKUP(Table3[[#This Row],[Product Name]],Sales!A:A,Sales!E:E)</f>
        <v>-20.5623</v>
      </c>
    </row>
    <row r="741" spans="1:20" x14ac:dyDescent="0.3">
      <c r="A741">
        <v>736</v>
      </c>
      <c r="B741" t="s">
        <v>1874</v>
      </c>
      <c r="C741">
        <v>21</v>
      </c>
      <c r="D741">
        <v>1</v>
      </c>
      <c r="E741">
        <v>2021</v>
      </c>
      <c r="F741" t="s">
        <v>37</v>
      </c>
      <c r="G741" t="s">
        <v>1875</v>
      </c>
      <c r="H741" t="s">
        <v>2894</v>
      </c>
      <c r="I741" t="s">
        <v>78</v>
      </c>
      <c r="J741" t="s">
        <v>2418</v>
      </c>
      <c r="K741" t="s">
        <v>31</v>
      </c>
      <c r="L741">
        <v>98115</v>
      </c>
      <c r="M741" t="s">
        <v>174</v>
      </c>
      <c r="N741" t="s">
        <v>33</v>
      </c>
      <c r="O741" t="s">
        <v>58</v>
      </c>
      <c r="P741" t="s">
        <v>175</v>
      </c>
      <c r="Q741">
        <f>_xlfn.XLOOKUP(Table3[[#This Row],[Product Name]],Sales!A:A,Sales!B:B)</f>
        <v>17.46</v>
      </c>
      <c r="R741">
        <f>_xlfn.XLOOKUP(Table3[[#This Row],[Product Name]],Sales!A:A,Sales!C:C)</f>
        <v>2</v>
      </c>
      <c r="S741">
        <f>_xlfn.XLOOKUP(Table3[[#This Row],[Product Name]],Sales!A:A,Sales!D:D)</f>
        <v>0</v>
      </c>
      <c r="T741">
        <f>_xlfn.XLOOKUP(Table3[[#This Row],[Product Name]],Sales!A:A,Sales!E:E)</f>
        <v>8.2062000000000008</v>
      </c>
    </row>
    <row r="742" spans="1:20" x14ac:dyDescent="0.3">
      <c r="A742">
        <v>737</v>
      </c>
      <c r="B742" t="s">
        <v>1874</v>
      </c>
      <c r="C742">
        <v>21</v>
      </c>
      <c r="D742">
        <v>1</v>
      </c>
      <c r="E742">
        <v>2021</v>
      </c>
      <c r="F742" t="s">
        <v>37</v>
      </c>
      <c r="G742" t="s">
        <v>1875</v>
      </c>
      <c r="H742" t="s">
        <v>2894</v>
      </c>
      <c r="I742" t="s">
        <v>78</v>
      </c>
      <c r="J742" t="s">
        <v>2418</v>
      </c>
      <c r="K742" t="s">
        <v>31</v>
      </c>
      <c r="L742">
        <v>98115</v>
      </c>
      <c r="M742" t="s">
        <v>1878</v>
      </c>
      <c r="N742" t="s">
        <v>22</v>
      </c>
      <c r="O742" t="s">
        <v>23</v>
      </c>
      <c r="P742" t="s">
        <v>1879</v>
      </c>
      <c r="Q742">
        <f>_xlfn.XLOOKUP(Table3[[#This Row],[Product Name]],Sales!A:A,Sales!B:B)</f>
        <v>84.98</v>
      </c>
      <c r="R742">
        <f>_xlfn.XLOOKUP(Table3[[#This Row],[Product Name]],Sales!A:A,Sales!C:C)</f>
        <v>1</v>
      </c>
      <c r="S742">
        <f>_xlfn.XLOOKUP(Table3[[#This Row],[Product Name]],Sales!A:A,Sales!D:D)</f>
        <v>0</v>
      </c>
      <c r="T742">
        <f>_xlfn.XLOOKUP(Table3[[#This Row],[Product Name]],Sales!A:A,Sales!E:E)</f>
        <v>18.695599999999999</v>
      </c>
    </row>
    <row r="743" spans="1:20" x14ac:dyDescent="0.3">
      <c r="A743">
        <v>738</v>
      </c>
      <c r="B743" t="s">
        <v>1874</v>
      </c>
      <c r="C743">
        <v>21</v>
      </c>
      <c r="D743">
        <v>1</v>
      </c>
      <c r="E743">
        <v>2021</v>
      </c>
      <c r="F743" t="s">
        <v>37</v>
      </c>
      <c r="G743" t="s">
        <v>1875</v>
      </c>
      <c r="H743" t="s">
        <v>2894</v>
      </c>
      <c r="I743" t="s">
        <v>78</v>
      </c>
      <c r="J743" t="s">
        <v>2418</v>
      </c>
      <c r="K743" t="s">
        <v>31</v>
      </c>
      <c r="L743">
        <v>98115</v>
      </c>
      <c r="M743" t="s">
        <v>1880</v>
      </c>
      <c r="N743" t="s">
        <v>33</v>
      </c>
      <c r="O743" t="s">
        <v>58</v>
      </c>
      <c r="P743" t="s">
        <v>1881</v>
      </c>
      <c r="Q743">
        <f>_xlfn.XLOOKUP(Table3[[#This Row],[Product Name]],Sales!A:A,Sales!B:B)</f>
        <v>18.72</v>
      </c>
      <c r="R743">
        <f>_xlfn.XLOOKUP(Table3[[#This Row],[Product Name]],Sales!A:A,Sales!C:C)</f>
        <v>5</v>
      </c>
      <c r="S743">
        <f>_xlfn.XLOOKUP(Table3[[#This Row],[Product Name]],Sales!A:A,Sales!D:D)</f>
        <v>0.2</v>
      </c>
      <c r="T743">
        <f>_xlfn.XLOOKUP(Table3[[#This Row],[Product Name]],Sales!A:A,Sales!E:E)</f>
        <v>6.5519999999999996</v>
      </c>
    </row>
    <row r="744" spans="1:20" x14ac:dyDescent="0.3">
      <c r="A744">
        <v>739</v>
      </c>
      <c r="B744" t="s">
        <v>1882</v>
      </c>
      <c r="C744">
        <v>8</v>
      </c>
      <c r="D744">
        <v>9</v>
      </c>
      <c r="E744">
        <v>2018</v>
      </c>
      <c r="F744" t="s">
        <v>37</v>
      </c>
      <c r="G744" t="s">
        <v>338</v>
      </c>
      <c r="H744" t="s">
        <v>2657</v>
      </c>
      <c r="I744" t="s">
        <v>19</v>
      </c>
      <c r="J744" t="s">
        <v>2422</v>
      </c>
      <c r="K744" t="s">
        <v>31</v>
      </c>
      <c r="L744">
        <v>94110</v>
      </c>
      <c r="M744" t="s">
        <v>1883</v>
      </c>
      <c r="N744" t="s">
        <v>54</v>
      </c>
      <c r="O744" t="s">
        <v>118</v>
      </c>
      <c r="P744" t="s">
        <v>1884</v>
      </c>
      <c r="Q744">
        <f>_xlfn.XLOOKUP(Table3[[#This Row],[Product Name]],Sales!A:A,Sales!B:B)</f>
        <v>49.98</v>
      </c>
      <c r="R744">
        <f>_xlfn.XLOOKUP(Table3[[#This Row],[Product Name]],Sales!A:A,Sales!C:C)</f>
        <v>2</v>
      </c>
      <c r="S744">
        <f>_xlfn.XLOOKUP(Table3[[#This Row],[Product Name]],Sales!A:A,Sales!D:D)</f>
        <v>0</v>
      </c>
      <c r="T744">
        <f>_xlfn.XLOOKUP(Table3[[#This Row],[Product Name]],Sales!A:A,Sales!E:E)</f>
        <v>8.4966000000000008</v>
      </c>
    </row>
    <row r="745" spans="1:20" x14ac:dyDescent="0.3">
      <c r="A745">
        <v>740</v>
      </c>
      <c r="B745" t="s">
        <v>1885</v>
      </c>
      <c r="C745">
        <v>4</v>
      </c>
      <c r="D745">
        <v>1</v>
      </c>
      <c r="E745">
        <v>2018</v>
      </c>
      <c r="F745" t="s">
        <v>37</v>
      </c>
      <c r="G745" t="s">
        <v>1886</v>
      </c>
      <c r="H745" t="s">
        <v>2895</v>
      </c>
      <c r="I745" t="s">
        <v>78</v>
      </c>
      <c r="J745" t="s">
        <v>2428</v>
      </c>
      <c r="K745" t="s">
        <v>79</v>
      </c>
      <c r="L745">
        <v>60540</v>
      </c>
      <c r="M745" t="s">
        <v>1887</v>
      </c>
      <c r="N745" t="s">
        <v>33</v>
      </c>
      <c r="O745" t="s">
        <v>34</v>
      </c>
      <c r="P745" t="s">
        <v>1888</v>
      </c>
      <c r="Q745">
        <f>_xlfn.XLOOKUP(Table3[[#This Row],[Product Name]],Sales!A:A,Sales!B:B)</f>
        <v>11.784000000000001</v>
      </c>
      <c r="R745">
        <f>_xlfn.XLOOKUP(Table3[[#This Row],[Product Name]],Sales!A:A,Sales!C:C)</f>
        <v>3</v>
      </c>
      <c r="S745">
        <f>_xlfn.XLOOKUP(Table3[[#This Row],[Product Name]],Sales!A:A,Sales!D:D)</f>
        <v>0.2</v>
      </c>
      <c r="T745">
        <f>_xlfn.XLOOKUP(Table3[[#This Row],[Product Name]],Sales!A:A,Sales!E:E)</f>
        <v>4.2717000000000001</v>
      </c>
    </row>
    <row r="746" spans="1:20" x14ac:dyDescent="0.3">
      <c r="A746">
        <v>741</v>
      </c>
      <c r="B746" t="s">
        <v>1885</v>
      </c>
      <c r="C746">
        <v>4</v>
      </c>
      <c r="D746">
        <v>1</v>
      </c>
      <c r="E746">
        <v>2018</v>
      </c>
      <c r="F746" t="s">
        <v>37</v>
      </c>
      <c r="G746" t="s">
        <v>1886</v>
      </c>
      <c r="H746" t="s">
        <v>2895</v>
      </c>
      <c r="I746" t="s">
        <v>78</v>
      </c>
      <c r="J746" t="s">
        <v>2428</v>
      </c>
      <c r="K746" t="s">
        <v>79</v>
      </c>
      <c r="L746">
        <v>60540</v>
      </c>
      <c r="M746" t="s">
        <v>1285</v>
      </c>
      <c r="N746" t="s">
        <v>33</v>
      </c>
      <c r="O746" t="s">
        <v>43</v>
      </c>
      <c r="P746" t="s">
        <v>1286</v>
      </c>
      <c r="Q746">
        <f>_xlfn.XLOOKUP(Table3[[#This Row],[Product Name]],Sales!A:A,Sales!B:B)</f>
        <v>340.92</v>
      </c>
      <c r="R746">
        <f>_xlfn.XLOOKUP(Table3[[#This Row],[Product Name]],Sales!A:A,Sales!C:C)</f>
        <v>3</v>
      </c>
      <c r="S746">
        <f>_xlfn.XLOOKUP(Table3[[#This Row],[Product Name]],Sales!A:A,Sales!D:D)</f>
        <v>0</v>
      </c>
      <c r="T746">
        <f>_xlfn.XLOOKUP(Table3[[#This Row],[Product Name]],Sales!A:A,Sales!E:E)</f>
        <v>3.4091999999999998</v>
      </c>
    </row>
    <row r="747" spans="1:20" x14ac:dyDescent="0.3">
      <c r="A747">
        <v>742</v>
      </c>
      <c r="B747" t="s">
        <v>1885</v>
      </c>
      <c r="C747">
        <v>4</v>
      </c>
      <c r="D747">
        <v>1</v>
      </c>
      <c r="E747">
        <v>2018</v>
      </c>
      <c r="F747" t="s">
        <v>37</v>
      </c>
      <c r="G747" t="s">
        <v>1886</v>
      </c>
      <c r="H747" t="s">
        <v>2895</v>
      </c>
      <c r="I747" t="s">
        <v>78</v>
      </c>
      <c r="J747" t="s">
        <v>2428</v>
      </c>
      <c r="K747" t="s">
        <v>79</v>
      </c>
      <c r="L747">
        <v>60540</v>
      </c>
      <c r="M747" t="s">
        <v>1889</v>
      </c>
      <c r="N747" t="s">
        <v>33</v>
      </c>
      <c r="O747" t="s">
        <v>58</v>
      </c>
      <c r="P747" t="s">
        <v>1890</v>
      </c>
      <c r="Q747">
        <f>_xlfn.XLOOKUP(Table3[[#This Row],[Product Name]],Sales!A:A,Sales!B:B)</f>
        <v>3.54</v>
      </c>
      <c r="R747">
        <f>_xlfn.XLOOKUP(Table3[[#This Row],[Product Name]],Sales!A:A,Sales!C:C)</f>
        <v>2</v>
      </c>
      <c r="S747">
        <f>_xlfn.XLOOKUP(Table3[[#This Row],[Product Name]],Sales!A:A,Sales!D:D)</f>
        <v>0.8</v>
      </c>
      <c r="T747">
        <f>_xlfn.XLOOKUP(Table3[[#This Row],[Product Name]],Sales!A:A,Sales!E:E)</f>
        <v>-5.4870000000000001</v>
      </c>
    </row>
    <row r="748" spans="1:20" x14ac:dyDescent="0.3">
      <c r="A748">
        <v>743</v>
      </c>
      <c r="B748" t="s">
        <v>1891</v>
      </c>
      <c r="C748">
        <v>27</v>
      </c>
      <c r="D748">
        <v>8</v>
      </c>
      <c r="E748">
        <v>2020</v>
      </c>
      <c r="F748" t="s">
        <v>37</v>
      </c>
      <c r="G748" t="s">
        <v>1892</v>
      </c>
      <c r="H748" t="s">
        <v>2896</v>
      </c>
      <c r="I748" t="s">
        <v>19</v>
      </c>
      <c r="J748" t="s">
        <v>2476</v>
      </c>
      <c r="K748" t="s">
        <v>79</v>
      </c>
      <c r="L748">
        <v>75220</v>
      </c>
      <c r="M748" t="s">
        <v>1557</v>
      </c>
      <c r="N748" t="s">
        <v>33</v>
      </c>
      <c r="O748" t="s">
        <v>438</v>
      </c>
      <c r="P748" t="s">
        <v>1558</v>
      </c>
      <c r="Q748">
        <f>_xlfn.XLOOKUP(Table3[[#This Row],[Product Name]],Sales!A:A,Sales!B:B)</f>
        <v>51.52</v>
      </c>
      <c r="R748">
        <f>_xlfn.XLOOKUP(Table3[[#This Row],[Product Name]],Sales!A:A,Sales!C:C)</f>
        <v>4</v>
      </c>
      <c r="S748">
        <f>_xlfn.XLOOKUP(Table3[[#This Row],[Product Name]],Sales!A:A,Sales!D:D)</f>
        <v>0</v>
      </c>
      <c r="T748">
        <f>_xlfn.XLOOKUP(Table3[[#This Row],[Product Name]],Sales!A:A,Sales!E:E)</f>
        <v>1.5456000000000001</v>
      </c>
    </row>
    <row r="749" spans="1:20" x14ac:dyDescent="0.3">
      <c r="A749">
        <v>744</v>
      </c>
      <c r="B749" t="s">
        <v>1891</v>
      </c>
      <c r="C749">
        <v>27</v>
      </c>
      <c r="D749">
        <v>8</v>
      </c>
      <c r="E749">
        <v>2020</v>
      </c>
      <c r="F749" t="s">
        <v>37</v>
      </c>
      <c r="G749" t="s">
        <v>1892</v>
      </c>
      <c r="H749" t="s">
        <v>2896</v>
      </c>
      <c r="I749" t="s">
        <v>19</v>
      </c>
      <c r="J749" t="s">
        <v>2476</v>
      </c>
      <c r="K749" t="s">
        <v>79</v>
      </c>
      <c r="L749">
        <v>75220</v>
      </c>
      <c r="M749" t="s">
        <v>792</v>
      </c>
      <c r="N749" t="s">
        <v>33</v>
      </c>
      <c r="O749" t="s">
        <v>70</v>
      </c>
      <c r="P749" t="s">
        <v>793</v>
      </c>
      <c r="Q749">
        <f>_xlfn.XLOOKUP(Table3[[#This Row],[Product Name]],Sales!A:A,Sales!B:B)</f>
        <v>8.82</v>
      </c>
      <c r="R749">
        <f>_xlfn.XLOOKUP(Table3[[#This Row],[Product Name]],Sales!A:A,Sales!C:C)</f>
        <v>2</v>
      </c>
      <c r="S749">
        <f>_xlfn.XLOOKUP(Table3[[#This Row],[Product Name]],Sales!A:A,Sales!D:D)</f>
        <v>0</v>
      </c>
      <c r="T749">
        <f>_xlfn.XLOOKUP(Table3[[#This Row],[Product Name]],Sales!A:A,Sales!E:E)</f>
        <v>4.0571999999999999</v>
      </c>
    </row>
    <row r="750" spans="1:20" x14ac:dyDescent="0.3">
      <c r="A750">
        <v>745</v>
      </c>
      <c r="B750" t="s">
        <v>1891</v>
      </c>
      <c r="C750">
        <v>27</v>
      </c>
      <c r="D750">
        <v>8</v>
      </c>
      <c r="E750">
        <v>2020</v>
      </c>
      <c r="F750" t="s">
        <v>37</v>
      </c>
      <c r="G750" t="s">
        <v>1892</v>
      </c>
      <c r="H750" t="s">
        <v>2896</v>
      </c>
      <c r="I750" t="s">
        <v>19</v>
      </c>
      <c r="J750" t="s">
        <v>2476</v>
      </c>
      <c r="K750" t="s">
        <v>79</v>
      </c>
      <c r="L750">
        <v>75220</v>
      </c>
      <c r="M750" t="s">
        <v>1893</v>
      </c>
      <c r="N750" t="s">
        <v>33</v>
      </c>
      <c r="O750" t="s">
        <v>70</v>
      </c>
      <c r="P750" t="s">
        <v>1894</v>
      </c>
      <c r="Q750">
        <f>_xlfn.XLOOKUP(Table3[[#This Row],[Product Name]],Sales!A:A,Sales!B:B)</f>
        <v>4.6239999999999997</v>
      </c>
      <c r="R750">
        <f>_xlfn.XLOOKUP(Table3[[#This Row],[Product Name]],Sales!A:A,Sales!C:C)</f>
        <v>1</v>
      </c>
      <c r="S750">
        <f>_xlfn.XLOOKUP(Table3[[#This Row],[Product Name]],Sales!A:A,Sales!D:D)</f>
        <v>0.2</v>
      </c>
      <c r="T750">
        <f>_xlfn.XLOOKUP(Table3[[#This Row],[Product Name]],Sales!A:A,Sales!E:E)</f>
        <v>1.6761999999999999</v>
      </c>
    </row>
    <row r="751" spans="1:20" x14ac:dyDescent="0.3">
      <c r="A751">
        <v>746</v>
      </c>
      <c r="B751" t="s">
        <v>1891</v>
      </c>
      <c r="C751">
        <v>27</v>
      </c>
      <c r="D751">
        <v>8</v>
      </c>
      <c r="E751">
        <v>2020</v>
      </c>
      <c r="F751" t="s">
        <v>37</v>
      </c>
      <c r="G751" t="s">
        <v>1892</v>
      </c>
      <c r="H751" t="s">
        <v>2896</v>
      </c>
      <c r="I751" t="s">
        <v>19</v>
      </c>
      <c r="J751" t="s">
        <v>2476</v>
      </c>
      <c r="K751" t="s">
        <v>79</v>
      </c>
      <c r="L751">
        <v>75220</v>
      </c>
      <c r="M751" t="s">
        <v>1895</v>
      </c>
      <c r="N751" t="s">
        <v>33</v>
      </c>
      <c r="O751" t="s">
        <v>438</v>
      </c>
      <c r="P751" t="s">
        <v>1896</v>
      </c>
      <c r="Q751">
        <f>_xlfn.XLOOKUP(Table3[[#This Row],[Product Name]],Sales!A:A,Sales!B:B)</f>
        <v>55.167999999999999</v>
      </c>
      <c r="R751">
        <f>_xlfn.XLOOKUP(Table3[[#This Row],[Product Name]],Sales!A:A,Sales!C:C)</f>
        <v>4</v>
      </c>
      <c r="S751">
        <f>_xlfn.XLOOKUP(Table3[[#This Row],[Product Name]],Sales!A:A,Sales!D:D)</f>
        <v>0.2</v>
      </c>
      <c r="T751">
        <f>_xlfn.XLOOKUP(Table3[[#This Row],[Product Name]],Sales!A:A,Sales!E:E)</f>
        <v>6.2064000000000004</v>
      </c>
    </row>
    <row r="752" spans="1:20" x14ac:dyDescent="0.3">
      <c r="A752">
        <v>747</v>
      </c>
      <c r="B752" t="s">
        <v>1897</v>
      </c>
      <c r="C752">
        <v>27</v>
      </c>
      <c r="D752">
        <v>5</v>
      </c>
      <c r="E752">
        <v>2018</v>
      </c>
      <c r="F752" t="s">
        <v>1010</v>
      </c>
      <c r="G752" t="s">
        <v>1280</v>
      </c>
      <c r="H752" t="s">
        <v>2796</v>
      </c>
      <c r="I752" t="s">
        <v>30</v>
      </c>
      <c r="J752" t="s">
        <v>2487</v>
      </c>
      <c r="K752" t="s">
        <v>31</v>
      </c>
      <c r="L752">
        <v>92105</v>
      </c>
      <c r="M752" t="s">
        <v>710</v>
      </c>
      <c r="N752" t="s">
        <v>22</v>
      </c>
      <c r="O752" t="s">
        <v>40</v>
      </c>
      <c r="P752" t="s">
        <v>711</v>
      </c>
      <c r="Q752">
        <f>_xlfn.XLOOKUP(Table3[[#This Row],[Product Name]],Sales!A:A,Sales!B:B)</f>
        <v>177.22499999999999</v>
      </c>
      <c r="R752">
        <f>_xlfn.XLOOKUP(Table3[[#This Row],[Product Name]],Sales!A:A,Sales!C:C)</f>
        <v>5</v>
      </c>
      <c r="S752">
        <f>_xlfn.XLOOKUP(Table3[[#This Row],[Product Name]],Sales!A:A,Sales!D:D)</f>
        <v>0.5</v>
      </c>
      <c r="T752">
        <f>_xlfn.XLOOKUP(Table3[[#This Row],[Product Name]],Sales!A:A,Sales!E:E)</f>
        <v>-120.51300000000001</v>
      </c>
    </row>
    <row r="753" spans="1:20" x14ac:dyDescent="0.3">
      <c r="A753">
        <v>748</v>
      </c>
      <c r="B753" t="s">
        <v>1897</v>
      </c>
      <c r="C753">
        <v>27</v>
      </c>
      <c r="D753">
        <v>5</v>
      </c>
      <c r="E753">
        <v>2018</v>
      </c>
      <c r="F753" t="s">
        <v>1010</v>
      </c>
      <c r="G753" t="s">
        <v>1280</v>
      </c>
      <c r="H753" t="s">
        <v>2796</v>
      </c>
      <c r="I753" t="s">
        <v>30</v>
      </c>
      <c r="J753" t="s">
        <v>2487</v>
      </c>
      <c r="K753" t="s">
        <v>31</v>
      </c>
      <c r="L753">
        <v>92105</v>
      </c>
      <c r="M753" t="s">
        <v>1336</v>
      </c>
      <c r="N753" t="s">
        <v>33</v>
      </c>
      <c r="O753" t="s">
        <v>43</v>
      </c>
      <c r="P753" t="s">
        <v>1337</v>
      </c>
      <c r="Q753">
        <f>_xlfn.XLOOKUP(Table3[[#This Row],[Product Name]],Sales!A:A,Sales!B:B)</f>
        <v>449.15</v>
      </c>
      <c r="R753">
        <f>_xlfn.XLOOKUP(Table3[[#This Row],[Product Name]],Sales!A:A,Sales!C:C)</f>
        <v>5</v>
      </c>
      <c r="S753">
        <f>_xlfn.XLOOKUP(Table3[[#This Row],[Product Name]],Sales!A:A,Sales!D:D)</f>
        <v>0</v>
      </c>
      <c r="T753">
        <f>_xlfn.XLOOKUP(Table3[[#This Row],[Product Name]],Sales!A:A,Sales!E:E)</f>
        <v>8.9830000000000005</v>
      </c>
    </row>
    <row r="754" spans="1:20" x14ac:dyDescent="0.3">
      <c r="A754">
        <v>749</v>
      </c>
      <c r="B754" t="s">
        <v>1898</v>
      </c>
      <c r="C754">
        <v>20</v>
      </c>
      <c r="D754">
        <v>3</v>
      </c>
      <c r="E754">
        <v>2020</v>
      </c>
      <c r="F754" t="s">
        <v>17</v>
      </c>
      <c r="G754" t="s">
        <v>1899</v>
      </c>
      <c r="H754" t="s">
        <v>2897</v>
      </c>
      <c r="I754" t="s">
        <v>19</v>
      </c>
      <c r="J754" t="s">
        <v>2577</v>
      </c>
      <c r="K754" t="s">
        <v>79</v>
      </c>
      <c r="L754">
        <v>60201</v>
      </c>
      <c r="M754" t="s">
        <v>1900</v>
      </c>
      <c r="N754" t="s">
        <v>54</v>
      </c>
      <c r="O754" t="s">
        <v>55</v>
      </c>
      <c r="P754" t="s">
        <v>1901</v>
      </c>
      <c r="Q754">
        <f>_xlfn.XLOOKUP(Table3[[#This Row],[Product Name]],Sales!A:A,Sales!B:B)</f>
        <v>11.992000000000001</v>
      </c>
      <c r="R754">
        <f>_xlfn.XLOOKUP(Table3[[#This Row],[Product Name]],Sales!A:A,Sales!C:C)</f>
        <v>1</v>
      </c>
      <c r="S754">
        <f>_xlfn.XLOOKUP(Table3[[#This Row],[Product Name]],Sales!A:A,Sales!D:D)</f>
        <v>0.2</v>
      </c>
      <c r="T754">
        <f>_xlfn.XLOOKUP(Table3[[#This Row],[Product Name]],Sales!A:A,Sales!E:E)</f>
        <v>0.89939999999999998</v>
      </c>
    </row>
    <row r="755" spans="1:20" x14ac:dyDescent="0.3">
      <c r="A755">
        <v>750</v>
      </c>
      <c r="B755" t="s">
        <v>1902</v>
      </c>
      <c r="C755">
        <v>2</v>
      </c>
      <c r="D755">
        <v>10</v>
      </c>
      <c r="E755">
        <v>2021</v>
      </c>
      <c r="F755" t="s">
        <v>37</v>
      </c>
      <c r="G755" t="s">
        <v>1903</v>
      </c>
      <c r="H755" t="s">
        <v>2898</v>
      </c>
      <c r="I755" t="s">
        <v>19</v>
      </c>
      <c r="J755" t="s">
        <v>2578</v>
      </c>
      <c r="K755" t="s">
        <v>79</v>
      </c>
      <c r="L755">
        <v>48183</v>
      </c>
      <c r="M755" t="s">
        <v>1904</v>
      </c>
      <c r="N755" t="s">
        <v>33</v>
      </c>
      <c r="O755" t="s">
        <v>58</v>
      </c>
      <c r="P755" t="s">
        <v>1905</v>
      </c>
      <c r="Q755">
        <f>_xlfn.XLOOKUP(Table3[[#This Row],[Product Name]],Sales!A:A,Sales!B:B)</f>
        <v>58.05</v>
      </c>
      <c r="R755">
        <f>_xlfn.XLOOKUP(Table3[[#This Row],[Product Name]],Sales!A:A,Sales!C:C)</f>
        <v>3</v>
      </c>
      <c r="S755">
        <f>_xlfn.XLOOKUP(Table3[[#This Row],[Product Name]],Sales!A:A,Sales!D:D)</f>
        <v>0</v>
      </c>
      <c r="T755">
        <f>_xlfn.XLOOKUP(Table3[[#This Row],[Product Name]],Sales!A:A,Sales!E:E)</f>
        <v>26.702999999999999</v>
      </c>
    </row>
    <row r="756" spans="1:20" x14ac:dyDescent="0.3">
      <c r="A756">
        <v>751</v>
      </c>
      <c r="B756" t="s">
        <v>1902</v>
      </c>
      <c r="C756">
        <v>2</v>
      </c>
      <c r="D756">
        <v>10</v>
      </c>
      <c r="E756">
        <v>2021</v>
      </c>
      <c r="F756" t="s">
        <v>37</v>
      </c>
      <c r="G756" t="s">
        <v>1903</v>
      </c>
      <c r="H756" t="s">
        <v>2898</v>
      </c>
      <c r="I756" t="s">
        <v>19</v>
      </c>
      <c r="J756" t="s">
        <v>2578</v>
      </c>
      <c r="K756" t="s">
        <v>79</v>
      </c>
      <c r="L756">
        <v>48183</v>
      </c>
      <c r="M756" t="s">
        <v>1906</v>
      </c>
      <c r="N756" t="s">
        <v>22</v>
      </c>
      <c r="O756" t="s">
        <v>48</v>
      </c>
      <c r="P756" t="s">
        <v>1907</v>
      </c>
      <c r="Q756">
        <f>_xlfn.XLOOKUP(Table3[[#This Row],[Product Name]],Sales!A:A,Sales!B:B)</f>
        <v>157.74</v>
      </c>
      <c r="R756">
        <f>_xlfn.XLOOKUP(Table3[[#This Row],[Product Name]],Sales!A:A,Sales!C:C)</f>
        <v>11</v>
      </c>
      <c r="S756">
        <f>_xlfn.XLOOKUP(Table3[[#This Row],[Product Name]],Sales!A:A,Sales!D:D)</f>
        <v>0</v>
      </c>
      <c r="T756">
        <f>_xlfn.XLOOKUP(Table3[[#This Row],[Product Name]],Sales!A:A,Sales!E:E)</f>
        <v>56.7864</v>
      </c>
    </row>
    <row r="757" spans="1:20" x14ac:dyDescent="0.3">
      <c r="A757">
        <v>752</v>
      </c>
      <c r="B757" t="s">
        <v>1902</v>
      </c>
      <c r="C757">
        <v>2</v>
      </c>
      <c r="D757">
        <v>10</v>
      </c>
      <c r="E757">
        <v>2021</v>
      </c>
      <c r="F757" t="s">
        <v>37</v>
      </c>
      <c r="G757" t="s">
        <v>1903</v>
      </c>
      <c r="H757" t="s">
        <v>2898</v>
      </c>
      <c r="I757" t="s">
        <v>19</v>
      </c>
      <c r="J757" t="s">
        <v>2578</v>
      </c>
      <c r="K757" t="s">
        <v>79</v>
      </c>
      <c r="L757">
        <v>48183</v>
      </c>
      <c r="M757" t="s">
        <v>1114</v>
      </c>
      <c r="N757" t="s">
        <v>33</v>
      </c>
      <c r="O757" t="s">
        <v>51</v>
      </c>
      <c r="P757" t="s">
        <v>1115</v>
      </c>
      <c r="Q757">
        <f>_xlfn.XLOOKUP(Table3[[#This Row],[Product Name]],Sales!A:A,Sales!B:B)</f>
        <v>39.072000000000003</v>
      </c>
      <c r="R757">
        <f>_xlfn.XLOOKUP(Table3[[#This Row],[Product Name]],Sales!A:A,Sales!C:C)</f>
        <v>6</v>
      </c>
      <c r="S757">
        <f>_xlfn.XLOOKUP(Table3[[#This Row],[Product Name]],Sales!A:A,Sales!D:D)</f>
        <v>0.2</v>
      </c>
      <c r="T757">
        <f>_xlfn.XLOOKUP(Table3[[#This Row],[Product Name]],Sales!A:A,Sales!E:E)</f>
        <v>9.7680000000000007</v>
      </c>
    </row>
    <row r="758" spans="1:20" x14ac:dyDescent="0.3">
      <c r="A758">
        <v>753</v>
      </c>
      <c r="B758" t="s">
        <v>1902</v>
      </c>
      <c r="C758">
        <v>2</v>
      </c>
      <c r="D758">
        <v>10</v>
      </c>
      <c r="E758">
        <v>2021</v>
      </c>
      <c r="F758" t="s">
        <v>37</v>
      </c>
      <c r="G758" t="s">
        <v>1903</v>
      </c>
      <c r="H758" t="s">
        <v>2898</v>
      </c>
      <c r="I758" t="s">
        <v>19</v>
      </c>
      <c r="J758" t="s">
        <v>2578</v>
      </c>
      <c r="K758" t="s">
        <v>79</v>
      </c>
      <c r="L758">
        <v>48183</v>
      </c>
      <c r="M758" t="s">
        <v>1908</v>
      </c>
      <c r="N758" t="s">
        <v>33</v>
      </c>
      <c r="O758" t="s">
        <v>58</v>
      </c>
      <c r="P758" t="s">
        <v>1909</v>
      </c>
      <c r="Q758">
        <f>_xlfn.XLOOKUP(Table3[[#This Row],[Product Name]],Sales!A:A,Sales!B:B)</f>
        <v>2.88</v>
      </c>
      <c r="R758">
        <f>_xlfn.XLOOKUP(Table3[[#This Row],[Product Name]],Sales!A:A,Sales!C:C)</f>
        <v>1</v>
      </c>
      <c r="S758">
        <f>_xlfn.XLOOKUP(Table3[[#This Row],[Product Name]],Sales!A:A,Sales!D:D)</f>
        <v>0</v>
      </c>
      <c r="T758">
        <f>_xlfn.XLOOKUP(Table3[[#This Row],[Product Name]],Sales!A:A,Sales!E:E)</f>
        <v>1.4112</v>
      </c>
    </row>
    <row r="759" spans="1:20" x14ac:dyDescent="0.3">
      <c r="A759">
        <v>754</v>
      </c>
      <c r="B759" t="s">
        <v>1910</v>
      </c>
      <c r="C759">
        <v>7</v>
      </c>
      <c r="D759">
        <v>4</v>
      </c>
      <c r="E759">
        <v>2020</v>
      </c>
      <c r="F759" t="s">
        <v>142</v>
      </c>
      <c r="G759" t="s">
        <v>1911</v>
      </c>
      <c r="H759" t="s">
        <v>2899</v>
      </c>
      <c r="I759" t="s">
        <v>30</v>
      </c>
      <c r="J759" t="s">
        <v>2422</v>
      </c>
      <c r="K759" t="s">
        <v>31</v>
      </c>
      <c r="L759">
        <v>94110</v>
      </c>
      <c r="M759" t="s">
        <v>1912</v>
      </c>
      <c r="N759" t="s">
        <v>54</v>
      </c>
      <c r="O759" t="s">
        <v>949</v>
      </c>
      <c r="P759" t="s">
        <v>1913</v>
      </c>
      <c r="Q759">
        <f>_xlfn.XLOOKUP(Table3[[#This Row],[Product Name]],Sales!A:A,Sales!B:B)</f>
        <v>1199.9760000000001</v>
      </c>
      <c r="R759">
        <f>_xlfn.XLOOKUP(Table3[[#This Row],[Product Name]],Sales!A:A,Sales!C:C)</f>
        <v>3</v>
      </c>
      <c r="S759">
        <f>_xlfn.XLOOKUP(Table3[[#This Row],[Product Name]],Sales!A:A,Sales!D:D)</f>
        <v>0.2</v>
      </c>
      <c r="T759">
        <f>_xlfn.XLOOKUP(Table3[[#This Row],[Product Name]],Sales!A:A,Sales!E:E)</f>
        <v>374.99250000000001</v>
      </c>
    </row>
    <row r="760" spans="1:20" x14ac:dyDescent="0.3">
      <c r="A760">
        <v>755</v>
      </c>
      <c r="B760" t="s">
        <v>1914</v>
      </c>
      <c r="C760">
        <v>7</v>
      </c>
      <c r="D760">
        <v>12</v>
      </c>
      <c r="E760">
        <v>2019</v>
      </c>
      <c r="F760" t="s">
        <v>37</v>
      </c>
      <c r="G760" t="s">
        <v>1578</v>
      </c>
      <c r="H760" t="s">
        <v>2844</v>
      </c>
      <c r="I760" t="s">
        <v>19</v>
      </c>
      <c r="J760" t="s">
        <v>2415</v>
      </c>
      <c r="K760" t="s">
        <v>31</v>
      </c>
      <c r="L760">
        <v>90036</v>
      </c>
      <c r="M760" t="s">
        <v>1739</v>
      </c>
      <c r="N760" t="s">
        <v>22</v>
      </c>
      <c r="O760" t="s">
        <v>48</v>
      </c>
      <c r="P760" t="s">
        <v>1740</v>
      </c>
      <c r="Q760">
        <f>_xlfn.XLOOKUP(Table3[[#This Row],[Product Name]],Sales!A:A,Sales!B:B)</f>
        <v>23.975999999999999</v>
      </c>
      <c r="R760">
        <f>_xlfn.XLOOKUP(Table3[[#This Row],[Product Name]],Sales!A:A,Sales!C:C)</f>
        <v>3</v>
      </c>
      <c r="S760">
        <f>_xlfn.XLOOKUP(Table3[[#This Row],[Product Name]],Sales!A:A,Sales!D:D)</f>
        <v>0.6</v>
      </c>
      <c r="T760">
        <f>_xlfn.XLOOKUP(Table3[[#This Row],[Product Name]],Sales!A:A,Sales!E:E)</f>
        <v>-14.3856</v>
      </c>
    </row>
    <row r="761" spans="1:20" x14ac:dyDescent="0.3">
      <c r="A761">
        <v>756</v>
      </c>
      <c r="B761" t="s">
        <v>1915</v>
      </c>
      <c r="C761">
        <v>18</v>
      </c>
      <c r="D761">
        <v>9</v>
      </c>
      <c r="E761">
        <v>2020</v>
      </c>
      <c r="F761" t="s">
        <v>37</v>
      </c>
      <c r="G761" t="s">
        <v>1610</v>
      </c>
      <c r="H761" t="s">
        <v>2850</v>
      </c>
      <c r="I761" t="s">
        <v>30</v>
      </c>
      <c r="J761" t="s">
        <v>2530</v>
      </c>
      <c r="K761" t="s">
        <v>20</v>
      </c>
      <c r="L761">
        <v>32216</v>
      </c>
      <c r="M761" t="s">
        <v>1916</v>
      </c>
      <c r="N761" t="s">
        <v>22</v>
      </c>
      <c r="O761" t="s">
        <v>40</v>
      </c>
      <c r="P761" t="s">
        <v>1917</v>
      </c>
      <c r="Q761">
        <f>_xlfn.XLOOKUP(Table3[[#This Row],[Product Name]],Sales!A:A,Sales!B:B)</f>
        <v>383.43799999999999</v>
      </c>
      <c r="R761">
        <f>_xlfn.XLOOKUP(Table3[[#This Row],[Product Name]],Sales!A:A,Sales!C:C)</f>
        <v>4</v>
      </c>
      <c r="S761">
        <f>_xlfn.XLOOKUP(Table3[[#This Row],[Product Name]],Sales!A:A,Sales!D:D)</f>
        <v>0.45</v>
      </c>
      <c r="T761">
        <f>_xlfn.XLOOKUP(Table3[[#This Row],[Product Name]],Sales!A:A,Sales!E:E)</f>
        <v>-167.3184</v>
      </c>
    </row>
    <row r="762" spans="1:20" x14ac:dyDescent="0.3">
      <c r="A762">
        <v>757</v>
      </c>
      <c r="B762" t="s">
        <v>1918</v>
      </c>
      <c r="C762">
        <v>29</v>
      </c>
      <c r="D762">
        <v>12</v>
      </c>
      <c r="E762">
        <v>2018</v>
      </c>
      <c r="F762" t="s">
        <v>37</v>
      </c>
      <c r="G762" t="s">
        <v>1919</v>
      </c>
      <c r="H762" t="s">
        <v>2900</v>
      </c>
      <c r="I762" t="s">
        <v>19</v>
      </c>
      <c r="J762" t="s">
        <v>2579</v>
      </c>
      <c r="K762" t="s">
        <v>79</v>
      </c>
      <c r="L762">
        <v>55016</v>
      </c>
      <c r="M762" t="s">
        <v>1785</v>
      </c>
      <c r="N762" t="s">
        <v>33</v>
      </c>
      <c r="O762" t="s">
        <v>43</v>
      </c>
      <c r="P762" t="s">
        <v>1786</v>
      </c>
      <c r="Q762">
        <f>_xlfn.XLOOKUP(Table3[[#This Row],[Product Name]],Sales!A:A,Sales!B:B)</f>
        <v>36.840000000000003</v>
      </c>
      <c r="R762">
        <f>_xlfn.XLOOKUP(Table3[[#This Row],[Product Name]],Sales!A:A,Sales!C:C)</f>
        <v>3</v>
      </c>
      <c r="S762">
        <f>_xlfn.XLOOKUP(Table3[[#This Row],[Product Name]],Sales!A:A,Sales!D:D)</f>
        <v>0</v>
      </c>
      <c r="T762">
        <f>_xlfn.XLOOKUP(Table3[[#This Row],[Product Name]],Sales!A:A,Sales!E:E)</f>
        <v>10.315200000000001</v>
      </c>
    </row>
    <row r="763" spans="1:20" x14ac:dyDescent="0.3">
      <c r="A763">
        <v>758</v>
      </c>
      <c r="B763" t="s">
        <v>1918</v>
      </c>
      <c r="C763">
        <v>29</v>
      </c>
      <c r="D763">
        <v>12</v>
      </c>
      <c r="E763">
        <v>2018</v>
      </c>
      <c r="F763" t="s">
        <v>37</v>
      </c>
      <c r="G763" t="s">
        <v>1919</v>
      </c>
      <c r="H763" t="s">
        <v>2900</v>
      </c>
      <c r="I763" t="s">
        <v>19</v>
      </c>
      <c r="J763" t="s">
        <v>2579</v>
      </c>
      <c r="K763" t="s">
        <v>79</v>
      </c>
      <c r="L763">
        <v>55016</v>
      </c>
      <c r="M763" t="s">
        <v>1660</v>
      </c>
      <c r="N763" t="s">
        <v>54</v>
      </c>
      <c r="O763" t="s">
        <v>118</v>
      </c>
      <c r="P763" t="s">
        <v>1661</v>
      </c>
      <c r="Q763">
        <f>_xlfn.XLOOKUP(Table3[[#This Row],[Product Name]],Sales!A:A,Sales!B:B)</f>
        <v>119.8</v>
      </c>
      <c r="R763">
        <f>_xlfn.XLOOKUP(Table3[[#This Row],[Product Name]],Sales!A:A,Sales!C:C)</f>
        <v>5</v>
      </c>
      <c r="S763">
        <f>_xlfn.XLOOKUP(Table3[[#This Row],[Product Name]],Sales!A:A,Sales!D:D)</f>
        <v>0.2</v>
      </c>
      <c r="T763">
        <f>_xlfn.XLOOKUP(Table3[[#This Row],[Product Name]],Sales!A:A,Sales!E:E)</f>
        <v>29.95</v>
      </c>
    </row>
    <row r="764" spans="1:20" x14ac:dyDescent="0.3">
      <c r="A764">
        <v>759</v>
      </c>
      <c r="B764" t="s">
        <v>1920</v>
      </c>
      <c r="C764">
        <v>23</v>
      </c>
      <c r="D764">
        <v>7</v>
      </c>
      <c r="E764">
        <v>2021</v>
      </c>
      <c r="F764" t="s">
        <v>37</v>
      </c>
      <c r="G764" t="s">
        <v>1921</v>
      </c>
      <c r="H764" t="s">
        <v>2901</v>
      </c>
      <c r="I764" t="s">
        <v>30</v>
      </c>
      <c r="J764" t="s">
        <v>2434</v>
      </c>
      <c r="K764" t="s">
        <v>108</v>
      </c>
      <c r="L764">
        <v>10009</v>
      </c>
      <c r="M764" t="s">
        <v>1605</v>
      </c>
      <c r="N764" t="s">
        <v>33</v>
      </c>
      <c r="O764" t="s">
        <v>58</v>
      </c>
      <c r="P764" t="s">
        <v>1606</v>
      </c>
      <c r="Q764">
        <f>_xlfn.XLOOKUP(Table3[[#This Row],[Product Name]],Sales!A:A,Sales!B:B)</f>
        <v>3.282</v>
      </c>
      <c r="R764">
        <f>_xlfn.XLOOKUP(Table3[[#This Row],[Product Name]],Sales!A:A,Sales!C:C)</f>
        <v>2</v>
      </c>
      <c r="S764">
        <f>_xlfn.XLOOKUP(Table3[[#This Row],[Product Name]],Sales!A:A,Sales!D:D)</f>
        <v>0.7</v>
      </c>
      <c r="T764">
        <f>_xlfn.XLOOKUP(Table3[[#This Row],[Product Name]],Sales!A:A,Sales!E:E)</f>
        <v>-2.6255999999999999</v>
      </c>
    </row>
    <row r="765" spans="1:20" x14ac:dyDescent="0.3">
      <c r="A765">
        <v>760</v>
      </c>
      <c r="B765" t="s">
        <v>1922</v>
      </c>
      <c r="C765">
        <v>18</v>
      </c>
      <c r="D765">
        <v>9</v>
      </c>
      <c r="E765">
        <v>2021</v>
      </c>
      <c r="F765" t="s">
        <v>37</v>
      </c>
      <c r="G765" t="s">
        <v>1923</v>
      </c>
      <c r="H765" t="s">
        <v>2902</v>
      </c>
      <c r="I765" t="s">
        <v>30</v>
      </c>
      <c r="J765" t="s">
        <v>2549</v>
      </c>
      <c r="K765" t="s">
        <v>79</v>
      </c>
      <c r="L765">
        <v>54302</v>
      </c>
      <c r="M765" t="s">
        <v>421</v>
      </c>
      <c r="N765" t="s">
        <v>33</v>
      </c>
      <c r="O765" t="s">
        <v>70</v>
      </c>
      <c r="P765" t="s">
        <v>1743</v>
      </c>
      <c r="Q765">
        <f>_xlfn.XLOOKUP(Table3[[#This Row],[Product Name]],Sales!A:A,Sales!B:B)</f>
        <v>36.351999999999997</v>
      </c>
      <c r="R765">
        <f>_xlfn.XLOOKUP(Table3[[#This Row],[Product Name]],Sales!A:A,Sales!C:C)</f>
        <v>8</v>
      </c>
      <c r="S765">
        <f>_xlfn.XLOOKUP(Table3[[#This Row],[Product Name]],Sales!A:A,Sales!D:D)</f>
        <v>0.2</v>
      </c>
      <c r="T765">
        <f>_xlfn.XLOOKUP(Table3[[#This Row],[Product Name]],Sales!A:A,Sales!E:E)</f>
        <v>11.36</v>
      </c>
    </row>
    <row r="766" spans="1:20" x14ac:dyDescent="0.3">
      <c r="A766">
        <v>761</v>
      </c>
      <c r="B766" t="s">
        <v>1924</v>
      </c>
      <c r="C766">
        <v>31</v>
      </c>
      <c r="D766">
        <v>8</v>
      </c>
      <c r="E766">
        <v>2019</v>
      </c>
      <c r="F766" t="s">
        <v>37</v>
      </c>
      <c r="G766" t="s">
        <v>1604</v>
      </c>
      <c r="H766" t="s">
        <v>2849</v>
      </c>
      <c r="I766" t="s">
        <v>19</v>
      </c>
      <c r="J766" t="s">
        <v>2415</v>
      </c>
      <c r="K766" t="s">
        <v>31</v>
      </c>
      <c r="L766">
        <v>90004</v>
      </c>
      <c r="M766" t="s">
        <v>1507</v>
      </c>
      <c r="N766" t="s">
        <v>33</v>
      </c>
      <c r="O766" t="s">
        <v>70</v>
      </c>
      <c r="P766" t="s">
        <v>1508</v>
      </c>
      <c r="Q766">
        <f>_xlfn.XLOOKUP(Table3[[#This Row],[Product Name]],Sales!A:A,Sales!B:B)</f>
        <v>32.4</v>
      </c>
      <c r="R766">
        <f>_xlfn.XLOOKUP(Table3[[#This Row],[Product Name]],Sales!A:A,Sales!C:C)</f>
        <v>5</v>
      </c>
      <c r="S766">
        <f>_xlfn.XLOOKUP(Table3[[#This Row],[Product Name]],Sales!A:A,Sales!D:D)</f>
        <v>0</v>
      </c>
      <c r="T766">
        <f>_xlfn.XLOOKUP(Table3[[#This Row],[Product Name]],Sales!A:A,Sales!E:E)</f>
        <v>15.552</v>
      </c>
    </row>
    <row r="767" spans="1:20" x14ac:dyDescent="0.3">
      <c r="A767">
        <v>762</v>
      </c>
      <c r="B767" t="s">
        <v>1925</v>
      </c>
      <c r="C767">
        <v>3</v>
      </c>
      <c r="D767">
        <v>11</v>
      </c>
      <c r="E767">
        <v>2021</v>
      </c>
      <c r="F767" t="s">
        <v>37</v>
      </c>
      <c r="G767" t="s">
        <v>279</v>
      </c>
      <c r="H767" t="s">
        <v>2645</v>
      </c>
      <c r="I767" t="s">
        <v>30</v>
      </c>
      <c r="J767" t="s">
        <v>2543</v>
      </c>
      <c r="K767" t="s">
        <v>20</v>
      </c>
      <c r="L767">
        <v>30318</v>
      </c>
      <c r="M767" t="s">
        <v>1926</v>
      </c>
      <c r="N767" t="s">
        <v>33</v>
      </c>
      <c r="O767" t="s">
        <v>34</v>
      </c>
      <c r="P767" t="s">
        <v>1927</v>
      </c>
      <c r="Q767">
        <f>_xlfn.XLOOKUP(Table3[[#This Row],[Product Name]],Sales!A:A,Sales!B:B)</f>
        <v>12.39</v>
      </c>
      <c r="R767">
        <f>_xlfn.XLOOKUP(Table3[[#This Row],[Product Name]],Sales!A:A,Sales!C:C)</f>
        <v>3</v>
      </c>
      <c r="S767">
        <f>_xlfn.XLOOKUP(Table3[[#This Row],[Product Name]],Sales!A:A,Sales!D:D)</f>
        <v>0</v>
      </c>
      <c r="T767">
        <f>_xlfn.XLOOKUP(Table3[[#This Row],[Product Name]],Sales!A:A,Sales!E:E)</f>
        <v>5.6993999999999998</v>
      </c>
    </row>
    <row r="768" spans="1:20" x14ac:dyDescent="0.3">
      <c r="A768">
        <v>763</v>
      </c>
      <c r="B768" t="s">
        <v>1928</v>
      </c>
      <c r="C768">
        <v>8</v>
      </c>
      <c r="D768">
        <v>2</v>
      </c>
      <c r="E768">
        <v>2019</v>
      </c>
      <c r="F768" t="s">
        <v>37</v>
      </c>
      <c r="G768" t="s">
        <v>1929</v>
      </c>
      <c r="H768" t="s">
        <v>2903</v>
      </c>
      <c r="I768" t="s">
        <v>19</v>
      </c>
      <c r="J768" t="s">
        <v>2452</v>
      </c>
      <c r="K768" t="s">
        <v>108</v>
      </c>
      <c r="L768">
        <v>43229</v>
      </c>
      <c r="M768" t="s">
        <v>525</v>
      </c>
      <c r="N768" t="s">
        <v>54</v>
      </c>
      <c r="O768" t="s">
        <v>55</v>
      </c>
      <c r="P768" t="s">
        <v>526</v>
      </c>
      <c r="Q768">
        <f>_xlfn.XLOOKUP(Table3[[#This Row],[Product Name]],Sales!A:A,Sales!B:B)</f>
        <v>143.976</v>
      </c>
      <c r="R768">
        <f>_xlfn.XLOOKUP(Table3[[#This Row],[Product Name]],Sales!A:A,Sales!C:C)</f>
        <v>3</v>
      </c>
      <c r="S768">
        <f>_xlfn.XLOOKUP(Table3[[#This Row],[Product Name]],Sales!A:A,Sales!D:D)</f>
        <v>0.2</v>
      </c>
      <c r="T768">
        <f>_xlfn.XLOOKUP(Table3[[#This Row],[Product Name]],Sales!A:A,Sales!E:E)</f>
        <v>8.9984999999999999</v>
      </c>
    </row>
    <row r="769" spans="1:20" x14ac:dyDescent="0.3">
      <c r="A769">
        <v>764</v>
      </c>
      <c r="B769" t="s">
        <v>1930</v>
      </c>
      <c r="C769">
        <v>13</v>
      </c>
      <c r="D769">
        <v>1</v>
      </c>
      <c r="E769">
        <v>2018</v>
      </c>
      <c r="F769" t="s">
        <v>17</v>
      </c>
      <c r="G769" t="s">
        <v>1931</v>
      </c>
      <c r="H769" t="s">
        <v>2904</v>
      </c>
      <c r="I769" t="s">
        <v>30</v>
      </c>
      <c r="J769" t="s">
        <v>2580</v>
      </c>
      <c r="K769" t="s">
        <v>20</v>
      </c>
      <c r="L769">
        <v>71111</v>
      </c>
      <c r="M769" t="s">
        <v>504</v>
      </c>
      <c r="N769" t="s">
        <v>33</v>
      </c>
      <c r="O769" t="s">
        <v>129</v>
      </c>
      <c r="P769" t="s">
        <v>505</v>
      </c>
      <c r="Q769">
        <f>_xlfn.XLOOKUP(Table3[[#This Row],[Product Name]],Sales!A:A,Sales!B:B)</f>
        <v>28.4</v>
      </c>
      <c r="R769">
        <f>_xlfn.XLOOKUP(Table3[[#This Row],[Product Name]],Sales!A:A,Sales!C:C)</f>
        <v>5</v>
      </c>
      <c r="S769">
        <f>_xlfn.XLOOKUP(Table3[[#This Row],[Product Name]],Sales!A:A,Sales!D:D)</f>
        <v>0</v>
      </c>
      <c r="T769">
        <f>_xlfn.XLOOKUP(Table3[[#This Row],[Product Name]],Sales!A:A,Sales!E:E)</f>
        <v>13.348000000000001</v>
      </c>
    </row>
    <row r="770" spans="1:20" x14ac:dyDescent="0.3">
      <c r="A770">
        <v>765</v>
      </c>
      <c r="B770" t="s">
        <v>1930</v>
      </c>
      <c r="C770">
        <v>13</v>
      </c>
      <c r="D770">
        <v>1</v>
      </c>
      <c r="E770">
        <v>2018</v>
      </c>
      <c r="F770" t="s">
        <v>17</v>
      </c>
      <c r="G770" t="s">
        <v>1931</v>
      </c>
      <c r="H770" t="s">
        <v>2904</v>
      </c>
      <c r="I770" t="s">
        <v>30</v>
      </c>
      <c r="J770" t="s">
        <v>2580</v>
      </c>
      <c r="K770" t="s">
        <v>20</v>
      </c>
      <c r="L770">
        <v>71111</v>
      </c>
      <c r="M770" t="s">
        <v>1932</v>
      </c>
      <c r="N770" t="s">
        <v>33</v>
      </c>
      <c r="O770" t="s">
        <v>129</v>
      </c>
      <c r="P770" t="s">
        <v>1933</v>
      </c>
      <c r="Q770">
        <f>_xlfn.XLOOKUP(Table3[[#This Row],[Product Name]],Sales!A:A,Sales!B:B)</f>
        <v>50.94</v>
      </c>
      <c r="R770">
        <f>_xlfn.XLOOKUP(Table3[[#This Row],[Product Name]],Sales!A:A,Sales!C:C)</f>
        <v>3</v>
      </c>
      <c r="S770">
        <f>_xlfn.XLOOKUP(Table3[[#This Row],[Product Name]],Sales!A:A,Sales!D:D)</f>
        <v>0</v>
      </c>
      <c r="T770">
        <f>_xlfn.XLOOKUP(Table3[[#This Row],[Product Name]],Sales!A:A,Sales!E:E)</f>
        <v>25.47</v>
      </c>
    </row>
    <row r="771" spans="1:20" x14ac:dyDescent="0.3">
      <c r="A771">
        <v>766</v>
      </c>
      <c r="B771" t="s">
        <v>1930</v>
      </c>
      <c r="C771">
        <v>13</v>
      </c>
      <c r="D771">
        <v>1</v>
      </c>
      <c r="E771">
        <v>2018</v>
      </c>
      <c r="F771" t="s">
        <v>17</v>
      </c>
      <c r="G771" t="s">
        <v>1931</v>
      </c>
      <c r="H771" t="s">
        <v>2904</v>
      </c>
      <c r="I771" t="s">
        <v>30</v>
      </c>
      <c r="J771" t="s">
        <v>2580</v>
      </c>
      <c r="K771" t="s">
        <v>20</v>
      </c>
      <c r="L771">
        <v>71111</v>
      </c>
      <c r="M771" t="s">
        <v>1934</v>
      </c>
      <c r="N771" t="s">
        <v>54</v>
      </c>
      <c r="O771" t="s">
        <v>118</v>
      </c>
      <c r="P771" t="s">
        <v>1935</v>
      </c>
      <c r="Q771">
        <f>_xlfn.XLOOKUP(Table3[[#This Row],[Product Name]],Sales!A:A,Sales!B:B)</f>
        <v>646.74</v>
      </c>
      <c r="R771">
        <f>_xlfn.XLOOKUP(Table3[[#This Row],[Product Name]],Sales!A:A,Sales!C:C)</f>
        <v>6</v>
      </c>
      <c r="S771">
        <f>_xlfn.XLOOKUP(Table3[[#This Row],[Product Name]],Sales!A:A,Sales!D:D)</f>
        <v>0</v>
      </c>
      <c r="T771">
        <f>_xlfn.XLOOKUP(Table3[[#This Row],[Product Name]],Sales!A:A,Sales!E:E)</f>
        <v>258.69600000000003</v>
      </c>
    </row>
    <row r="772" spans="1:20" x14ac:dyDescent="0.3">
      <c r="A772">
        <v>767</v>
      </c>
      <c r="B772" t="s">
        <v>1930</v>
      </c>
      <c r="C772">
        <v>13</v>
      </c>
      <c r="D772">
        <v>1</v>
      </c>
      <c r="E772">
        <v>2018</v>
      </c>
      <c r="F772" t="s">
        <v>17</v>
      </c>
      <c r="G772" t="s">
        <v>1931</v>
      </c>
      <c r="H772" t="s">
        <v>2904</v>
      </c>
      <c r="I772" t="s">
        <v>30</v>
      </c>
      <c r="J772" t="s">
        <v>2580</v>
      </c>
      <c r="K772" t="s">
        <v>20</v>
      </c>
      <c r="L772">
        <v>71111</v>
      </c>
      <c r="M772" t="s">
        <v>1936</v>
      </c>
      <c r="N772" t="s">
        <v>33</v>
      </c>
      <c r="O772" t="s">
        <v>58</v>
      </c>
      <c r="P772" t="s">
        <v>1937</v>
      </c>
      <c r="Q772">
        <f>_xlfn.XLOOKUP(Table3[[#This Row],[Product Name]],Sales!A:A,Sales!B:B)</f>
        <v>5.64</v>
      </c>
      <c r="R772">
        <f>_xlfn.XLOOKUP(Table3[[#This Row],[Product Name]],Sales!A:A,Sales!C:C)</f>
        <v>3</v>
      </c>
      <c r="S772">
        <f>_xlfn.XLOOKUP(Table3[[#This Row],[Product Name]],Sales!A:A,Sales!D:D)</f>
        <v>0</v>
      </c>
      <c r="T772">
        <f>_xlfn.XLOOKUP(Table3[[#This Row],[Product Name]],Sales!A:A,Sales!E:E)</f>
        <v>2.7071999999999998</v>
      </c>
    </row>
    <row r="773" spans="1:20" x14ac:dyDescent="0.3">
      <c r="A773">
        <v>768</v>
      </c>
      <c r="B773" t="s">
        <v>1930</v>
      </c>
      <c r="C773">
        <v>13</v>
      </c>
      <c r="D773">
        <v>1</v>
      </c>
      <c r="E773">
        <v>2018</v>
      </c>
      <c r="F773" t="s">
        <v>17</v>
      </c>
      <c r="G773" t="s">
        <v>1931</v>
      </c>
      <c r="H773" t="s">
        <v>2904</v>
      </c>
      <c r="I773" t="s">
        <v>30</v>
      </c>
      <c r="J773" t="s">
        <v>2580</v>
      </c>
      <c r="K773" t="s">
        <v>20</v>
      </c>
      <c r="L773">
        <v>71111</v>
      </c>
      <c r="M773" t="s">
        <v>1938</v>
      </c>
      <c r="N773" t="s">
        <v>33</v>
      </c>
      <c r="O773" t="s">
        <v>43</v>
      </c>
      <c r="P773" t="s">
        <v>1939</v>
      </c>
      <c r="Q773">
        <f>_xlfn.XLOOKUP(Table3[[#This Row],[Product Name]],Sales!A:A,Sales!B:B)</f>
        <v>572.58000000000004</v>
      </c>
      <c r="R773">
        <f>_xlfn.XLOOKUP(Table3[[#This Row],[Product Name]],Sales!A:A,Sales!C:C)</f>
        <v>6</v>
      </c>
      <c r="S773">
        <f>_xlfn.XLOOKUP(Table3[[#This Row],[Product Name]],Sales!A:A,Sales!D:D)</f>
        <v>0</v>
      </c>
      <c r="T773">
        <f>_xlfn.XLOOKUP(Table3[[#This Row],[Product Name]],Sales!A:A,Sales!E:E)</f>
        <v>34.354799999999997</v>
      </c>
    </row>
    <row r="774" spans="1:20" x14ac:dyDescent="0.3">
      <c r="A774">
        <v>769</v>
      </c>
      <c r="B774" t="s">
        <v>1940</v>
      </c>
      <c r="C774">
        <v>14</v>
      </c>
      <c r="D774">
        <v>5</v>
      </c>
      <c r="E774">
        <v>2018</v>
      </c>
      <c r="F774" t="s">
        <v>37</v>
      </c>
      <c r="G774" t="s">
        <v>1941</v>
      </c>
      <c r="H774" t="s">
        <v>2905</v>
      </c>
      <c r="I774" t="s">
        <v>30</v>
      </c>
      <c r="J774" t="s">
        <v>2502</v>
      </c>
      <c r="K774" t="s">
        <v>20</v>
      </c>
      <c r="L774">
        <v>33710</v>
      </c>
      <c r="M774" t="s">
        <v>1942</v>
      </c>
      <c r="N774" t="s">
        <v>22</v>
      </c>
      <c r="O774" t="s">
        <v>48</v>
      </c>
      <c r="P774" t="s">
        <v>1943</v>
      </c>
      <c r="Q774">
        <f>_xlfn.XLOOKUP(Table3[[#This Row],[Product Name]],Sales!A:A,Sales!B:B)</f>
        <v>310.88</v>
      </c>
      <c r="R774">
        <f>_xlfn.XLOOKUP(Table3[[#This Row],[Product Name]],Sales!A:A,Sales!C:C)</f>
        <v>2</v>
      </c>
      <c r="S774">
        <f>_xlfn.XLOOKUP(Table3[[#This Row],[Product Name]],Sales!A:A,Sales!D:D)</f>
        <v>0.2</v>
      </c>
      <c r="T774">
        <f>_xlfn.XLOOKUP(Table3[[#This Row],[Product Name]],Sales!A:A,Sales!E:E)</f>
        <v>23.315999999999999</v>
      </c>
    </row>
    <row r="775" spans="1:20" x14ac:dyDescent="0.3">
      <c r="A775">
        <v>770</v>
      </c>
      <c r="B775" t="s">
        <v>1944</v>
      </c>
      <c r="C775">
        <v>19</v>
      </c>
      <c r="D775">
        <v>5</v>
      </c>
      <c r="E775">
        <v>2020</v>
      </c>
      <c r="F775" t="s">
        <v>37</v>
      </c>
      <c r="G775" t="s">
        <v>626</v>
      </c>
      <c r="H775" t="s">
        <v>2707</v>
      </c>
      <c r="I775" t="s">
        <v>19</v>
      </c>
      <c r="J775" t="s">
        <v>2499</v>
      </c>
      <c r="K775" t="s">
        <v>20</v>
      </c>
      <c r="L775">
        <v>22204</v>
      </c>
      <c r="M775" t="s">
        <v>1945</v>
      </c>
      <c r="N775" t="s">
        <v>22</v>
      </c>
      <c r="O775" t="s">
        <v>26</v>
      </c>
      <c r="P775" t="s">
        <v>1946</v>
      </c>
      <c r="Q775">
        <f>_xlfn.XLOOKUP(Table3[[#This Row],[Product Name]],Sales!A:A,Sales!B:B)</f>
        <v>641.96</v>
      </c>
      <c r="R775">
        <f>_xlfn.XLOOKUP(Table3[[#This Row],[Product Name]],Sales!A:A,Sales!C:C)</f>
        <v>2</v>
      </c>
      <c r="S775">
        <f>_xlfn.XLOOKUP(Table3[[#This Row],[Product Name]],Sales!A:A,Sales!D:D)</f>
        <v>0</v>
      </c>
      <c r="T775">
        <f>_xlfn.XLOOKUP(Table3[[#This Row],[Product Name]],Sales!A:A,Sales!E:E)</f>
        <v>179.74879999999999</v>
      </c>
    </row>
    <row r="776" spans="1:20" x14ac:dyDescent="0.3">
      <c r="A776">
        <v>771</v>
      </c>
      <c r="B776" t="s">
        <v>1947</v>
      </c>
      <c r="C776">
        <v>30</v>
      </c>
      <c r="D776">
        <v>1</v>
      </c>
      <c r="E776">
        <v>2021</v>
      </c>
      <c r="F776" t="s">
        <v>37</v>
      </c>
      <c r="G776" t="s">
        <v>1948</v>
      </c>
      <c r="H776" t="s">
        <v>2906</v>
      </c>
      <c r="I776" t="s">
        <v>30</v>
      </c>
      <c r="J776" t="s">
        <v>2581</v>
      </c>
      <c r="K776" t="s">
        <v>79</v>
      </c>
      <c r="L776">
        <v>50315</v>
      </c>
      <c r="M776" t="s">
        <v>1949</v>
      </c>
      <c r="N776" t="s">
        <v>33</v>
      </c>
      <c r="O776" t="s">
        <v>58</v>
      </c>
      <c r="P776" t="s">
        <v>1950</v>
      </c>
      <c r="Q776">
        <f>_xlfn.XLOOKUP(Table3[[#This Row],[Product Name]],Sales!A:A,Sales!B:B)</f>
        <v>18.28</v>
      </c>
      <c r="R776">
        <f>_xlfn.XLOOKUP(Table3[[#This Row],[Product Name]],Sales!A:A,Sales!C:C)</f>
        <v>2</v>
      </c>
      <c r="S776">
        <f>_xlfn.XLOOKUP(Table3[[#This Row],[Product Name]],Sales!A:A,Sales!D:D)</f>
        <v>0</v>
      </c>
      <c r="T776">
        <f>_xlfn.XLOOKUP(Table3[[#This Row],[Product Name]],Sales!A:A,Sales!E:E)</f>
        <v>9.14</v>
      </c>
    </row>
    <row r="777" spans="1:20" x14ac:dyDescent="0.3">
      <c r="A777">
        <v>772</v>
      </c>
      <c r="B777" t="s">
        <v>1947</v>
      </c>
      <c r="C777">
        <v>30</v>
      </c>
      <c r="D777">
        <v>1</v>
      </c>
      <c r="E777">
        <v>2021</v>
      </c>
      <c r="F777" t="s">
        <v>37</v>
      </c>
      <c r="G777" t="s">
        <v>1948</v>
      </c>
      <c r="H777" t="s">
        <v>2906</v>
      </c>
      <c r="I777" t="s">
        <v>30</v>
      </c>
      <c r="J777" t="s">
        <v>2581</v>
      </c>
      <c r="K777" t="s">
        <v>79</v>
      </c>
      <c r="L777">
        <v>50315</v>
      </c>
      <c r="M777" t="s">
        <v>938</v>
      </c>
      <c r="N777" t="s">
        <v>54</v>
      </c>
      <c r="O777" t="s">
        <v>55</v>
      </c>
      <c r="P777" t="s">
        <v>939</v>
      </c>
      <c r="Q777">
        <f>_xlfn.XLOOKUP(Table3[[#This Row],[Product Name]],Sales!A:A,Sales!B:B)</f>
        <v>82.8</v>
      </c>
      <c r="R777">
        <f>_xlfn.XLOOKUP(Table3[[#This Row],[Product Name]],Sales!A:A,Sales!C:C)</f>
        <v>2</v>
      </c>
      <c r="S777">
        <f>_xlfn.XLOOKUP(Table3[[#This Row],[Product Name]],Sales!A:A,Sales!D:D)</f>
        <v>0.4</v>
      </c>
      <c r="T777">
        <f>_xlfn.XLOOKUP(Table3[[#This Row],[Product Name]],Sales!A:A,Sales!E:E)</f>
        <v>-20.7</v>
      </c>
    </row>
    <row r="778" spans="1:20" x14ac:dyDescent="0.3">
      <c r="A778">
        <v>773</v>
      </c>
      <c r="B778" t="s">
        <v>1947</v>
      </c>
      <c r="C778">
        <v>30</v>
      </c>
      <c r="D778">
        <v>1</v>
      </c>
      <c r="E778">
        <v>2021</v>
      </c>
      <c r="F778" t="s">
        <v>37</v>
      </c>
      <c r="G778" t="s">
        <v>1948</v>
      </c>
      <c r="H778" t="s">
        <v>2906</v>
      </c>
      <c r="I778" t="s">
        <v>30</v>
      </c>
      <c r="J778" t="s">
        <v>2581</v>
      </c>
      <c r="K778" t="s">
        <v>79</v>
      </c>
      <c r="L778">
        <v>50315</v>
      </c>
      <c r="M778" t="s">
        <v>1951</v>
      </c>
      <c r="N778" t="s">
        <v>33</v>
      </c>
      <c r="O778" t="s">
        <v>58</v>
      </c>
      <c r="P778" t="s">
        <v>1952</v>
      </c>
      <c r="Q778">
        <f>_xlfn.XLOOKUP(Table3[[#This Row],[Product Name]],Sales!A:A,Sales!B:B)</f>
        <v>32.35</v>
      </c>
      <c r="R778">
        <f>_xlfn.XLOOKUP(Table3[[#This Row],[Product Name]],Sales!A:A,Sales!C:C)</f>
        <v>5</v>
      </c>
      <c r="S778">
        <f>_xlfn.XLOOKUP(Table3[[#This Row],[Product Name]],Sales!A:A,Sales!D:D)</f>
        <v>0</v>
      </c>
      <c r="T778">
        <f>_xlfn.XLOOKUP(Table3[[#This Row],[Product Name]],Sales!A:A,Sales!E:E)</f>
        <v>16.175000000000001</v>
      </c>
    </row>
    <row r="779" spans="1:20" x14ac:dyDescent="0.3">
      <c r="A779">
        <v>774</v>
      </c>
      <c r="B779" t="s">
        <v>1947</v>
      </c>
      <c r="C779">
        <v>30</v>
      </c>
      <c r="D779">
        <v>1</v>
      </c>
      <c r="E779">
        <v>2021</v>
      </c>
      <c r="F779" t="s">
        <v>37</v>
      </c>
      <c r="G779" t="s">
        <v>1948</v>
      </c>
      <c r="H779" t="s">
        <v>2906</v>
      </c>
      <c r="I779" t="s">
        <v>30</v>
      </c>
      <c r="J779" t="s">
        <v>2581</v>
      </c>
      <c r="K779" t="s">
        <v>79</v>
      </c>
      <c r="L779">
        <v>50315</v>
      </c>
      <c r="M779" t="s">
        <v>57</v>
      </c>
      <c r="N779" t="s">
        <v>33</v>
      </c>
      <c r="O779" t="s">
        <v>58</v>
      </c>
      <c r="P779" t="s">
        <v>59</v>
      </c>
      <c r="Q779">
        <f>_xlfn.XLOOKUP(Table3[[#This Row],[Product Name]],Sales!A:A,Sales!B:B)</f>
        <v>18.504000000000001</v>
      </c>
      <c r="R779">
        <f>_xlfn.XLOOKUP(Table3[[#This Row],[Product Name]],Sales!A:A,Sales!C:C)</f>
        <v>3</v>
      </c>
      <c r="S779">
        <f>_xlfn.XLOOKUP(Table3[[#This Row],[Product Name]],Sales!A:A,Sales!D:D)</f>
        <v>0.2</v>
      </c>
      <c r="T779">
        <f>_xlfn.XLOOKUP(Table3[[#This Row],[Product Name]],Sales!A:A,Sales!E:E)</f>
        <v>5.7824999999999998</v>
      </c>
    </row>
    <row r="780" spans="1:20" x14ac:dyDescent="0.3">
      <c r="A780">
        <v>775</v>
      </c>
      <c r="B780" t="s">
        <v>1947</v>
      </c>
      <c r="C780">
        <v>30</v>
      </c>
      <c r="D780">
        <v>1</v>
      </c>
      <c r="E780">
        <v>2021</v>
      </c>
      <c r="F780" t="s">
        <v>37</v>
      </c>
      <c r="G780" t="s">
        <v>1948</v>
      </c>
      <c r="H780" t="s">
        <v>2906</v>
      </c>
      <c r="I780" t="s">
        <v>30</v>
      </c>
      <c r="J780" t="s">
        <v>2581</v>
      </c>
      <c r="K780" t="s">
        <v>79</v>
      </c>
      <c r="L780">
        <v>50315</v>
      </c>
      <c r="M780" t="s">
        <v>1953</v>
      </c>
      <c r="N780" t="s">
        <v>33</v>
      </c>
      <c r="O780" t="s">
        <v>51</v>
      </c>
      <c r="P780" t="s">
        <v>1954</v>
      </c>
      <c r="Q780">
        <f>_xlfn.XLOOKUP(Table3[[#This Row],[Product Name]],Sales!A:A,Sales!B:B)</f>
        <v>40.299999999999997</v>
      </c>
      <c r="R780">
        <f>_xlfn.XLOOKUP(Table3[[#This Row],[Product Name]],Sales!A:A,Sales!C:C)</f>
        <v>2</v>
      </c>
      <c r="S780">
        <f>_xlfn.XLOOKUP(Table3[[#This Row],[Product Name]],Sales!A:A,Sales!D:D)</f>
        <v>0</v>
      </c>
      <c r="T780">
        <f>_xlfn.XLOOKUP(Table3[[#This Row],[Product Name]],Sales!A:A,Sales!E:E)</f>
        <v>10.881</v>
      </c>
    </row>
    <row r="781" spans="1:20" x14ac:dyDescent="0.3">
      <c r="A781">
        <v>776</v>
      </c>
      <c r="B781" t="s">
        <v>1947</v>
      </c>
      <c r="C781">
        <v>30</v>
      </c>
      <c r="D781">
        <v>1</v>
      </c>
      <c r="E781">
        <v>2021</v>
      </c>
      <c r="F781" t="s">
        <v>37</v>
      </c>
      <c r="G781" t="s">
        <v>1948</v>
      </c>
      <c r="H781" t="s">
        <v>2906</v>
      </c>
      <c r="I781" t="s">
        <v>30</v>
      </c>
      <c r="J781" t="s">
        <v>2581</v>
      </c>
      <c r="K781" t="s">
        <v>79</v>
      </c>
      <c r="L781">
        <v>50315</v>
      </c>
      <c r="M781" t="s">
        <v>1955</v>
      </c>
      <c r="N781" t="s">
        <v>22</v>
      </c>
      <c r="O781" t="s">
        <v>48</v>
      </c>
      <c r="P781" t="s">
        <v>1956</v>
      </c>
      <c r="Q781">
        <f>_xlfn.XLOOKUP(Table3[[#This Row],[Product Name]],Sales!A:A,Sales!B:B)</f>
        <v>34.58</v>
      </c>
      <c r="R781">
        <f>_xlfn.XLOOKUP(Table3[[#This Row],[Product Name]],Sales!A:A,Sales!C:C)</f>
        <v>7</v>
      </c>
      <c r="S781">
        <f>_xlfn.XLOOKUP(Table3[[#This Row],[Product Name]],Sales!A:A,Sales!D:D)</f>
        <v>0</v>
      </c>
      <c r="T781">
        <f>_xlfn.XLOOKUP(Table3[[#This Row],[Product Name]],Sales!A:A,Sales!E:E)</f>
        <v>14.5236</v>
      </c>
    </row>
    <row r="782" spans="1:20" x14ac:dyDescent="0.3">
      <c r="A782">
        <v>777</v>
      </c>
      <c r="B782" t="s">
        <v>1957</v>
      </c>
      <c r="C782">
        <v>29</v>
      </c>
      <c r="D782">
        <v>6</v>
      </c>
      <c r="E782">
        <v>2018</v>
      </c>
      <c r="F782" t="s">
        <v>37</v>
      </c>
      <c r="G782" t="s">
        <v>1958</v>
      </c>
      <c r="H782" t="s">
        <v>2907</v>
      </c>
      <c r="I782" t="s">
        <v>19</v>
      </c>
      <c r="J782" t="s">
        <v>2492</v>
      </c>
      <c r="K782" t="s">
        <v>108</v>
      </c>
      <c r="L782">
        <v>45231</v>
      </c>
      <c r="M782" t="s">
        <v>1959</v>
      </c>
      <c r="N782" t="s">
        <v>33</v>
      </c>
      <c r="O782" t="s">
        <v>51</v>
      </c>
      <c r="P782" t="s">
        <v>1960</v>
      </c>
      <c r="Q782">
        <f>_xlfn.XLOOKUP(Table3[[#This Row],[Product Name]],Sales!A:A,Sales!B:B)</f>
        <v>32.76</v>
      </c>
      <c r="R782">
        <f>_xlfn.XLOOKUP(Table3[[#This Row],[Product Name]],Sales!A:A,Sales!C:C)</f>
        <v>7</v>
      </c>
      <c r="S782">
        <f>_xlfn.XLOOKUP(Table3[[#This Row],[Product Name]],Sales!A:A,Sales!D:D)</f>
        <v>0.2</v>
      </c>
      <c r="T782">
        <f>_xlfn.XLOOKUP(Table3[[#This Row],[Product Name]],Sales!A:A,Sales!E:E)</f>
        <v>3.6855000000000002</v>
      </c>
    </row>
    <row r="783" spans="1:20" x14ac:dyDescent="0.3">
      <c r="A783">
        <v>778</v>
      </c>
      <c r="B783" t="s">
        <v>1961</v>
      </c>
      <c r="C783">
        <v>21</v>
      </c>
      <c r="D783">
        <v>8</v>
      </c>
      <c r="E783">
        <v>2019</v>
      </c>
      <c r="F783" t="s">
        <v>142</v>
      </c>
      <c r="G783" t="s">
        <v>828</v>
      </c>
      <c r="H783" t="s">
        <v>2735</v>
      </c>
      <c r="I783" t="s">
        <v>78</v>
      </c>
      <c r="J783" t="s">
        <v>2422</v>
      </c>
      <c r="K783" t="s">
        <v>31</v>
      </c>
      <c r="L783">
        <v>94110</v>
      </c>
      <c r="M783" t="s">
        <v>1962</v>
      </c>
      <c r="N783" t="s">
        <v>22</v>
      </c>
      <c r="O783" t="s">
        <v>26</v>
      </c>
      <c r="P783" t="s">
        <v>1963</v>
      </c>
      <c r="Q783">
        <f>_xlfn.XLOOKUP(Table3[[#This Row],[Product Name]],Sales!A:A,Sales!B:B)</f>
        <v>544.00800000000004</v>
      </c>
      <c r="R783">
        <f>_xlfn.XLOOKUP(Table3[[#This Row],[Product Name]],Sales!A:A,Sales!C:C)</f>
        <v>3</v>
      </c>
      <c r="S783">
        <f>_xlfn.XLOOKUP(Table3[[#This Row],[Product Name]],Sales!A:A,Sales!D:D)</f>
        <v>0.2</v>
      </c>
      <c r="T783">
        <f>_xlfn.XLOOKUP(Table3[[#This Row],[Product Name]],Sales!A:A,Sales!E:E)</f>
        <v>40.800600000000003</v>
      </c>
    </row>
    <row r="784" spans="1:20" x14ac:dyDescent="0.3">
      <c r="A784">
        <v>779</v>
      </c>
      <c r="B784" t="s">
        <v>1961</v>
      </c>
      <c r="C784">
        <v>21</v>
      </c>
      <c r="D784">
        <v>8</v>
      </c>
      <c r="E784">
        <v>2019</v>
      </c>
      <c r="F784" t="s">
        <v>142</v>
      </c>
      <c r="G784" t="s">
        <v>828</v>
      </c>
      <c r="H784" t="s">
        <v>2735</v>
      </c>
      <c r="I784" t="s">
        <v>78</v>
      </c>
      <c r="J784" t="s">
        <v>2422</v>
      </c>
      <c r="K784" t="s">
        <v>31</v>
      </c>
      <c r="L784">
        <v>94110</v>
      </c>
      <c r="M784" t="s">
        <v>1139</v>
      </c>
      <c r="N784" t="s">
        <v>33</v>
      </c>
      <c r="O784" t="s">
        <v>70</v>
      </c>
      <c r="P784" t="s">
        <v>1140</v>
      </c>
      <c r="Q784">
        <f>_xlfn.XLOOKUP(Table3[[#This Row],[Product Name]],Sales!A:A,Sales!B:B)</f>
        <v>139.86000000000001</v>
      </c>
      <c r="R784">
        <f>_xlfn.XLOOKUP(Table3[[#This Row],[Product Name]],Sales!A:A,Sales!C:C)</f>
        <v>7</v>
      </c>
      <c r="S784">
        <f>_xlfn.XLOOKUP(Table3[[#This Row],[Product Name]],Sales!A:A,Sales!D:D)</f>
        <v>0</v>
      </c>
      <c r="T784">
        <f>_xlfn.XLOOKUP(Table3[[#This Row],[Product Name]],Sales!A:A,Sales!E:E)</f>
        <v>65.734200000000001</v>
      </c>
    </row>
    <row r="785" spans="1:20" x14ac:dyDescent="0.3">
      <c r="A785">
        <v>780</v>
      </c>
      <c r="B785" t="s">
        <v>1961</v>
      </c>
      <c r="C785">
        <v>21</v>
      </c>
      <c r="D785">
        <v>8</v>
      </c>
      <c r="E785">
        <v>2019</v>
      </c>
      <c r="F785" t="s">
        <v>142</v>
      </c>
      <c r="G785" t="s">
        <v>828</v>
      </c>
      <c r="H785" t="s">
        <v>2735</v>
      </c>
      <c r="I785" t="s">
        <v>78</v>
      </c>
      <c r="J785" t="s">
        <v>2422</v>
      </c>
      <c r="K785" t="s">
        <v>31</v>
      </c>
      <c r="L785">
        <v>94110</v>
      </c>
      <c r="M785" t="s">
        <v>1111</v>
      </c>
      <c r="N785" t="s">
        <v>33</v>
      </c>
      <c r="O785" t="s">
        <v>70</v>
      </c>
      <c r="P785" t="s">
        <v>1112</v>
      </c>
      <c r="Q785">
        <f>_xlfn.XLOOKUP(Table3[[#This Row],[Product Name]],Sales!A:A,Sales!B:B)</f>
        <v>9.5679999999999996</v>
      </c>
      <c r="R785">
        <f>_xlfn.XLOOKUP(Table3[[#This Row],[Product Name]],Sales!A:A,Sales!C:C)</f>
        <v>2</v>
      </c>
      <c r="S785">
        <f>_xlfn.XLOOKUP(Table3[[#This Row],[Product Name]],Sales!A:A,Sales!D:D)</f>
        <v>0.2</v>
      </c>
      <c r="T785">
        <f>_xlfn.XLOOKUP(Table3[[#This Row],[Product Name]],Sales!A:A,Sales!E:E)</f>
        <v>3.4683999999999999</v>
      </c>
    </row>
    <row r="786" spans="1:20" x14ac:dyDescent="0.3">
      <c r="A786">
        <v>781</v>
      </c>
      <c r="B786" t="s">
        <v>1961</v>
      </c>
      <c r="C786">
        <v>21</v>
      </c>
      <c r="D786">
        <v>8</v>
      </c>
      <c r="E786">
        <v>2019</v>
      </c>
      <c r="F786" t="s">
        <v>142</v>
      </c>
      <c r="G786" t="s">
        <v>828</v>
      </c>
      <c r="H786" t="s">
        <v>2735</v>
      </c>
      <c r="I786" t="s">
        <v>78</v>
      </c>
      <c r="J786" t="s">
        <v>2422</v>
      </c>
      <c r="K786" t="s">
        <v>31</v>
      </c>
      <c r="L786">
        <v>94110</v>
      </c>
      <c r="M786" t="s">
        <v>1964</v>
      </c>
      <c r="N786" t="s">
        <v>33</v>
      </c>
      <c r="O786" t="s">
        <v>70</v>
      </c>
      <c r="P786" t="s">
        <v>1965</v>
      </c>
      <c r="Q786">
        <f>_xlfn.XLOOKUP(Table3[[#This Row],[Product Name]],Sales!A:A,Sales!B:B)</f>
        <v>4.28</v>
      </c>
      <c r="R786">
        <f>_xlfn.XLOOKUP(Table3[[#This Row],[Product Name]],Sales!A:A,Sales!C:C)</f>
        <v>1</v>
      </c>
      <c r="S786">
        <f>_xlfn.XLOOKUP(Table3[[#This Row],[Product Name]],Sales!A:A,Sales!D:D)</f>
        <v>0</v>
      </c>
      <c r="T786">
        <f>_xlfn.XLOOKUP(Table3[[#This Row],[Product Name]],Sales!A:A,Sales!E:E)</f>
        <v>1.9259999999999999</v>
      </c>
    </row>
    <row r="787" spans="1:20" x14ac:dyDescent="0.3">
      <c r="A787">
        <v>782</v>
      </c>
      <c r="B787" t="s">
        <v>1966</v>
      </c>
      <c r="C787">
        <v>3</v>
      </c>
      <c r="D787">
        <v>10</v>
      </c>
      <c r="E787">
        <v>2019</v>
      </c>
      <c r="F787" t="s">
        <v>17</v>
      </c>
      <c r="G787" t="s">
        <v>1967</v>
      </c>
      <c r="H787" t="s">
        <v>2908</v>
      </c>
      <c r="I787" t="s">
        <v>19</v>
      </c>
      <c r="J787" t="s">
        <v>2452</v>
      </c>
      <c r="K787" t="s">
        <v>108</v>
      </c>
      <c r="L787">
        <v>43229</v>
      </c>
      <c r="M787" t="s">
        <v>1259</v>
      </c>
      <c r="N787" t="s">
        <v>33</v>
      </c>
      <c r="O787" t="s">
        <v>58</v>
      </c>
      <c r="P787" t="s">
        <v>1260</v>
      </c>
      <c r="Q787">
        <f>_xlfn.XLOOKUP(Table3[[#This Row],[Product Name]],Sales!A:A,Sales!B:B)</f>
        <v>51.311999999999998</v>
      </c>
      <c r="R787">
        <f>_xlfn.XLOOKUP(Table3[[#This Row],[Product Name]],Sales!A:A,Sales!C:C)</f>
        <v>3</v>
      </c>
      <c r="S787">
        <f>_xlfn.XLOOKUP(Table3[[#This Row],[Product Name]],Sales!A:A,Sales!D:D)</f>
        <v>0.2</v>
      </c>
      <c r="T787">
        <f>_xlfn.XLOOKUP(Table3[[#This Row],[Product Name]],Sales!A:A,Sales!E:E)</f>
        <v>18.6006</v>
      </c>
    </row>
    <row r="788" spans="1:20" x14ac:dyDescent="0.3">
      <c r="A788">
        <v>783</v>
      </c>
      <c r="B788" t="s">
        <v>1966</v>
      </c>
      <c r="C788">
        <v>3</v>
      </c>
      <c r="D788">
        <v>10</v>
      </c>
      <c r="E788">
        <v>2019</v>
      </c>
      <c r="F788" t="s">
        <v>17</v>
      </c>
      <c r="G788" t="s">
        <v>1967</v>
      </c>
      <c r="H788" t="s">
        <v>2908</v>
      </c>
      <c r="I788" t="s">
        <v>19</v>
      </c>
      <c r="J788" t="s">
        <v>2452</v>
      </c>
      <c r="K788" t="s">
        <v>108</v>
      </c>
      <c r="L788">
        <v>43229</v>
      </c>
      <c r="M788" t="s">
        <v>182</v>
      </c>
      <c r="N788" t="s">
        <v>54</v>
      </c>
      <c r="O788" t="s">
        <v>118</v>
      </c>
      <c r="P788" t="s">
        <v>183</v>
      </c>
      <c r="Q788">
        <f>_xlfn.XLOOKUP(Table3[[#This Row],[Product Name]],Sales!A:A,Sales!B:B)</f>
        <v>45</v>
      </c>
      <c r="R788">
        <f>_xlfn.XLOOKUP(Table3[[#This Row],[Product Name]],Sales!A:A,Sales!C:C)</f>
        <v>3</v>
      </c>
      <c r="S788">
        <f>_xlfn.XLOOKUP(Table3[[#This Row],[Product Name]],Sales!A:A,Sales!D:D)</f>
        <v>0</v>
      </c>
      <c r="T788">
        <f>_xlfn.XLOOKUP(Table3[[#This Row],[Product Name]],Sales!A:A,Sales!E:E)</f>
        <v>4.95</v>
      </c>
    </row>
    <row r="789" spans="1:20" x14ac:dyDescent="0.3">
      <c r="A789">
        <v>784</v>
      </c>
      <c r="B789" t="s">
        <v>1966</v>
      </c>
      <c r="C789">
        <v>3</v>
      </c>
      <c r="D789">
        <v>10</v>
      </c>
      <c r="E789">
        <v>2019</v>
      </c>
      <c r="F789" t="s">
        <v>17</v>
      </c>
      <c r="G789" t="s">
        <v>1967</v>
      </c>
      <c r="H789" t="s">
        <v>2908</v>
      </c>
      <c r="I789" t="s">
        <v>19</v>
      </c>
      <c r="J789" t="s">
        <v>2452</v>
      </c>
      <c r="K789" t="s">
        <v>108</v>
      </c>
      <c r="L789">
        <v>43229</v>
      </c>
      <c r="M789" t="s">
        <v>1968</v>
      </c>
      <c r="N789" t="s">
        <v>22</v>
      </c>
      <c r="O789" t="s">
        <v>23</v>
      </c>
      <c r="P789" t="s">
        <v>1969</v>
      </c>
      <c r="Q789">
        <f>_xlfn.XLOOKUP(Table3[[#This Row],[Product Name]],Sales!A:A,Sales!B:B)</f>
        <v>35.49</v>
      </c>
      <c r="R789">
        <f>_xlfn.XLOOKUP(Table3[[#This Row],[Product Name]],Sales!A:A,Sales!C:C)</f>
        <v>1</v>
      </c>
      <c r="S789">
        <f>_xlfn.XLOOKUP(Table3[[#This Row],[Product Name]],Sales!A:A,Sales!D:D)</f>
        <v>0.5</v>
      </c>
      <c r="T789">
        <f>_xlfn.XLOOKUP(Table3[[#This Row],[Product Name]],Sales!A:A,Sales!E:E)</f>
        <v>-15.615600000000001</v>
      </c>
    </row>
    <row r="790" spans="1:20" x14ac:dyDescent="0.3">
      <c r="A790">
        <v>785</v>
      </c>
      <c r="B790" t="s">
        <v>1966</v>
      </c>
      <c r="C790">
        <v>3</v>
      </c>
      <c r="D790">
        <v>10</v>
      </c>
      <c r="E790">
        <v>2019</v>
      </c>
      <c r="F790" t="s">
        <v>17</v>
      </c>
      <c r="G790" t="s">
        <v>1967</v>
      </c>
      <c r="H790" t="s">
        <v>2908</v>
      </c>
      <c r="I790" t="s">
        <v>19</v>
      </c>
      <c r="J790" t="s">
        <v>2452</v>
      </c>
      <c r="K790" t="s">
        <v>108</v>
      </c>
      <c r="L790">
        <v>43229</v>
      </c>
      <c r="M790" t="s">
        <v>1970</v>
      </c>
      <c r="N790" t="s">
        <v>54</v>
      </c>
      <c r="O790" t="s">
        <v>118</v>
      </c>
      <c r="P790" t="s">
        <v>1971</v>
      </c>
      <c r="Q790">
        <f>_xlfn.XLOOKUP(Table3[[#This Row],[Product Name]],Sales!A:A,Sales!B:B)</f>
        <v>47.984000000000002</v>
      </c>
      <c r="R790">
        <f>_xlfn.XLOOKUP(Table3[[#This Row],[Product Name]],Sales!A:A,Sales!C:C)</f>
        <v>2</v>
      </c>
      <c r="S790">
        <f>_xlfn.XLOOKUP(Table3[[#This Row],[Product Name]],Sales!A:A,Sales!D:D)</f>
        <v>0.2</v>
      </c>
      <c r="T790">
        <f>_xlfn.XLOOKUP(Table3[[#This Row],[Product Name]],Sales!A:A,Sales!E:E)</f>
        <v>0.5998</v>
      </c>
    </row>
    <row r="791" spans="1:20" x14ac:dyDescent="0.3">
      <c r="A791">
        <v>786</v>
      </c>
      <c r="B791" t="s">
        <v>1972</v>
      </c>
      <c r="C791">
        <v>23</v>
      </c>
      <c r="D791">
        <v>5</v>
      </c>
      <c r="E791">
        <v>2019</v>
      </c>
      <c r="F791" t="s">
        <v>37</v>
      </c>
      <c r="G791" t="s">
        <v>684</v>
      </c>
      <c r="H791" t="s">
        <v>2715</v>
      </c>
      <c r="I791" t="s">
        <v>30</v>
      </c>
      <c r="J791" t="s">
        <v>2443</v>
      </c>
      <c r="K791" t="s">
        <v>20</v>
      </c>
      <c r="L791">
        <v>29203</v>
      </c>
      <c r="M791" t="s">
        <v>1973</v>
      </c>
      <c r="N791" t="s">
        <v>33</v>
      </c>
      <c r="O791" t="s">
        <v>129</v>
      </c>
      <c r="P791" t="s">
        <v>1974</v>
      </c>
      <c r="Q791">
        <f>_xlfn.XLOOKUP(Table3[[#This Row],[Product Name]],Sales!A:A,Sales!B:B)</f>
        <v>186.69</v>
      </c>
      <c r="R791">
        <f>_xlfn.XLOOKUP(Table3[[#This Row],[Product Name]],Sales!A:A,Sales!C:C)</f>
        <v>3</v>
      </c>
      <c r="S791">
        <f>_xlfn.XLOOKUP(Table3[[#This Row],[Product Name]],Sales!A:A,Sales!D:D)</f>
        <v>0</v>
      </c>
      <c r="T791">
        <f>_xlfn.XLOOKUP(Table3[[#This Row],[Product Name]],Sales!A:A,Sales!E:E)</f>
        <v>87.744299999999996</v>
      </c>
    </row>
    <row r="792" spans="1:20" x14ac:dyDescent="0.3">
      <c r="A792">
        <v>787</v>
      </c>
      <c r="B792" t="s">
        <v>1975</v>
      </c>
      <c r="C792">
        <v>17</v>
      </c>
      <c r="D792">
        <v>3</v>
      </c>
      <c r="E792">
        <v>2021</v>
      </c>
      <c r="F792" t="s">
        <v>17</v>
      </c>
      <c r="G792" t="s">
        <v>366</v>
      </c>
      <c r="H792" t="s">
        <v>2662</v>
      </c>
      <c r="I792" t="s">
        <v>19</v>
      </c>
      <c r="J792" t="s">
        <v>2582</v>
      </c>
      <c r="K792" t="s">
        <v>31</v>
      </c>
      <c r="L792">
        <v>93534</v>
      </c>
      <c r="M792" t="s">
        <v>1976</v>
      </c>
      <c r="N792" t="s">
        <v>33</v>
      </c>
      <c r="O792" t="s">
        <v>58</v>
      </c>
      <c r="P792" t="s">
        <v>1977</v>
      </c>
      <c r="Q792">
        <f>_xlfn.XLOOKUP(Table3[[#This Row],[Product Name]],Sales!A:A,Sales!B:B)</f>
        <v>17.456</v>
      </c>
      <c r="R792">
        <f>_xlfn.XLOOKUP(Table3[[#This Row],[Product Name]],Sales!A:A,Sales!C:C)</f>
        <v>2</v>
      </c>
      <c r="S792">
        <f>_xlfn.XLOOKUP(Table3[[#This Row],[Product Name]],Sales!A:A,Sales!D:D)</f>
        <v>0.2</v>
      </c>
      <c r="T792">
        <f>_xlfn.XLOOKUP(Table3[[#This Row],[Product Name]],Sales!A:A,Sales!E:E)</f>
        <v>5.8914</v>
      </c>
    </row>
    <row r="793" spans="1:20" x14ac:dyDescent="0.3">
      <c r="A793">
        <v>788</v>
      </c>
      <c r="B793" t="s">
        <v>1978</v>
      </c>
      <c r="C793">
        <v>12</v>
      </c>
      <c r="D793">
        <v>12</v>
      </c>
      <c r="E793">
        <v>2019</v>
      </c>
      <c r="F793" t="s">
        <v>37</v>
      </c>
      <c r="G793" t="s">
        <v>1979</v>
      </c>
      <c r="H793" t="s">
        <v>2909</v>
      </c>
      <c r="I793" t="s">
        <v>19</v>
      </c>
      <c r="J793" t="s">
        <v>2582</v>
      </c>
      <c r="K793" t="s">
        <v>31</v>
      </c>
      <c r="L793">
        <v>93534</v>
      </c>
      <c r="M793" t="s">
        <v>1980</v>
      </c>
      <c r="N793" t="s">
        <v>22</v>
      </c>
      <c r="O793" t="s">
        <v>26</v>
      </c>
      <c r="P793" t="s">
        <v>1981</v>
      </c>
      <c r="Q793">
        <f>_xlfn.XLOOKUP(Table3[[#This Row],[Product Name]],Sales!A:A,Sales!B:B)</f>
        <v>348.928</v>
      </c>
      <c r="R793">
        <f>_xlfn.XLOOKUP(Table3[[#This Row],[Product Name]],Sales!A:A,Sales!C:C)</f>
        <v>2</v>
      </c>
      <c r="S793">
        <f>_xlfn.XLOOKUP(Table3[[#This Row],[Product Name]],Sales!A:A,Sales!D:D)</f>
        <v>0.2</v>
      </c>
      <c r="T793">
        <f>_xlfn.XLOOKUP(Table3[[#This Row],[Product Name]],Sales!A:A,Sales!E:E)</f>
        <v>34.892800000000001</v>
      </c>
    </row>
    <row r="794" spans="1:20" x14ac:dyDescent="0.3">
      <c r="A794">
        <v>789</v>
      </c>
      <c r="B794" t="s">
        <v>1982</v>
      </c>
      <c r="C794">
        <v>26</v>
      </c>
      <c r="D794">
        <v>6</v>
      </c>
      <c r="E794">
        <v>2019</v>
      </c>
      <c r="F794" t="s">
        <v>37</v>
      </c>
      <c r="G794" t="s">
        <v>1325</v>
      </c>
      <c r="H794" t="s">
        <v>2803</v>
      </c>
      <c r="I794" t="s">
        <v>19</v>
      </c>
      <c r="J794" t="s">
        <v>2583</v>
      </c>
      <c r="K794" t="s">
        <v>20</v>
      </c>
      <c r="L794">
        <v>23223</v>
      </c>
      <c r="M794" t="s">
        <v>1173</v>
      </c>
      <c r="N794" t="s">
        <v>33</v>
      </c>
      <c r="O794" t="s">
        <v>58</v>
      </c>
      <c r="P794" t="s">
        <v>1174</v>
      </c>
      <c r="Q794">
        <f>_xlfn.XLOOKUP(Table3[[#This Row],[Product Name]],Sales!A:A,Sales!B:B)</f>
        <v>287.92</v>
      </c>
      <c r="R794">
        <f>_xlfn.XLOOKUP(Table3[[#This Row],[Product Name]],Sales!A:A,Sales!C:C)</f>
        <v>8</v>
      </c>
      <c r="S794">
        <f>_xlfn.XLOOKUP(Table3[[#This Row],[Product Name]],Sales!A:A,Sales!D:D)</f>
        <v>0</v>
      </c>
      <c r="T794">
        <f>_xlfn.XLOOKUP(Table3[[#This Row],[Product Name]],Sales!A:A,Sales!E:E)</f>
        <v>138.20160000000001</v>
      </c>
    </row>
    <row r="795" spans="1:20" x14ac:dyDescent="0.3">
      <c r="A795">
        <v>790</v>
      </c>
      <c r="B795" t="s">
        <v>1982</v>
      </c>
      <c r="C795">
        <v>26</v>
      </c>
      <c r="D795">
        <v>6</v>
      </c>
      <c r="E795">
        <v>2019</v>
      </c>
      <c r="F795" t="s">
        <v>37</v>
      </c>
      <c r="G795" t="s">
        <v>1325</v>
      </c>
      <c r="H795" t="s">
        <v>2803</v>
      </c>
      <c r="I795" t="s">
        <v>19</v>
      </c>
      <c r="J795" t="s">
        <v>2583</v>
      </c>
      <c r="K795" t="s">
        <v>20</v>
      </c>
      <c r="L795">
        <v>23223</v>
      </c>
      <c r="M795" t="s">
        <v>1291</v>
      </c>
      <c r="N795" t="s">
        <v>33</v>
      </c>
      <c r="O795" t="s">
        <v>43</v>
      </c>
      <c r="P795" t="s">
        <v>1292</v>
      </c>
      <c r="Q795">
        <f>_xlfn.XLOOKUP(Table3[[#This Row],[Product Name]],Sales!A:A,Sales!B:B)</f>
        <v>92.52</v>
      </c>
      <c r="R795">
        <f>_xlfn.XLOOKUP(Table3[[#This Row],[Product Name]],Sales!A:A,Sales!C:C)</f>
        <v>6</v>
      </c>
      <c r="S795">
        <f>_xlfn.XLOOKUP(Table3[[#This Row],[Product Name]],Sales!A:A,Sales!D:D)</f>
        <v>0</v>
      </c>
      <c r="T795">
        <f>_xlfn.XLOOKUP(Table3[[#This Row],[Product Name]],Sales!A:A,Sales!E:E)</f>
        <v>24.980399999999999</v>
      </c>
    </row>
    <row r="796" spans="1:20" x14ac:dyDescent="0.3">
      <c r="A796">
        <v>791</v>
      </c>
      <c r="B796" t="s">
        <v>1982</v>
      </c>
      <c r="C796">
        <v>26</v>
      </c>
      <c r="D796">
        <v>6</v>
      </c>
      <c r="E796">
        <v>2019</v>
      </c>
      <c r="F796" t="s">
        <v>37</v>
      </c>
      <c r="G796" t="s">
        <v>1325</v>
      </c>
      <c r="H796" t="s">
        <v>2803</v>
      </c>
      <c r="I796" t="s">
        <v>19</v>
      </c>
      <c r="J796" t="s">
        <v>2583</v>
      </c>
      <c r="K796" t="s">
        <v>20</v>
      </c>
      <c r="L796">
        <v>23223</v>
      </c>
      <c r="M796" t="s">
        <v>1983</v>
      </c>
      <c r="N796" t="s">
        <v>33</v>
      </c>
      <c r="O796" t="s">
        <v>58</v>
      </c>
      <c r="P796" t="s">
        <v>1984</v>
      </c>
      <c r="Q796">
        <f>_xlfn.XLOOKUP(Table3[[#This Row],[Product Name]],Sales!A:A,Sales!B:B)</f>
        <v>43.04</v>
      </c>
      <c r="R796">
        <f>_xlfn.XLOOKUP(Table3[[#This Row],[Product Name]],Sales!A:A,Sales!C:C)</f>
        <v>8</v>
      </c>
      <c r="S796">
        <f>_xlfn.XLOOKUP(Table3[[#This Row],[Product Name]],Sales!A:A,Sales!D:D)</f>
        <v>0</v>
      </c>
      <c r="T796">
        <f>_xlfn.XLOOKUP(Table3[[#This Row],[Product Name]],Sales!A:A,Sales!E:E)</f>
        <v>21.089600000000001</v>
      </c>
    </row>
    <row r="797" spans="1:20" x14ac:dyDescent="0.3">
      <c r="A797">
        <v>792</v>
      </c>
      <c r="B797" t="s">
        <v>1982</v>
      </c>
      <c r="C797">
        <v>26</v>
      </c>
      <c r="D797">
        <v>6</v>
      </c>
      <c r="E797">
        <v>2019</v>
      </c>
      <c r="F797" t="s">
        <v>37</v>
      </c>
      <c r="G797" t="s">
        <v>1325</v>
      </c>
      <c r="H797" t="s">
        <v>2803</v>
      </c>
      <c r="I797" t="s">
        <v>19</v>
      </c>
      <c r="J797" t="s">
        <v>2583</v>
      </c>
      <c r="K797" t="s">
        <v>20</v>
      </c>
      <c r="L797">
        <v>23223</v>
      </c>
      <c r="M797" t="s">
        <v>1985</v>
      </c>
      <c r="N797" t="s">
        <v>22</v>
      </c>
      <c r="O797" t="s">
        <v>26</v>
      </c>
      <c r="P797" t="s">
        <v>1986</v>
      </c>
      <c r="Q797">
        <f>_xlfn.XLOOKUP(Table3[[#This Row],[Product Name]],Sales!A:A,Sales!B:B)</f>
        <v>332.94</v>
      </c>
      <c r="R797">
        <f>_xlfn.XLOOKUP(Table3[[#This Row],[Product Name]],Sales!A:A,Sales!C:C)</f>
        <v>3</v>
      </c>
      <c r="S797">
        <f>_xlfn.XLOOKUP(Table3[[#This Row],[Product Name]],Sales!A:A,Sales!D:D)</f>
        <v>0</v>
      </c>
      <c r="T797">
        <f>_xlfn.XLOOKUP(Table3[[#This Row],[Product Name]],Sales!A:A,Sales!E:E)</f>
        <v>79.905600000000007</v>
      </c>
    </row>
    <row r="798" spans="1:20" x14ac:dyDescent="0.3">
      <c r="A798">
        <v>793</v>
      </c>
      <c r="B798" t="s">
        <v>1987</v>
      </c>
      <c r="C798">
        <v>20</v>
      </c>
      <c r="D798">
        <v>5</v>
      </c>
      <c r="E798">
        <v>2020</v>
      </c>
      <c r="F798" t="s">
        <v>1010</v>
      </c>
      <c r="G798" t="s">
        <v>1988</v>
      </c>
      <c r="H798" t="s">
        <v>2910</v>
      </c>
      <c r="I798" t="s">
        <v>19</v>
      </c>
      <c r="J798" t="s">
        <v>2584</v>
      </c>
      <c r="K798" t="s">
        <v>20</v>
      </c>
      <c r="L798">
        <v>28806</v>
      </c>
      <c r="M798" t="s">
        <v>1989</v>
      </c>
      <c r="N798" t="s">
        <v>54</v>
      </c>
      <c r="O798" t="s">
        <v>55</v>
      </c>
      <c r="P798" t="s">
        <v>1990</v>
      </c>
      <c r="Q798">
        <f>_xlfn.XLOOKUP(Table3[[#This Row],[Product Name]],Sales!A:A,Sales!B:B)</f>
        <v>1363.96</v>
      </c>
      <c r="R798">
        <f>_xlfn.XLOOKUP(Table3[[#This Row],[Product Name]],Sales!A:A,Sales!C:C)</f>
        <v>5</v>
      </c>
      <c r="S798">
        <f>_xlfn.XLOOKUP(Table3[[#This Row],[Product Name]],Sales!A:A,Sales!D:D)</f>
        <v>0.2</v>
      </c>
      <c r="T798">
        <f>_xlfn.XLOOKUP(Table3[[#This Row],[Product Name]],Sales!A:A,Sales!E:E)</f>
        <v>85.247500000000002</v>
      </c>
    </row>
    <row r="799" spans="1:20" x14ac:dyDescent="0.3">
      <c r="A799">
        <v>794</v>
      </c>
      <c r="B799" t="s">
        <v>1991</v>
      </c>
      <c r="C799">
        <v>20</v>
      </c>
      <c r="D799">
        <v>9</v>
      </c>
      <c r="E799">
        <v>2018</v>
      </c>
      <c r="F799" t="s">
        <v>37</v>
      </c>
      <c r="G799" t="s">
        <v>1992</v>
      </c>
      <c r="H799" t="s">
        <v>2911</v>
      </c>
      <c r="I799" t="s">
        <v>19</v>
      </c>
      <c r="J799" t="s">
        <v>2422</v>
      </c>
      <c r="K799" t="s">
        <v>31</v>
      </c>
      <c r="L799">
        <v>94110</v>
      </c>
      <c r="M799" t="s">
        <v>1993</v>
      </c>
      <c r="N799" t="s">
        <v>33</v>
      </c>
      <c r="O799" t="s">
        <v>34</v>
      </c>
      <c r="P799" t="s">
        <v>1994</v>
      </c>
      <c r="Q799">
        <f>_xlfn.XLOOKUP(Table3[[#This Row],[Product Name]],Sales!A:A,Sales!B:B)</f>
        <v>9.9600000000000009</v>
      </c>
      <c r="R799">
        <f>_xlfn.XLOOKUP(Table3[[#This Row],[Product Name]],Sales!A:A,Sales!C:C)</f>
        <v>2</v>
      </c>
      <c r="S799">
        <f>_xlfn.XLOOKUP(Table3[[#This Row],[Product Name]],Sales!A:A,Sales!D:D)</f>
        <v>0</v>
      </c>
      <c r="T799">
        <f>_xlfn.XLOOKUP(Table3[[#This Row],[Product Name]],Sales!A:A,Sales!E:E)</f>
        <v>4.5815999999999999</v>
      </c>
    </row>
    <row r="800" spans="1:20" x14ac:dyDescent="0.3">
      <c r="A800">
        <v>795</v>
      </c>
      <c r="B800" t="s">
        <v>1991</v>
      </c>
      <c r="C800">
        <v>20</v>
      </c>
      <c r="D800">
        <v>9</v>
      </c>
      <c r="E800">
        <v>2018</v>
      </c>
      <c r="F800" t="s">
        <v>37</v>
      </c>
      <c r="G800" t="s">
        <v>1992</v>
      </c>
      <c r="H800" t="s">
        <v>2911</v>
      </c>
      <c r="I800" t="s">
        <v>19</v>
      </c>
      <c r="J800" t="s">
        <v>2422</v>
      </c>
      <c r="K800" t="s">
        <v>31</v>
      </c>
      <c r="L800">
        <v>94110</v>
      </c>
      <c r="M800" t="s">
        <v>1124</v>
      </c>
      <c r="N800" t="s">
        <v>33</v>
      </c>
      <c r="O800" t="s">
        <v>70</v>
      </c>
      <c r="P800" t="s">
        <v>1125</v>
      </c>
      <c r="Q800">
        <f>_xlfn.XLOOKUP(Table3[[#This Row],[Product Name]],Sales!A:A,Sales!B:B)</f>
        <v>27.15</v>
      </c>
      <c r="R800">
        <f>_xlfn.XLOOKUP(Table3[[#This Row],[Product Name]],Sales!A:A,Sales!C:C)</f>
        <v>5</v>
      </c>
      <c r="S800">
        <f>_xlfn.XLOOKUP(Table3[[#This Row],[Product Name]],Sales!A:A,Sales!D:D)</f>
        <v>0</v>
      </c>
      <c r="T800">
        <f>_xlfn.XLOOKUP(Table3[[#This Row],[Product Name]],Sales!A:A,Sales!E:E)</f>
        <v>13.3035</v>
      </c>
    </row>
    <row r="801" spans="1:20" x14ac:dyDescent="0.3">
      <c r="A801">
        <v>796</v>
      </c>
      <c r="B801" t="s">
        <v>1995</v>
      </c>
      <c r="C801">
        <v>21</v>
      </c>
      <c r="D801">
        <v>9</v>
      </c>
      <c r="E801">
        <v>2021</v>
      </c>
      <c r="F801" t="s">
        <v>37</v>
      </c>
      <c r="G801" t="s">
        <v>1996</v>
      </c>
      <c r="H801" t="s">
        <v>2912</v>
      </c>
      <c r="I801" t="s">
        <v>19</v>
      </c>
      <c r="J801" t="s">
        <v>2444</v>
      </c>
      <c r="K801" t="s">
        <v>79</v>
      </c>
      <c r="L801">
        <v>55901</v>
      </c>
      <c r="M801" t="s">
        <v>1908</v>
      </c>
      <c r="N801" t="s">
        <v>33</v>
      </c>
      <c r="O801" t="s">
        <v>58</v>
      </c>
      <c r="P801" t="s">
        <v>1909</v>
      </c>
      <c r="Q801">
        <f>_xlfn.XLOOKUP(Table3[[#This Row],[Product Name]],Sales!A:A,Sales!B:B)</f>
        <v>2.88</v>
      </c>
      <c r="R801">
        <f>_xlfn.XLOOKUP(Table3[[#This Row],[Product Name]],Sales!A:A,Sales!C:C)</f>
        <v>1</v>
      </c>
      <c r="S801">
        <f>_xlfn.XLOOKUP(Table3[[#This Row],[Product Name]],Sales!A:A,Sales!D:D)</f>
        <v>0</v>
      </c>
      <c r="T801">
        <f>_xlfn.XLOOKUP(Table3[[#This Row],[Product Name]],Sales!A:A,Sales!E:E)</f>
        <v>1.4112</v>
      </c>
    </row>
    <row r="802" spans="1:20" x14ac:dyDescent="0.3">
      <c r="A802">
        <v>797</v>
      </c>
      <c r="B802" t="s">
        <v>1997</v>
      </c>
      <c r="C802">
        <v>24</v>
      </c>
      <c r="D802">
        <v>12</v>
      </c>
      <c r="E802">
        <v>2019</v>
      </c>
      <c r="F802" t="s">
        <v>142</v>
      </c>
      <c r="G802" t="s">
        <v>697</v>
      </c>
      <c r="H802" t="s">
        <v>2716</v>
      </c>
      <c r="I802" t="s">
        <v>30</v>
      </c>
      <c r="J802" t="s">
        <v>2539</v>
      </c>
      <c r="K802" t="s">
        <v>108</v>
      </c>
      <c r="L802">
        <v>14609</v>
      </c>
      <c r="M802" t="s">
        <v>1998</v>
      </c>
      <c r="N802" t="s">
        <v>33</v>
      </c>
      <c r="O802" t="s">
        <v>70</v>
      </c>
      <c r="P802" t="s">
        <v>1999</v>
      </c>
      <c r="Q802">
        <f>_xlfn.XLOOKUP(Table3[[#This Row],[Product Name]],Sales!A:A,Sales!B:B)</f>
        <v>132.79</v>
      </c>
      <c r="R802">
        <f>_xlfn.XLOOKUP(Table3[[#This Row],[Product Name]],Sales!A:A,Sales!C:C)</f>
        <v>7</v>
      </c>
      <c r="S802">
        <f>_xlfn.XLOOKUP(Table3[[#This Row],[Product Name]],Sales!A:A,Sales!D:D)</f>
        <v>0</v>
      </c>
      <c r="T802">
        <f>_xlfn.XLOOKUP(Table3[[#This Row],[Product Name]],Sales!A:A,Sales!E:E)</f>
        <v>63.739199999999997</v>
      </c>
    </row>
    <row r="803" spans="1:20" x14ac:dyDescent="0.3">
      <c r="A803">
        <v>798</v>
      </c>
      <c r="B803" t="s">
        <v>1997</v>
      </c>
      <c r="C803">
        <v>24</v>
      </c>
      <c r="D803">
        <v>12</v>
      </c>
      <c r="E803">
        <v>2019</v>
      </c>
      <c r="F803" t="s">
        <v>142</v>
      </c>
      <c r="G803" t="s">
        <v>697</v>
      </c>
      <c r="H803" t="s">
        <v>2716</v>
      </c>
      <c r="I803" t="s">
        <v>30</v>
      </c>
      <c r="J803" t="s">
        <v>2539</v>
      </c>
      <c r="K803" t="s">
        <v>108</v>
      </c>
      <c r="L803">
        <v>14609</v>
      </c>
      <c r="M803" t="s">
        <v>69</v>
      </c>
      <c r="N803" t="s">
        <v>33</v>
      </c>
      <c r="O803" t="s">
        <v>70</v>
      </c>
      <c r="P803" t="s">
        <v>71</v>
      </c>
      <c r="Q803">
        <f>_xlfn.XLOOKUP(Table3[[#This Row],[Product Name]],Sales!A:A,Sales!B:B)</f>
        <v>15.552</v>
      </c>
      <c r="R803">
        <f>_xlfn.XLOOKUP(Table3[[#This Row],[Product Name]],Sales!A:A,Sales!C:C)</f>
        <v>3</v>
      </c>
      <c r="S803">
        <f>_xlfn.XLOOKUP(Table3[[#This Row],[Product Name]],Sales!A:A,Sales!D:D)</f>
        <v>0.2</v>
      </c>
      <c r="T803">
        <f>_xlfn.XLOOKUP(Table3[[#This Row],[Product Name]],Sales!A:A,Sales!E:E)</f>
        <v>5.4432</v>
      </c>
    </row>
    <row r="804" spans="1:20" x14ac:dyDescent="0.3">
      <c r="A804">
        <v>799</v>
      </c>
      <c r="B804" t="s">
        <v>1997</v>
      </c>
      <c r="C804">
        <v>24</v>
      </c>
      <c r="D804">
        <v>12</v>
      </c>
      <c r="E804">
        <v>2019</v>
      </c>
      <c r="F804" t="s">
        <v>142</v>
      </c>
      <c r="G804" t="s">
        <v>697</v>
      </c>
      <c r="H804" t="s">
        <v>2716</v>
      </c>
      <c r="I804" t="s">
        <v>30</v>
      </c>
      <c r="J804" t="s">
        <v>2539</v>
      </c>
      <c r="K804" t="s">
        <v>108</v>
      </c>
      <c r="L804">
        <v>14609</v>
      </c>
      <c r="M804" t="s">
        <v>2000</v>
      </c>
      <c r="N804" t="s">
        <v>33</v>
      </c>
      <c r="O804" t="s">
        <v>34</v>
      </c>
      <c r="P804" t="s">
        <v>2001</v>
      </c>
      <c r="Q804">
        <f>_xlfn.XLOOKUP(Table3[[#This Row],[Product Name]],Sales!A:A,Sales!B:B)</f>
        <v>21.56</v>
      </c>
      <c r="R804">
        <f>_xlfn.XLOOKUP(Table3[[#This Row],[Product Name]],Sales!A:A,Sales!C:C)</f>
        <v>7</v>
      </c>
      <c r="S804">
        <f>_xlfn.XLOOKUP(Table3[[#This Row],[Product Name]],Sales!A:A,Sales!D:D)</f>
        <v>0</v>
      </c>
      <c r="T804">
        <f>_xlfn.XLOOKUP(Table3[[#This Row],[Product Name]],Sales!A:A,Sales!E:E)</f>
        <v>10.348800000000001</v>
      </c>
    </row>
    <row r="805" spans="1:20" x14ac:dyDescent="0.3">
      <c r="A805">
        <v>800</v>
      </c>
      <c r="B805" t="s">
        <v>2002</v>
      </c>
      <c r="C805">
        <v>27</v>
      </c>
      <c r="D805">
        <v>11</v>
      </c>
      <c r="E805">
        <v>2019</v>
      </c>
      <c r="F805" t="s">
        <v>37</v>
      </c>
      <c r="G805" t="s">
        <v>2003</v>
      </c>
      <c r="H805" t="s">
        <v>2913</v>
      </c>
      <c r="I805" t="s">
        <v>19</v>
      </c>
      <c r="J805" t="s">
        <v>2585</v>
      </c>
      <c r="K805" t="s">
        <v>31</v>
      </c>
      <c r="L805">
        <v>92530</v>
      </c>
      <c r="M805" t="s">
        <v>1457</v>
      </c>
      <c r="N805" t="s">
        <v>22</v>
      </c>
      <c r="O805" t="s">
        <v>26</v>
      </c>
      <c r="P805" t="s">
        <v>1458</v>
      </c>
      <c r="Q805">
        <f>_xlfn.XLOOKUP(Table3[[#This Row],[Product Name]],Sales!A:A,Sales!B:B)</f>
        <v>283.92</v>
      </c>
      <c r="R805">
        <f>_xlfn.XLOOKUP(Table3[[#This Row],[Product Name]],Sales!A:A,Sales!C:C)</f>
        <v>4</v>
      </c>
      <c r="S805">
        <f>_xlfn.XLOOKUP(Table3[[#This Row],[Product Name]],Sales!A:A,Sales!D:D)</f>
        <v>0</v>
      </c>
      <c r="T805">
        <f>_xlfn.XLOOKUP(Table3[[#This Row],[Product Name]],Sales!A:A,Sales!E:E)</f>
        <v>70.98</v>
      </c>
    </row>
    <row r="806" spans="1:20" x14ac:dyDescent="0.3">
      <c r="A806">
        <v>801</v>
      </c>
      <c r="B806" t="s">
        <v>2004</v>
      </c>
      <c r="C806">
        <v>20</v>
      </c>
      <c r="D806">
        <v>2</v>
      </c>
      <c r="E806">
        <v>2021</v>
      </c>
      <c r="F806" t="s">
        <v>142</v>
      </c>
      <c r="G806" t="s">
        <v>2005</v>
      </c>
      <c r="H806" t="s">
        <v>2914</v>
      </c>
      <c r="I806" t="s">
        <v>30</v>
      </c>
      <c r="J806" t="s">
        <v>2487</v>
      </c>
      <c r="K806" t="s">
        <v>31</v>
      </c>
      <c r="L806">
        <v>92105</v>
      </c>
      <c r="M806" t="s">
        <v>2006</v>
      </c>
      <c r="N806" t="s">
        <v>22</v>
      </c>
      <c r="O806" t="s">
        <v>48</v>
      </c>
      <c r="P806" t="s">
        <v>2007</v>
      </c>
      <c r="Q806">
        <f>_xlfn.XLOOKUP(Table3[[#This Row],[Product Name]],Sales!A:A,Sales!B:B)</f>
        <v>22.23</v>
      </c>
      <c r="R806">
        <f>_xlfn.XLOOKUP(Table3[[#This Row],[Product Name]],Sales!A:A,Sales!C:C)</f>
        <v>1</v>
      </c>
      <c r="S806">
        <f>_xlfn.XLOOKUP(Table3[[#This Row],[Product Name]],Sales!A:A,Sales!D:D)</f>
        <v>0</v>
      </c>
      <c r="T806">
        <f>_xlfn.XLOOKUP(Table3[[#This Row],[Product Name]],Sales!A:A,Sales!E:E)</f>
        <v>7.3358999999999996</v>
      </c>
    </row>
    <row r="807" spans="1:20" x14ac:dyDescent="0.3">
      <c r="A807">
        <v>802</v>
      </c>
      <c r="B807" t="s">
        <v>2004</v>
      </c>
      <c r="C807">
        <v>20</v>
      </c>
      <c r="D807">
        <v>2</v>
      </c>
      <c r="E807">
        <v>2021</v>
      </c>
      <c r="F807" t="s">
        <v>142</v>
      </c>
      <c r="G807" t="s">
        <v>2005</v>
      </c>
      <c r="H807" t="s">
        <v>2914</v>
      </c>
      <c r="I807" t="s">
        <v>30</v>
      </c>
      <c r="J807" t="s">
        <v>2487</v>
      </c>
      <c r="K807" t="s">
        <v>31</v>
      </c>
      <c r="L807">
        <v>92105</v>
      </c>
      <c r="M807" t="s">
        <v>740</v>
      </c>
      <c r="N807" t="s">
        <v>54</v>
      </c>
      <c r="O807" t="s">
        <v>55</v>
      </c>
      <c r="P807" t="s">
        <v>741</v>
      </c>
      <c r="Q807">
        <f>_xlfn.XLOOKUP(Table3[[#This Row],[Product Name]],Sales!A:A,Sales!B:B)</f>
        <v>647.904</v>
      </c>
      <c r="R807">
        <f>_xlfn.XLOOKUP(Table3[[#This Row],[Product Name]],Sales!A:A,Sales!C:C)</f>
        <v>6</v>
      </c>
      <c r="S807">
        <f>_xlfn.XLOOKUP(Table3[[#This Row],[Product Name]],Sales!A:A,Sales!D:D)</f>
        <v>0.2</v>
      </c>
      <c r="T807">
        <f>_xlfn.XLOOKUP(Table3[[#This Row],[Product Name]],Sales!A:A,Sales!E:E)</f>
        <v>56.691600000000001</v>
      </c>
    </row>
    <row r="808" spans="1:20" x14ac:dyDescent="0.3">
      <c r="A808">
        <v>803</v>
      </c>
      <c r="B808" t="s">
        <v>2008</v>
      </c>
      <c r="C808">
        <v>18</v>
      </c>
      <c r="D808">
        <v>8</v>
      </c>
      <c r="E808">
        <v>2020</v>
      </c>
      <c r="F808" t="s">
        <v>17</v>
      </c>
      <c r="G808" t="s">
        <v>2005</v>
      </c>
      <c r="H808" t="s">
        <v>2914</v>
      </c>
      <c r="I808" t="s">
        <v>30</v>
      </c>
      <c r="J808" t="s">
        <v>2434</v>
      </c>
      <c r="K808" t="s">
        <v>108</v>
      </c>
      <c r="L808">
        <v>10024</v>
      </c>
      <c r="M808" t="s">
        <v>2009</v>
      </c>
      <c r="N808" t="s">
        <v>33</v>
      </c>
      <c r="O808" t="s">
        <v>61</v>
      </c>
      <c r="P808" t="s">
        <v>2010</v>
      </c>
      <c r="Q808">
        <f>_xlfn.XLOOKUP(Table3[[#This Row],[Product Name]],Sales!A:A,Sales!B:B)</f>
        <v>355.32</v>
      </c>
      <c r="R808">
        <f>_xlfn.XLOOKUP(Table3[[#This Row],[Product Name]],Sales!A:A,Sales!C:C)</f>
        <v>9</v>
      </c>
      <c r="S808">
        <f>_xlfn.XLOOKUP(Table3[[#This Row],[Product Name]],Sales!A:A,Sales!D:D)</f>
        <v>0</v>
      </c>
      <c r="T808">
        <f>_xlfn.XLOOKUP(Table3[[#This Row],[Product Name]],Sales!A:A,Sales!E:E)</f>
        <v>99.489599999999996</v>
      </c>
    </row>
    <row r="809" spans="1:20" x14ac:dyDescent="0.3">
      <c r="A809">
        <v>804</v>
      </c>
      <c r="B809" t="s">
        <v>2011</v>
      </c>
      <c r="C809">
        <v>12</v>
      </c>
      <c r="D809">
        <v>3</v>
      </c>
      <c r="E809">
        <v>2020</v>
      </c>
      <c r="F809" t="s">
        <v>37</v>
      </c>
      <c r="G809" t="s">
        <v>2012</v>
      </c>
      <c r="H809" t="s">
        <v>2915</v>
      </c>
      <c r="I809" t="s">
        <v>30</v>
      </c>
      <c r="J809" t="s">
        <v>2468</v>
      </c>
      <c r="K809" t="s">
        <v>20</v>
      </c>
      <c r="L809">
        <v>71203</v>
      </c>
      <c r="M809" t="s">
        <v>2013</v>
      </c>
      <c r="N809" t="s">
        <v>33</v>
      </c>
      <c r="O809" t="s">
        <v>70</v>
      </c>
      <c r="P809" t="s">
        <v>2014</v>
      </c>
      <c r="Q809">
        <f>_xlfn.XLOOKUP(Table3[[#This Row],[Product Name]],Sales!A:A,Sales!B:B)</f>
        <v>12.96</v>
      </c>
      <c r="R809">
        <f>_xlfn.XLOOKUP(Table3[[#This Row],[Product Name]],Sales!A:A,Sales!C:C)</f>
        <v>2</v>
      </c>
      <c r="S809">
        <f>_xlfn.XLOOKUP(Table3[[#This Row],[Product Name]],Sales!A:A,Sales!D:D)</f>
        <v>0</v>
      </c>
      <c r="T809">
        <f>_xlfn.XLOOKUP(Table3[[#This Row],[Product Name]],Sales!A:A,Sales!E:E)</f>
        <v>6.2207999999999997</v>
      </c>
    </row>
    <row r="810" spans="1:20" x14ac:dyDescent="0.3">
      <c r="A810">
        <v>805</v>
      </c>
      <c r="B810" t="s">
        <v>2015</v>
      </c>
      <c r="C810">
        <v>22</v>
      </c>
      <c r="D810">
        <v>4</v>
      </c>
      <c r="E810">
        <v>2021</v>
      </c>
      <c r="F810" t="s">
        <v>142</v>
      </c>
      <c r="G810" t="s">
        <v>2016</v>
      </c>
      <c r="H810" t="s">
        <v>2916</v>
      </c>
      <c r="I810" t="s">
        <v>19</v>
      </c>
      <c r="J810" t="s">
        <v>2422</v>
      </c>
      <c r="K810" t="s">
        <v>31</v>
      </c>
      <c r="L810">
        <v>94122</v>
      </c>
      <c r="M810" t="s">
        <v>2017</v>
      </c>
      <c r="N810" t="s">
        <v>22</v>
      </c>
      <c r="O810" t="s">
        <v>48</v>
      </c>
      <c r="P810" t="s">
        <v>2018</v>
      </c>
      <c r="Q810">
        <f>_xlfn.XLOOKUP(Table3[[#This Row],[Product Name]],Sales!A:A,Sales!B:B)</f>
        <v>18.28</v>
      </c>
      <c r="R810">
        <f>_xlfn.XLOOKUP(Table3[[#This Row],[Product Name]],Sales!A:A,Sales!C:C)</f>
        <v>2</v>
      </c>
      <c r="S810">
        <f>_xlfn.XLOOKUP(Table3[[#This Row],[Product Name]],Sales!A:A,Sales!D:D)</f>
        <v>0</v>
      </c>
      <c r="T810">
        <f>_xlfn.XLOOKUP(Table3[[#This Row],[Product Name]],Sales!A:A,Sales!E:E)</f>
        <v>6.2152000000000003</v>
      </c>
    </row>
    <row r="811" spans="1:20" x14ac:dyDescent="0.3">
      <c r="A811">
        <v>806</v>
      </c>
      <c r="B811" t="s">
        <v>2019</v>
      </c>
      <c r="C811">
        <v>1</v>
      </c>
      <c r="D811">
        <v>11</v>
      </c>
      <c r="E811">
        <v>2018</v>
      </c>
      <c r="F811" t="s">
        <v>37</v>
      </c>
      <c r="G811" t="s">
        <v>1041</v>
      </c>
      <c r="H811" t="s">
        <v>2764</v>
      </c>
      <c r="I811" t="s">
        <v>19</v>
      </c>
      <c r="J811" t="s">
        <v>2475</v>
      </c>
      <c r="K811" t="s">
        <v>31</v>
      </c>
      <c r="L811">
        <v>80219</v>
      </c>
      <c r="M811" t="s">
        <v>2020</v>
      </c>
      <c r="N811" t="s">
        <v>33</v>
      </c>
      <c r="O811" t="s">
        <v>51</v>
      </c>
      <c r="P811" t="s">
        <v>2021</v>
      </c>
      <c r="Q811">
        <f>_xlfn.XLOOKUP(Table3[[#This Row],[Product Name]],Sales!A:A,Sales!B:B)</f>
        <v>43.176000000000002</v>
      </c>
      <c r="R811">
        <f>_xlfn.XLOOKUP(Table3[[#This Row],[Product Name]],Sales!A:A,Sales!C:C)</f>
        <v>3</v>
      </c>
      <c r="S811">
        <f>_xlfn.XLOOKUP(Table3[[#This Row],[Product Name]],Sales!A:A,Sales!D:D)</f>
        <v>0.2</v>
      </c>
      <c r="T811">
        <f>_xlfn.XLOOKUP(Table3[[#This Row],[Product Name]],Sales!A:A,Sales!E:E)</f>
        <v>4.3175999999999997</v>
      </c>
    </row>
    <row r="812" spans="1:20" x14ac:dyDescent="0.3">
      <c r="A812">
        <v>807</v>
      </c>
      <c r="B812" t="s">
        <v>2019</v>
      </c>
      <c r="C812">
        <v>1</v>
      </c>
      <c r="D812">
        <v>11</v>
      </c>
      <c r="E812">
        <v>2018</v>
      </c>
      <c r="F812" t="s">
        <v>37</v>
      </c>
      <c r="G812" t="s">
        <v>1041</v>
      </c>
      <c r="H812" t="s">
        <v>2764</v>
      </c>
      <c r="I812" t="s">
        <v>19</v>
      </c>
      <c r="J812" t="s">
        <v>2475</v>
      </c>
      <c r="K812" t="s">
        <v>31</v>
      </c>
      <c r="L812">
        <v>80219</v>
      </c>
      <c r="M812" t="s">
        <v>2022</v>
      </c>
      <c r="N812" t="s">
        <v>54</v>
      </c>
      <c r="O812" t="s">
        <v>55</v>
      </c>
      <c r="P812" t="s">
        <v>2023</v>
      </c>
      <c r="Q812">
        <f>_xlfn.XLOOKUP(Table3[[#This Row],[Product Name]],Sales!A:A,Sales!B:B)</f>
        <v>1983.9680000000001</v>
      </c>
      <c r="R812">
        <f>_xlfn.XLOOKUP(Table3[[#This Row],[Product Name]],Sales!A:A,Sales!C:C)</f>
        <v>4</v>
      </c>
      <c r="S812">
        <f>_xlfn.XLOOKUP(Table3[[#This Row],[Product Name]],Sales!A:A,Sales!D:D)</f>
        <v>0.2</v>
      </c>
      <c r="T812">
        <f>_xlfn.XLOOKUP(Table3[[#This Row],[Product Name]],Sales!A:A,Sales!E:E)</f>
        <v>247.99600000000001</v>
      </c>
    </row>
    <row r="813" spans="1:20" x14ac:dyDescent="0.3">
      <c r="A813">
        <v>808</v>
      </c>
      <c r="B813" t="s">
        <v>2024</v>
      </c>
      <c r="C813">
        <v>3</v>
      </c>
      <c r="D813">
        <v>2</v>
      </c>
      <c r="E813">
        <v>2019</v>
      </c>
      <c r="F813" t="s">
        <v>142</v>
      </c>
      <c r="G813" t="s">
        <v>1443</v>
      </c>
      <c r="H813" t="s">
        <v>2821</v>
      </c>
      <c r="I813" t="s">
        <v>19</v>
      </c>
      <c r="J813" t="s">
        <v>2586</v>
      </c>
      <c r="K813" t="s">
        <v>79</v>
      </c>
      <c r="L813">
        <v>68104</v>
      </c>
      <c r="M813" t="s">
        <v>1171</v>
      </c>
      <c r="N813" t="s">
        <v>22</v>
      </c>
      <c r="O813" t="s">
        <v>48</v>
      </c>
      <c r="P813" t="s">
        <v>1172</v>
      </c>
      <c r="Q813">
        <f>_xlfn.XLOOKUP(Table3[[#This Row],[Product Name]],Sales!A:A,Sales!B:B)</f>
        <v>28.4</v>
      </c>
      <c r="R813">
        <f>_xlfn.XLOOKUP(Table3[[#This Row],[Product Name]],Sales!A:A,Sales!C:C)</f>
        <v>2</v>
      </c>
      <c r="S813">
        <f>_xlfn.XLOOKUP(Table3[[#This Row],[Product Name]],Sales!A:A,Sales!D:D)</f>
        <v>0</v>
      </c>
      <c r="T813">
        <f>_xlfn.XLOOKUP(Table3[[#This Row],[Product Name]],Sales!A:A,Sales!E:E)</f>
        <v>11.076000000000001</v>
      </c>
    </row>
    <row r="814" spans="1:20" x14ac:dyDescent="0.3">
      <c r="A814">
        <v>809</v>
      </c>
      <c r="B814" t="s">
        <v>2024</v>
      </c>
      <c r="C814">
        <v>3</v>
      </c>
      <c r="D814">
        <v>2</v>
      </c>
      <c r="E814">
        <v>2019</v>
      </c>
      <c r="F814" t="s">
        <v>142</v>
      </c>
      <c r="G814" t="s">
        <v>1443</v>
      </c>
      <c r="H814" t="s">
        <v>2821</v>
      </c>
      <c r="I814" t="s">
        <v>19</v>
      </c>
      <c r="J814" t="s">
        <v>2586</v>
      </c>
      <c r="K814" t="s">
        <v>79</v>
      </c>
      <c r="L814">
        <v>68104</v>
      </c>
      <c r="M814" t="s">
        <v>2025</v>
      </c>
      <c r="N814" t="s">
        <v>54</v>
      </c>
      <c r="O814" t="s">
        <v>118</v>
      </c>
      <c r="P814" t="s">
        <v>2026</v>
      </c>
      <c r="Q814">
        <f>_xlfn.XLOOKUP(Table3[[#This Row],[Product Name]],Sales!A:A,Sales!B:B)</f>
        <v>149.97</v>
      </c>
      <c r="R814">
        <f>_xlfn.XLOOKUP(Table3[[#This Row],[Product Name]],Sales!A:A,Sales!C:C)</f>
        <v>3</v>
      </c>
      <c r="S814">
        <f>_xlfn.XLOOKUP(Table3[[#This Row],[Product Name]],Sales!A:A,Sales!D:D)</f>
        <v>0</v>
      </c>
      <c r="T814">
        <f>_xlfn.XLOOKUP(Table3[[#This Row],[Product Name]],Sales!A:A,Sales!E:E)</f>
        <v>50.989800000000002</v>
      </c>
    </row>
    <row r="815" spans="1:20" x14ac:dyDescent="0.3">
      <c r="A815">
        <v>810</v>
      </c>
      <c r="B815" t="s">
        <v>2027</v>
      </c>
      <c r="C815">
        <v>13</v>
      </c>
      <c r="D815">
        <v>10</v>
      </c>
      <c r="E815">
        <v>2018</v>
      </c>
      <c r="F815" t="s">
        <v>142</v>
      </c>
      <c r="G815" t="s">
        <v>1570</v>
      </c>
      <c r="H815" t="s">
        <v>2843</v>
      </c>
      <c r="I815" t="s">
        <v>19</v>
      </c>
      <c r="J815" t="s">
        <v>2587</v>
      </c>
      <c r="K815" t="s">
        <v>31</v>
      </c>
      <c r="L815">
        <v>98026</v>
      </c>
      <c r="M815" t="s">
        <v>2028</v>
      </c>
      <c r="N815" t="s">
        <v>33</v>
      </c>
      <c r="O815" t="s">
        <v>51</v>
      </c>
      <c r="P815" t="s">
        <v>2029</v>
      </c>
      <c r="Q815">
        <f>_xlfn.XLOOKUP(Table3[[#This Row],[Product Name]],Sales!A:A,Sales!B:B)</f>
        <v>11.52</v>
      </c>
      <c r="R815">
        <f>_xlfn.XLOOKUP(Table3[[#This Row],[Product Name]],Sales!A:A,Sales!C:C)</f>
        <v>4</v>
      </c>
      <c r="S815">
        <f>_xlfn.XLOOKUP(Table3[[#This Row],[Product Name]],Sales!A:A,Sales!D:D)</f>
        <v>0</v>
      </c>
      <c r="T815">
        <f>_xlfn.XLOOKUP(Table3[[#This Row],[Product Name]],Sales!A:A,Sales!E:E)</f>
        <v>3.2256</v>
      </c>
    </row>
    <row r="816" spans="1:20" x14ac:dyDescent="0.3">
      <c r="A816">
        <v>811</v>
      </c>
      <c r="B816" t="s">
        <v>2027</v>
      </c>
      <c r="C816">
        <v>13</v>
      </c>
      <c r="D816">
        <v>10</v>
      </c>
      <c r="E816">
        <v>2018</v>
      </c>
      <c r="F816" t="s">
        <v>142</v>
      </c>
      <c r="G816" t="s">
        <v>1570</v>
      </c>
      <c r="H816" t="s">
        <v>2843</v>
      </c>
      <c r="I816" t="s">
        <v>19</v>
      </c>
      <c r="J816" t="s">
        <v>2587</v>
      </c>
      <c r="K816" t="s">
        <v>31</v>
      </c>
      <c r="L816">
        <v>98026</v>
      </c>
      <c r="M816" t="s">
        <v>813</v>
      </c>
      <c r="N816" t="s">
        <v>22</v>
      </c>
      <c r="O816" t="s">
        <v>40</v>
      </c>
      <c r="P816" t="s">
        <v>814</v>
      </c>
      <c r="Q816">
        <f>_xlfn.XLOOKUP(Table3[[#This Row],[Product Name]],Sales!A:A,Sales!B:B)</f>
        <v>1038.8399999999999</v>
      </c>
      <c r="R816">
        <f>_xlfn.XLOOKUP(Table3[[#This Row],[Product Name]],Sales!A:A,Sales!C:C)</f>
        <v>5</v>
      </c>
      <c r="S816">
        <f>_xlfn.XLOOKUP(Table3[[#This Row],[Product Name]],Sales!A:A,Sales!D:D)</f>
        <v>0.2</v>
      </c>
      <c r="T816">
        <f>_xlfn.XLOOKUP(Table3[[#This Row],[Product Name]],Sales!A:A,Sales!E:E)</f>
        <v>51.942</v>
      </c>
    </row>
    <row r="817" spans="1:20" x14ac:dyDescent="0.3">
      <c r="A817">
        <v>812</v>
      </c>
      <c r="B817" t="s">
        <v>2027</v>
      </c>
      <c r="C817">
        <v>13</v>
      </c>
      <c r="D817">
        <v>10</v>
      </c>
      <c r="E817">
        <v>2018</v>
      </c>
      <c r="F817" t="s">
        <v>142</v>
      </c>
      <c r="G817" t="s">
        <v>1570</v>
      </c>
      <c r="H817" t="s">
        <v>2843</v>
      </c>
      <c r="I817" t="s">
        <v>19</v>
      </c>
      <c r="J817" t="s">
        <v>2587</v>
      </c>
      <c r="K817" t="s">
        <v>31</v>
      </c>
      <c r="L817">
        <v>98026</v>
      </c>
      <c r="M817" t="s">
        <v>2030</v>
      </c>
      <c r="N817" t="s">
        <v>33</v>
      </c>
      <c r="O817" t="s">
        <v>61</v>
      </c>
      <c r="P817" t="s">
        <v>2031</v>
      </c>
      <c r="Q817">
        <f>_xlfn.XLOOKUP(Table3[[#This Row],[Product Name]],Sales!A:A,Sales!B:B)</f>
        <v>213.92</v>
      </c>
      <c r="R817">
        <f>_xlfn.XLOOKUP(Table3[[#This Row],[Product Name]],Sales!A:A,Sales!C:C)</f>
        <v>4</v>
      </c>
      <c r="S817">
        <f>_xlfn.XLOOKUP(Table3[[#This Row],[Product Name]],Sales!A:A,Sales!D:D)</f>
        <v>0</v>
      </c>
      <c r="T817">
        <f>_xlfn.XLOOKUP(Table3[[#This Row],[Product Name]],Sales!A:A,Sales!E:E)</f>
        <v>62.036799999999999</v>
      </c>
    </row>
    <row r="818" spans="1:20" x14ac:dyDescent="0.3">
      <c r="A818">
        <v>813</v>
      </c>
      <c r="B818" t="s">
        <v>2027</v>
      </c>
      <c r="C818">
        <v>13</v>
      </c>
      <c r="D818">
        <v>10</v>
      </c>
      <c r="E818">
        <v>2018</v>
      </c>
      <c r="F818" t="s">
        <v>142</v>
      </c>
      <c r="G818" t="s">
        <v>1570</v>
      </c>
      <c r="H818" t="s">
        <v>2843</v>
      </c>
      <c r="I818" t="s">
        <v>19</v>
      </c>
      <c r="J818" t="s">
        <v>2587</v>
      </c>
      <c r="K818" t="s">
        <v>31</v>
      </c>
      <c r="L818">
        <v>98026</v>
      </c>
      <c r="M818" t="s">
        <v>1710</v>
      </c>
      <c r="N818" t="s">
        <v>54</v>
      </c>
      <c r="O818" t="s">
        <v>118</v>
      </c>
      <c r="P818" t="s">
        <v>1711</v>
      </c>
      <c r="Q818">
        <f>_xlfn.XLOOKUP(Table3[[#This Row],[Product Name]],Sales!A:A,Sales!B:B)</f>
        <v>103.12</v>
      </c>
      <c r="R818">
        <f>_xlfn.XLOOKUP(Table3[[#This Row],[Product Name]],Sales!A:A,Sales!C:C)</f>
        <v>8</v>
      </c>
      <c r="S818">
        <f>_xlfn.XLOOKUP(Table3[[#This Row],[Product Name]],Sales!A:A,Sales!D:D)</f>
        <v>0</v>
      </c>
      <c r="T818">
        <f>_xlfn.XLOOKUP(Table3[[#This Row],[Product Name]],Sales!A:A,Sales!E:E)</f>
        <v>10.311999999999999</v>
      </c>
    </row>
    <row r="819" spans="1:20" x14ac:dyDescent="0.3">
      <c r="A819">
        <v>814</v>
      </c>
      <c r="B819" t="s">
        <v>2032</v>
      </c>
      <c r="C819">
        <v>14</v>
      </c>
      <c r="D819">
        <v>5</v>
      </c>
      <c r="E819">
        <v>2021</v>
      </c>
      <c r="F819" t="s">
        <v>1010</v>
      </c>
      <c r="G819" t="s">
        <v>2033</v>
      </c>
      <c r="H819" t="s">
        <v>2917</v>
      </c>
      <c r="I819" t="s">
        <v>19</v>
      </c>
      <c r="J819" t="s">
        <v>2588</v>
      </c>
      <c r="K819" t="s">
        <v>31</v>
      </c>
      <c r="L819">
        <v>92704</v>
      </c>
      <c r="M819" t="s">
        <v>2017</v>
      </c>
      <c r="N819" t="s">
        <v>22</v>
      </c>
      <c r="O819" t="s">
        <v>48</v>
      </c>
      <c r="P819" t="s">
        <v>2018</v>
      </c>
      <c r="Q819">
        <f>_xlfn.XLOOKUP(Table3[[#This Row],[Product Name]],Sales!A:A,Sales!B:B)</f>
        <v>18.28</v>
      </c>
      <c r="R819">
        <f>_xlfn.XLOOKUP(Table3[[#This Row],[Product Name]],Sales!A:A,Sales!C:C)</f>
        <v>2</v>
      </c>
      <c r="S819">
        <f>_xlfn.XLOOKUP(Table3[[#This Row],[Product Name]],Sales!A:A,Sales!D:D)</f>
        <v>0</v>
      </c>
      <c r="T819">
        <f>_xlfn.XLOOKUP(Table3[[#This Row],[Product Name]],Sales!A:A,Sales!E:E)</f>
        <v>6.2152000000000003</v>
      </c>
    </row>
    <row r="820" spans="1:20" x14ac:dyDescent="0.3">
      <c r="A820">
        <v>815</v>
      </c>
      <c r="B820" t="s">
        <v>2032</v>
      </c>
      <c r="C820">
        <v>14</v>
      </c>
      <c r="D820">
        <v>5</v>
      </c>
      <c r="E820">
        <v>2021</v>
      </c>
      <c r="F820" t="s">
        <v>1010</v>
      </c>
      <c r="G820" t="s">
        <v>2033</v>
      </c>
      <c r="H820" t="s">
        <v>2917</v>
      </c>
      <c r="I820" t="s">
        <v>19</v>
      </c>
      <c r="J820" t="s">
        <v>2588</v>
      </c>
      <c r="K820" t="s">
        <v>31</v>
      </c>
      <c r="L820">
        <v>92704</v>
      </c>
      <c r="M820" t="s">
        <v>2034</v>
      </c>
      <c r="N820" t="s">
        <v>54</v>
      </c>
      <c r="O820" t="s">
        <v>118</v>
      </c>
      <c r="P820" t="s">
        <v>2035</v>
      </c>
      <c r="Q820">
        <f>_xlfn.XLOOKUP(Table3[[#This Row],[Product Name]],Sales!A:A,Sales!B:B)</f>
        <v>1399.93</v>
      </c>
      <c r="R820">
        <f>_xlfn.XLOOKUP(Table3[[#This Row],[Product Name]],Sales!A:A,Sales!C:C)</f>
        <v>7</v>
      </c>
      <c r="S820">
        <f>_xlfn.XLOOKUP(Table3[[#This Row],[Product Name]],Sales!A:A,Sales!D:D)</f>
        <v>0</v>
      </c>
      <c r="T820">
        <f>_xlfn.XLOOKUP(Table3[[#This Row],[Product Name]],Sales!A:A,Sales!E:E)</f>
        <v>601.96990000000005</v>
      </c>
    </row>
    <row r="821" spans="1:20" x14ac:dyDescent="0.3">
      <c r="A821">
        <v>816</v>
      </c>
      <c r="B821" t="s">
        <v>2036</v>
      </c>
      <c r="C821">
        <v>20</v>
      </c>
      <c r="D821">
        <v>3</v>
      </c>
      <c r="E821">
        <v>2019</v>
      </c>
      <c r="F821" t="s">
        <v>142</v>
      </c>
      <c r="G821" t="s">
        <v>2037</v>
      </c>
      <c r="H821" t="s">
        <v>2918</v>
      </c>
      <c r="I821" t="s">
        <v>30</v>
      </c>
      <c r="J821" t="s">
        <v>2589</v>
      </c>
      <c r="K821" t="s">
        <v>79</v>
      </c>
      <c r="L821">
        <v>53209</v>
      </c>
      <c r="M821" t="s">
        <v>586</v>
      </c>
      <c r="N821" t="s">
        <v>33</v>
      </c>
      <c r="O821" t="s">
        <v>70</v>
      </c>
      <c r="P821" t="s">
        <v>587</v>
      </c>
      <c r="Q821">
        <f>_xlfn.XLOOKUP(Table3[[#This Row],[Product Name]],Sales!A:A,Sales!B:B)</f>
        <v>51.84</v>
      </c>
      <c r="R821">
        <f>_xlfn.XLOOKUP(Table3[[#This Row],[Product Name]],Sales!A:A,Sales!C:C)</f>
        <v>8</v>
      </c>
      <c r="S821">
        <f>_xlfn.XLOOKUP(Table3[[#This Row],[Product Name]],Sales!A:A,Sales!D:D)</f>
        <v>0</v>
      </c>
      <c r="T821">
        <f>_xlfn.XLOOKUP(Table3[[#This Row],[Product Name]],Sales!A:A,Sales!E:E)</f>
        <v>24.883199999999999</v>
      </c>
    </row>
    <row r="822" spans="1:20" x14ac:dyDescent="0.3">
      <c r="A822">
        <v>817</v>
      </c>
      <c r="B822" t="s">
        <v>2038</v>
      </c>
      <c r="C822">
        <v>15</v>
      </c>
      <c r="D822">
        <v>9</v>
      </c>
      <c r="E822">
        <v>2020</v>
      </c>
      <c r="F822" t="s">
        <v>37</v>
      </c>
      <c r="G822" t="s">
        <v>1404</v>
      </c>
      <c r="H822" t="s">
        <v>2813</v>
      </c>
      <c r="I822" t="s">
        <v>19</v>
      </c>
      <c r="J822" t="s">
        <v>2424</v>
      </c>
      <c r="K822" t="s">
        <v>108</v>
      </c>
      <c r="L822">
        <v>19140</v>
      </c>
      <c r="M822" t="s">
        <v>2039</v>
      </c>
      <c r="N822" t="s">
        <v>33</v>
      </c>
      <c r="O822" t="s">
        <v>70</v>
      </c>
      <c r="P822" t="s">
        <v>2040</v>
      </c>
      <c r="Q822">
        <f>_xlfn.XLOOKUP(Table3[[#This Row],[Product Name]],Sales!A:A,Sales!B:B)</f>
        <v>5.3440000000000003</v>
      </c>
      <c r="R822">
        <f>_xlfn.XLOOKUP(Table3[[#This Row],[Product Name]],Sales!A:A,Sales!C:C)</f>
        <v>1</v>
      </c>
      <c r="S822">
        <f>_xlfn.XLOOKUP(Table3[[#This Row],[Product Name]],Sales!A:A,Sales!D:D)</f>
        <v>0.2</v>
      </c>
      <c r="T822">
        <f>_xlfn.XLOOKUP(Table3[[#This Row],[Product Name]],Sales!A:A,Sales!E:E)</f>
        <v>1.8704000000000001</v>
      </c>
    </row>
    <row r="823" spans="1:20" x14ac:dyDescent="0.3">
      <c r="A823">
        <v>818</v>
      </c>
      <c r="B823" t="s">
        <v>2041</v>
      </c>
      <c r="C823">
        <v>28</v>
      </c>
      <c r="D823">
        <v>6</v>
      </c>
      <c r="E823">
        <v>2018</v>
      </c>
      <c r="F823" t="s">
        <v>37</v>
      </c>
      <c r="G823" t="s">
        <v>1514</v>
      </c>
      <c r="H823" t="s">
        <v>2832</v>
      </c>
      <c r="I823" t="s">
        <v>19</v>
      </c>
      <c r="J823" t="s">
        <v>2424</v>
      </c>
      <c r="K823" t="s">
        <v>108</v>
      </c>
      <c r="L823">
        <v>19140</v>
      </c>
      <c r="M823" t="s">
        <v>303</v>
      </c>
      <c r="N823" t="s">
        <v>33</v>
      </c>
      <c r="O823" t="s">
        <v>70</v>
      </c>
      <c r="P823" t="s">
        <v>304</v>
      </c>
      <c r="Q823">
        <f>_xlfn.XLOOKUP(Table3[[#This Row],[Product Name]],Sales!A:A,Sales!B:B)</f>
        <v>6.48</v>
      </c>
      <c r="R823">
        <f>_xlfn.XLOOKUP(Table3[[#This Row],[Product Name]],Sales!A:A,Sales!C:C)</f>
        <v>1</v>
      </c>
      <c r="S823">
        <f>_xlfn.XLOOKUP(Table3[[#This Row],[Product Name]],Sales!A:A,Sales!D:D)</f>
        <v>0</v>
      </c>
      <c r="T823">
        <f>_xlfn.XLOOKUP(Table3[[#This Row],[Product Name]],Sales!A:A,Sales!E:E)</f>
        <v>3.1103999999999998</v>
      </c>
    </row>
    <row r="824" spans="1:20" x14ac:dyDescent="0.3">
      <c r="A824">
        <v>819</v>
      </c>
      <c r="B824" t="s">
        <v>2041</v>
      </c>
      <c r="C824">
        <v>28</v>
      </c>
      <c r="D824">
        <v>6</v>
      </c>
      <c r="E824">
        <v>2018</v>
      </c>
      <c r="F824" t="s">
        <v>37</v>
      </c>
      <c r="G824" t="s">
        <v>1514</v>
      </c>
      <c r="H824" t="s">
        <v>2832</v>
      </c>
      <c r="I824" t="s">
        <v>19</v>
      </c>
      <c r="J824" t="s">
        <v>2424</v>
      </c>
      <c r="K824" t="s">
        <v>108</v>
      </c>
      <c r="L824">
        <v>19140</v>
      </c>
      <c r="M824" t="s">
        <v>2042</v>
      </c>
      <c r="N824" t="s">
        <v>33</v>
      </c>
      <c r="O824" t="s">
        <v>58</v>
      </c>
      <c r="P824" t="s">
        <v>2043</v>
      </c>
      <c r="Q824">
        <f>_xlfn.XLOOKUP(Table3[[#This Row],[Product Name]],Sales!A:A,Sales!B:B)</f>
        <v>3.1680000000000001</v>
      </c>
      <c r="R824">
        <f>_xlfn.XLOOKUP(Table3[[#This Row],[Product Name]],Sales!A:A,Sales!C:C)</f>
        <v>3</v>
      </c>
      <c r="S824">
        <f>_xlfn.XLOOKUP(Table3[[#This Row],[Product Name]],Sales!A:A,Sales!D:D)</f>
        <v>0.7</v>
      </c>
      <c r="T824">
        <f>_xlfn.XLOOKUP(Table3[[#This Row],[Product Name]],Sales!A:A,Sales!E:E)</f>
        <v>-2.4287999999999998</v>
      </c>
    </row>
    <row r="825" spans="1:20" x14ac:dyDescent="0.3">
      <c r="A825">
        <v>820</v>
      </c>
      <c r="B825" t="s">
        <v>2041</v>
      </c>
      <c r="C825">
        <v>28</v>
      </c>
      <c r="D825">
        <v>6</v>
      </c>
      <c r="E825">
        <v>2018</v>
      </c>
      <c r="F825" t="s">
        <v>37</v>
      </c>
      <c r="G825" t="s">
        <v>1514</v>
      </c>
      <c r="H825" t="s">
        <v>2832</v>
      </c>
      <c r="I825" t="s">
        <v>19</v>
      </c>
      <c r="J825" t="s">
        <v>2424</v>
      </c>
      <c r="K825" t="s">
        <v>108</v>
      </c>
      <c r="L825">
        <v>19140</v>
      </c>
      <c r="M825" t="s">
        <v>2044</v>
      </c>
      <c r="N825" t="s">
        <v>22</v>
      </c>
      <c r="O825" t="s">
        <v>26</v>
      </c>
      <c r="P825" t="s">
        <v>2045</v>
      </c>
      <c r="Q825">
        <f>_xlfn.XLOOKUP(Table3[[#This Row],[Product Name]],Sales!A:A,Sales!B:B)</f>
        <v>1228.4649999999999</v>
      </c>
      <c r="R825">
        <f>_xlfn.XLOOKUP(Table3[[#This Row],[Product Name]],Sales!A:A,Sales!C:C)</f>
        <v>5</v>
      </c>
      <c r="S825">
        <f>_xlfn.XLOOKUP(Table3[[#This Row],[Product Name]],Sales!A:A,Sales!D:D)</f>
        <v>0.3</v>
      </c>
      <c r="T825">
        <f>_xlfn.XLOOKUP(Table3[[#This Row],[Product Name]],Sales!A:A,Sales!E:E)</f>
        <v>0</v>
      </c>
    </row>
    <row r="826" spans="1:20" x14ac:dyDescent="0.3">
      <c r="A826">
        <v>821</v>
      </c>
      <c r="B826" t="s">
        <v>2041</v>
      </c>
      <c r="C826">
        <v>28</v>
      </c>
      <c r="D826">
        <v>6</v>
      </c>
      <c r="E826">
        <v>2018</v>
      </c>
      <c r="F826" t="s">
        <v>37</v>
      </c>
      <c r="G826" t="s">
        <v>1514</v>
      </c>
      <c r="H826" t="s">
        <v>2832</v>
      </c>
      <c r="I826" t="s">
        <v>19</v>
      </c>
      <c r="J826" t="s">
        <v>2424</v>
      </c>
      <c r="K826" t="s">
        <v>108</v>
      </c>
      <c r="L826">
        <v>19140</v>
      </c>
      <c r="M826" t="s">
        <v>2046</v>
      </c>
      <c r="N826" t="s">
        <v>33</v>
      </c>
      <c r="O826" t="s">
        <v>58</v>
      </c>
      <c r="P826" t="s">
        <v>2047</v>
      </c>
      <c r="Q826">
        <f>_xlfn.XLOOKUP(Table3[[#This Row],[Product Name]],Sales!A:A,Sales!B:B)</f>
        <v>31.085999999999999</v>
      </c>
      <c r="R826">
        <f>_xlfn.XLOOKUP(Table3[[#This Row],[Product Name]],Sales!A:A,Sales!C:C)</f>
        <v>3</v>
      </c>
      <c r="S826">
        <f>_xlfn.XLOOKUP(Table3[[#This Row],[Product Name]],Sales!A:A,Sales!D:D)</f>
        <v>0.7</v>
      </c>
      <c r="T826">
        <f>_xlfn.XLOOKUP(Table3[[#This Row],[Product Name]],Sales!A:A,Sales!E:E)</f>
        <v>-22.796399999999998</v>
      </c>
    </row>
    <row r="827" spans="1:20" x14ac:dyDescent="0.3">
      <c r="A827">
        <v>822</v>
      </c>
      <c r="B827" t="s">
        <v>2041</v>
      </c>
      <c r="C827">
        <v>28</v>
      </c>
      <c r="D827">
        <v>6</v>
      </c>
      <c r="E827">
        <v>2018</v>
      </c>
      <c r="F827" t="s">
        <v>37</v>
      </c>
      <c r="G827" t="s">
        <v>1514</v>
      </c>
      <c r="H827" t="s">
        <v>2832</v>
      </c>
      <c r="I827" t="s">
        <v>19</v>
      </c>
      <c r="J827" t="s">
        <v>2424</v>
      </c>
      <c r="K827" t="s">
        <v>108</v>
      </c>
      <c r="L827">
        <v>19140</v>
      </c>
      <c r="M827" t="s">
        <v>2048</v>
      </c>
      <c r="N827" t="s">
        <v>33</v>
      </c>
      <c r="O827" t="s">
        <v>70</v>
      </c>
      <c r="P827" t="s">
        <v>2049</v>
      </c>
      <c r="Q827">
        <f>_xlfn.XLOOKUP(Table3[[#This Row],[Product Name]],Sales!A:A,Sales!B:B)</f>
        <v>335.52</v>
      </c>
      <c r="R827">
        <f>_xlfn.XLOOKUP(Table3[[#This Row],[Product Name]],Sales!A:A,Sales!C:C)</f>
        <v>4</v>
      </c>
      <c r="S827">
        <f>_xlfn.XLOOKUP(Table3[[#This Row],[Product Name]],Sales!A:A,Sales!D:D)</f>
        <v>0.2</v>
      </c>
      <c r="T827">
        <f>_xlfn.XLOOKUP(Table3[[#This Row],[Product Name]],Sales!A:A,Sales!E:E)</f>
        <v>117.432</v>
      </c>
    </row>
    <row r="828" spans="1:20" x14ac:dyDescent="0.3">
      <c r="A828">
        <v>823</v>
      </c>
      <c r="B828" t="s">
        <v>2050</v>
      </c>
      <c r="C828">
        <v>20</v>
      </c>
      <c r="D828">
        <v>6</v>
      </c>
      <c r="E828">
        <v>2021</v>
      </c>
      <c r="F828" t="s">
        <v>37</v>
      </c>
      <c r="G828" t="s">
        <v>2051</v>
      </c>
      <c r="H828" t="s">
        <v>2919</v>
      </c>
      <c r="I828" t="s">
        <v>19</v>
      </c>
      <c r="J828" t="s">
        <v>2496</v>
      </c>
      <c r="K828" t="s">
        <v>108</v>
      </c>
      <c r="L828">
        <v>7109</v>
      </c>
      <c r="M828" t="s">
        <v>2052</v>
      </c>
      <c r="N828" t="s">
        <v>54</v>
      </c>
      <c r="O828" t="s">
        <v>118</v>
      </c>
      <c r="P828" t="s">
        <v>2053</v>
      </c>
      <c r="Q828">
        <f>_xlfn.XLOOKUP(Table3[[#This Row],[Product Name]],Sales!A:A,Sales!B:B)</f>
        <v>239.97</v>
      </c>
      <c r="R828">
        <f>_xlfn.XLOOKUP(Table3[[#This Row],[Product Name]],Sales!A:A,Sales!C:C)</f>
        <v>3</v>
      </c>
      <c r="S828">
        <f>_xlfn.XLOOKUP(Table3[[#This Row],[Product Name]],Sales!A:A,Sales!D:D)</f>
        <v>0</v>
      </c>
      <c r="T828">
        <f>_xlfn.XLOOKUP(Table3[[#This Row],[Product Name]],Sales!A:A,Sales!E:E)</f>
        <v>71.991</v>
      </c>
    </row>
    <row r="829" spans="1:20" x14ac:dyDescent="0.3">
      <c r="A829">
        <v>824</v>
      </c>
      <c r="B829" t="s">
        <v>2050</v>
      </c>
      <c r="C829">
        <v>20</v>
      </c>
      <c r="D829">
        <v>6</v>
      </c>
      <c r="E829">
        <v>2021</v>
      </c>
      <c r="F829" t="s">
        <v>37</v>
      </c>
      <c r="G829" t="s">
        <v>2051</v>
      </c>
      <c r="H829" t="s">
        <v>2919</v>
      </c>
      <c r="I829" t="s">
        <v>19</v>
      </c>
      <c r="J829" t="s">
        <v>2496</v>
      </c>
      <c r="K829" t="s">
        <v>108</v>
      </c>
      <c r="L829">
        <v>7109</v>
      </c>
      <c r="M829" t="s">
        <v>1887</v>
      </c>
      <c r="N829" t="s">
        <v>33</v>
      </c>
      <c r="O829" t="s">
        <v>34</v>
      </c>
      <c r="P829" t="s">
        <v>1888</v>
      </c>
      <c r="Q829">
        <f>_xlfn.XLOOKUP(Table3[[#This Row],[Product Name]],Sales!A:A,Sales!B:B)</f>
        <v>11.784000000000001</v>
      </c>
      <c r="R829">
        <f>_xlfn.XLOOKUP(Table3[[#This Row],[Product Name]],Sales!A:A,Sales!C:C)</f>
        <v>3</v>
      </c>
      <c r="S829">
        <f>_xlfn.XLOOKUP(Table3[[#This Row],[Product Name]],Sales!A:A,Sales!D:D)</f>
        <v>0.2</v>
      </c>
      <c r="T829">
        <f>_xlfn.XLOOKUP(Table3[[#This Row],[Product Name]],Sales!A:A,Sales!E:E)</f>
        <v>4.2717000000000001</v>
      </c>
    </row>
    <row r="830" spans="1:20" x14ac:dyDescent="0.3">
      <c r="A830">
        <v>825</v>
      </c>
      <c r="B830" t="s">
        <v>2054</v>
      </c>
      <c r="C830">
        <v>9</v>
      </c>
      <c r="D830">
        <v>5</v>
      </c>
      <c r="E830">
        <v>2018</v>
      </c>
      <c r="F830" t="s">
        <v>37</v>
      </c>
      <c r="G830" t="s">
        <v>2055</v>
      </c>
      <c r="H830" t="s">
        <v>2920</v>
      </c>
      <c r="I830" t="s">
        <v>19</v>
      </c>
      <c r="J830" t="s">
        <v>2422</v>
      </c>
      <c r="K830" t="s">
        <v>31</v>
      </c>
      <c r="L830">
        <v>94110</v>
      </c>
      <c r="M830" t="s">
        <v>2056</v>
      </c>
      <c r="N830" t="s">
        <v>54</v>
      </c>
      <c r="O830" t="s">
        <v>118</v>
      </c>
      <c r="P830" t="s">
        <v>2057</v>
      </c>
      <c r="Q830">
        <f>_xlfn.XLOOKUP(Table3[[#This Row],[Product Name]],Sales!A:A,Sales!B:B)</f>
        <v>67.8</v>
      </c>
      <c r="R830">
        <f>_xlfn.XLOOKUP(Table3[[#This Row],[Product Name]],Sales!A:A,Sales!C:C)</f>
        <v>4</v>
      </c>
      <c r="S830">
        <f>_xlfn.XLOOKUP(Table3[[#This Row],[Product Name]],Sales!A:A,Sales!D:D)</f>
        <v>0</v>
      </c>
      <c r="T830">
        <f>_xlfn.XLOOKUP(Table3[[#This Row],[Product Name]],Sales!A:A,Sales!E:E)</f>
        <v>4.0679999999999996</v>
      </c>
    </row>
    <row r="831" spans="1:20" x14ac:dyDescent="0.3">
      <c r="A831">
        <v>826</v>
      </c>
      <c r="B831" t="s">
        <v>2054</v>
      </c>
      <c r="C831">
        <v>9</v>
      </c>
      <c r="D831">
        <v>5</v>
      </c>
      <c r="E831">
        <v>2018</v>
      </c>
      <c r="F831" t="s">
        <v>37</v>
      </c>
      <c r="G831" t="s">
        <v>2055</v>
      </c>
      <c r="H831" t="s">
        <v>2920</v>
      </c>
      <c r="I831" t="s">
        <v>19</v>
      </c>
      <c r="J831" t="s">
        <v>2422</v>
      </c>
      <c r="K831" t="s">
        <v>31</v>
      </c>
      <c r="L831">
        <v>94110</v>
      </c>
      <c r="M831" t="s">
        <v>651</v>
      </c>
      <c r="N831" t="s">
        <v>54</v>
      </c>
      <c r="O831" t="s">
        <v>118</v>
      </c>
      <c r="P831" t="s">
        <v>652</v>
      </c>
      <c r="Q831">
        <f>_xlfn.XLOOKUP(Table3[[#This Row],[Product Name]],Sales!A:A,Sales!B:B)</f>
        <v>89.584000000000003</v>
      </c>
      <c r="R831">
        <f>_xlfn.XLOOKUP(Table3[[#This Row],[Product Name]],Sales!A:A,Sales!C:C)</f>
        <v>2</v>
      </c>
      <c r="S831">
        <f>_xlfn.XLOOKUP(Table3[[#This Row],[Product Name]],Sales!A:A,Sales!D:D)</f>
        <v>0.2</v>
      </c>
      <c r="T831">
        <f>_xlfn.XLOOKUP(Table3[[#This Row],[Product Name]],Sales!A:A,Sales!E:E)</f>
        <v>4.4791999999999996</v>
      </c>
    </row>
    <row r="832" spans="1:20" x14ac:dyDescent="0.3">
      <c r="A832">
        <v>827</v>
      </c>
      <c r="B832" t="s">
        <v>2058</v>
      </c>
      <c r="C832">
        <v>21</v>
      </c>
      <c r="D832">
        <v>8</v>
      </c>
      <c r="E832">
        <v>2021</v>
      </c>
      <c r="F832" t="s">
        <v>37</v>
      </c>
      <c r="G832" t="s">
        <v>1491</v>
      </c>
      <c r="H832" t="s">
        <v>2828</v>
      </c>
      <c r="I832" t="s">
        <v>19</v>
      </c>
      <c r="J832" t="s">
        <v>2486</v>
      </c>
      <c r="K832" t="s">
        <v>79</v>
      </c>
      <c r="L832">
        <v>55044</v>
      </c>
      <c r="M832" t="s">
        <v>2059</v>
      </c>
      <c r="N832" t="s">
        <v>33</v>
      </c>
      <c r="O832" t="s">
        <v>199</v>
      </c>
      <c r="P832" t="s">
        <v>2060</v>
      </c>
      <c r="Q832">
        <f>_xlfn.XLOOKUP(Table3[[#This Row],[Product Name]],Sales!A:A,Sales!B:B)</f>
        <v>35</v>
      </c>
      <c r="R832">
        <f>_xlfn.XLOOKUP(Table3[[#This Row],[Product Name]],Sales!A:A,Sales!C:C)</f>
        <v>7</v>
      </c>
      <c r="S832">
        <f>_xlfn.XLOOKUP(Table3[[#This Row],[Product Name]],Sales!A:A,Sales!D:D)</f>
        <v>0</v>
      </c>
      <c r="T832">
        <f>_xlfn.XLOOKUP(Table3[[#This Row],[Product Name]],Sales!A:A,Sales!E:E)</f>
        <v>16.8</v>
      </c>
    </row>
    <row r="833" spans="1:20" x14ac:dyDescent="0.3">
      <c r="A833">
        <v>828</v>
      </c>
      <c r="B833" t="s">
        <v>2058</v>
      </c>
      <c r="C833">
        <v>21</v>
      </c>
      <c r="D833">
        <v>8</v>
      </c>
      <c r="E833">
        <v>2021</v>
      </c>
      <c r="F833" t="s">
        <v>37</v>
      </c>
      <c r="G833" t="s">
        <v>1491</v>
      </c>
      <c r="H833" t="s">
        <v>2828</v>
      </c>
      <c r="I833" t="s">
        <v>19</v>
      </c>
      <c r="J833" t="s">
        <v>2486</v>
      </c>
      <c r="K833" t="s">
        <v>79</v>
      </c>
      <c r="L833">
        <v>55044</v>
      </c>
      <c r="M833" t="s">
        <v>2061</v>
      </c>
      <c r="N833" t="s">
        <v>33</v>
      </c>
      <c r="O833" t="s">
        <v>438</v>
      </c>
      <c r="P833" t="s">
        <v>2062</v>
      </c>
      <c r="Q833">
        <f>_xlfn.XLOOKUP(Table3[[#This Row],[Product Name]],Sales!A:A,Sales!B:B)</f>
        <v>37.24</v>
      </c>
      <c r="R833">
        <f>_xlfn.XLOOKUP(Table3[[#This Row],[Product Name]],Sales!A:A,Sales!C:C)</f>
        <v>4</v>
      </c>
      <c r="S833">
        <f>_xlfn.XLOOKUP(Table3[[#This Row],[Product Name]],Sales!A:A,Sales!D:D)</f>
        <v>0</v>
      </c>
      <c r="T833">
        <f>_xlfn.XLOOKUP(Table3[[#This Row],[Product Name]],Sales!A:A,Sales!E:E)</f>
        <v>10.7996</v>
      </c>
    </row>
    <row r="834" spans="1:20" x14ac:dyDescent="0.3">
      <c r="A834">
        <v>829</v>
      </c>
      <c r="B834" t="s">
        <v>2058</v>
      </c>
      <c r="C834">
        <v>21</v>
      </c>
      <c r="D834">
        <v>8</v>
      </c>
      <c r="E834">
        <v>2021</v>
      </c>
      <c r="F834" t="s">
        <v>37</v>
      </c>
      <c r="G834" t="s">
        <v>1491</v>
      </c>
      <c r="H834" t="s">
        <v>2828</v>
      </c>
      <c r="I834" t="s">
        <v>19</v>
      </c>
      <c r="J834" t="s">
        <v>2486</v>
      </c>
      <c r="K834" t="s">
        <v>79</v>
      </c>
      <c r="L834">
        <v>55044</v>
      </c>
      <c r="M834" t="s">
        <v>2063</v>
      </c>
      <c r="N834" t="s">
        <v>33</v>
      </c>
      <c r="O834" t="s">
        <v>129</v>
      </c>
      <c r="P834" t="s">
        <v>2064</v>
      </c>
      <c r="Q834">
        <f>_xlfn.XLOOKUP(Table3[[#This Row],[Product Name]],Sales!A:A,Sales!B:B)</f>
        <v>15.28</v>
      </c>
      <c r="R834">
        <f>_xlfn.XLOOKUP(Table3[[#This Row],[Product Name]],Sales!A:A,Sales!C:C)</f>
        <v>2</v>
      </c>
      <c r="S834">
        <f>_xlfn.XLOOKUP(Table3[[#This Row],[Product Name]],Sales!A:A,Sales!D:D)</f>
        <v>0</v>
      </c>
      <c r="T834">
        <f>_xlfn.XLOOKUP(Table3[[#This Row],[Product Name]],Sales!A:A,Sales!E:E)</f>
        <v>7.4871999999999996</v>
      </c>
    </row>
    <row r="835" spans="1:20" x14ac:dyDescent="0.3">
      <c r="A835">
        <v>830</v>
      </c>
      <c r="B835" t="s">
        <v>2065</v>
      </c>
      <c r="C835">
        <v>16</v>
      </c>
      <c r="D835">
        <v>6</v>
      </c>
      <c r="E835">
        <v>2021</v>
      </c>
      <c r="F835" t="s">
        <v>17</v>
      </c>
      <c r="G835" t="s">
        <v>249</v>
      </c>
      <c r="H835" t="s">
        <v>2641</v>
      </c>
      <c r="I835" t="s">
        <v>19</v>
      </c>
      <c r="J835" t="s">
        <v>2590</v>
      </c>
      <c r="K835" t="s">
        <v>20</v>
      </c>
      <c r="L835">
        <v>41042</v>
      </c>
      <c r="M835" t="s">
        <v>2066</v>
      </c>
      <c r="N835" t="s">
        <v>22</v>
      </c>
      <c r="O835" t="s">
        <v>26</v>
      </c>
      <c r="P835" t="s">
        <v>2067</v>
      </c>
      <c r="Q835">
        <f>_xlfn.XLOOKUP(Table3[[#This Row],[Product Name]],Sales!A:A,Sales!B:B)</f>
        <v>301.95999999999998</v>
      </c>
      <c r="R835">
        <f>_xlfn.XLOOKUP(Table3[[#This Row],[Product Name]],Sales!A:A,Sales!C:C)</f>
        <v>2</v>
      </c>
      <c r="S835">
        <f>_xlfn.XLOOKUP(Table3[[#This Row],[Product Name]],Sales!A:A,Sales!D:D)</f>
        <v>0</v>
      </c>
      <c r="T835">
        <f>_xlfn.XLOOKUP(Table3[[#This Row],[Product Name]],Sales!A:A,Sales!E:E)</f>
        <v>90.587999999999994</v>
      </c>
    </row>
    <row r="836" spans="1:20" x14ac:dyDescent="0.3">
      <c r="A836">
        <v>831</v>
      </c>
      <c r="B836" t="s">
        <v>2065</v>
      </c>
      <c r="C836">
        <v>16</v>
      </c>
      <c r="D836">
        <v>6</v>
      </c>
      <c r="E836">
        <v>2021</v>
      </c>
      <c r="F836" t="s">
        <v>17</v>
      </c>
      <c r="G836" t="s">
        <v>249</v>
      </c>
      <c r="H836" t="s">
        <v>2641</v>
      </c>
      <c r="I836" t="s">
        <v>19</v>
      </c>
      <c r="J836" t="s">
        <v>2590</v>
      </c>
      <c r="K836" t="s">
        <v>20</v>
      </c>
      <c r="L836">
        <v>41042</v>
      </c>
      <c r="M836" t="s">
        <v>2068</v>
      </c>
      <c r="N836" t="s">
        <v>33</v>
      </c>
      <c r="O836" t="s">
        <v>61</v>
      </c>
      <c r="P836" t="s">
        <v>2069</v>
      </c>
      <c r="Q836">
        <f>_xlfn.XLOOKUP(Table3[[#This Row],[Product Name]],Sales!A:A,Sales!B:B)</f>
        <v>180.66</v>
      </c>
      <c r="R836">
        <f>_xlfn.XLOOKUP(Table3[[#This Row],[Product Name]],Sales!A:A,Sales!C:C)</f>
        <v>3</v>
      </c>
      <c r="S836">
        <f>_xlfn.XLOOKUP(Table3[[#This Row],[Product Name]],Sales!A:A,Sales!D:D)</f>
        <v>0</v>
      </c>
      <c r="T836">
        <f>_xlfn.XLOOKUP(Table3[[#This Row],[Product Name]],Sales!A:A,Sales!E:E)</f>
        <v>50.584800000000001</v>
      </c>
    </row>
    <row r="837" spans="1:20" x14ac:dyDescent="0.3">
      <c r="A837">
        <v>832</v>
      </c>
      <c r="B837" t="s">
        <v>2065</v>
      </c>
      <c r="C837">
        <v>16</v>
      </c>
      <c r="D837">
        <v>6</v>
      </c>
      <c r="E837">
        <v>2021</v>
      </c>
      <c r="F837" t="s">
        <v>17</v>
      </c>
      <c r="G837" t="s">
        <v>249</v>
      </c>
      <c r="H837" t="s">
        <v>2641</v>
      </c>
      <c r="I837" t="s">
        <v>19</v>
      </c>
      <c r="J837" t="s">
        <v>2590</v>
      </c>
      <c r="K837" t="s">
        <v>20</v>
      </c>
      <c r="L837">
        <v>41042</v>
      </c>
      <c r="M837" t="s">
        <v>2070</v>
      </c>
      <c r="N837" t="s">
        <v>54</v>
      </c>
      <c r="O837" t="s">
        <v>55</v>
      </c>
      <c r="P837" t="s">
        <v>2071</v>
      </c>
      <c r="Q837">
        <f>_xlfn.XLOOKUP(Table3[[#This Row],[Product Name]],Sales!A:A,Sales!B:B)</f>
        <v>191.98</v>
      </c>
      <c r="R837">
        <f>_xlfn.XLOOKUP(Table3[[#This Row],[Product Name]],Sales!A:A,Sales!C:C)</f>
        <v>2</v>
      </c>
      <c r="S837">
        <f>_xlfn.XLOOKUP(Table3[[#This Row],[Product Name]],Sales!A:A,Sales!D:D)</f>
        <v>0</v>
      </c>
      <c r="T837">
        <f>_xlfn.XLOOKUP(Table3[[#This Row],[Product Name]],Sales!A:A,Sales!E:E)</f>
        <v>51.834600000000002</v>
      </c>
    </row>
    <row r="838" spans="1:20" x14ac:dyDescent="0.3">
      <c r="A838">
        <v>833</v>
      </c>
      <c r="B838" t="s">
        <v>2065</v>
      </c>
      <c r="C838">
        <v>16</v>
      </c>
      <c r="D838">
        <v>6</v>
      </c>
      <c r="E838">
        <v>2021</v>
      </c>
      <c r="F838" t="s">
        <v>17</v>
      </c>
      <c r="G838" t="s">
        <v>249</v>
      </c>
      <c r="H838" t="s">
        <v>2641</v>
      </c>
      <c r="I838" t="s">
        <v>19</v>
      </c>
      <c r="J838" t="s">
        <v>2590</v>
      </c>
      <c r="K838" t="s">
        <v>20</v>
      </c>
      <c r="L838">
        <v>41042</v>
      </c>
      <c r="M838" t="s">
        <v>2072</v>
      </c>
      <c r="N838" t="s">
        <v>54</v>
      </c>
      <c r="O838" t="s">
        <v>55</v>
      </c>
      <c r="P838" t="s">
        <v>2073</v>
      </c>
      <c r="Q838">
        <f>_xlfn.XLOOKUP(Table3[[#This Row],[Product Name]],Sales!A:A,Sales!B:B)</f>
        <v>65.989999999999995</v>
      </c>
      <c r="R838">
        <f>_xlfn.XLOOKUP(Table3[[#This Row],[Product Name]],Sales!A:A,Sales!C:C)</f>
        <v>1</v>
      </c>
      <c r="S838">
        <f>_xlfn.XLOOKUP(Table3[[#This Row],[Product Name]],Sales!A:A,Sales!D:D)</f>
        <v>0</v>
      </c>
      <c r="T838">
        <f>_xlfn.XLOOKUP(Table3[[#This Row],[Product Name]],Sales!A:A,Sales!E:E)</f>
        <v>17.157399999999999</v>
      </c>
    </row>
    <row r="839" spans="1:20" x14ac:dyDescent="0.3">
      <c r="A839">
        <v>834</v>
      </c>
      <c r="B839" t="s">
        <v>2074</v>
      </c>
      <c r="C839">
        <v>23</v>
      </c>
      <c r="D839">
        <v>7</v>
      </c>
      <c r="E839">
        <v>2020</v>
      </c>
      <c r="F839" t="s">
        <v>37</v>
      </c>
      <c r="G839" t="s">
        <v>536</v>
      </c>
      <c r="H839" t="s">
        <v>2690</v>
      </c>
      <c r="I839" t="s">
        <v>30</v>
      </c>
      <c r="J839" t="s">
        <v>2484</v>
      </c>
      <c r="K839" t="s">
        <v>20</v>
      </c>
      <c r="L839">
        <v>33614</v>
      </c>
      <c r="M839" t="s">
        <v>2075</v>
      </c>
      <c r="N839" t="s">
        <v>33</v>
      </c>
      <c r="O839" t="s">
        <v>51</v>
      </c>
      <c r="P839" t="s">
        <v>2076</v>
      </c>
      <c r="Q839">
        <f>_xlfn.XLOOKUP(Table3[[#This Row],[Product Name]],Sales!A:A,Sales!B:B)</f>
        <v>35.216000000000001</v>
      </c>
      <c r="R839">
        <f>_xlfn.XLOOKUP(Table3[[#This Row],[Product Name]],Sales!A:A,Sales!C:C)</f>
        <v>2</v>
      </c>
      <c r="S839">
        <f>_xlfn.XLOOKUP(Table3[[#This Row],[Product Name]],Sales!A:A,Sales!D:D)</f>
        <v>0.2</v>
      </c>
      <c r="T839">
        <f>_xlfn.XLOOKUP(Table3[[#This Row],[Product Name]],Sales!A:A,Sales!E:E)</f>
        <v>2.6412</v>
      </c>
    </row>
    <row r="840" spans="1:20" x14ac:dyDescent="0.3">
      <c r="A840">
        <v>835</v>
      </c>
      <c r="B840" t="s">
        <v>2074</v>
      </c>
      <c r="C840">
        <v>23</v>
      </c>
      <c r="D840">
        <v>7</v>
      </c>
      <c r="E840">
        <v>2020</v>
      </c>
      <c r="F840" t="s">
        <v>37</v>
      </c>
      <c r="G840" t="s">
        <v>536</v>
      </c>
      <c r="H840" t="s">
        <v>2690</v>
      </c>
      <c r="I840" t="s">
        <v>30</v>
      </c>
      <c r="J840" t="s">
        <v>2484</v>
      </c>
      <c r="K840" t="s">
        <v>20</v>
      </c>
      <c r="L840">
        <v>33614</v>
      </c>
      <c r="M840" t="s">
        <v>2077</v>
      </c>
      <c r="N840" t="s">
        <v>33</v>
      </c>
      <c r="O840" t="s">
        <v>61</v>
      </c>
      <c r="P840" t="s">
        <v>2078</v>
      </c>
      <c r="Q840">
        <f>_xlfn.XLOOKUP(Table3[[#This Row],[Product Name]],Sales!A:A,Sales!B:B)</f>
        <v>23.696000000000002</v>
      </c>
      <c r="R840">
        <f>_xlfn.XLOOKUP(Table3[[#This Row],[Product Name]],Sales!A:A,Sales!C:C)</f>
        <v>2</v>
      </c>
      <c r="S840">
        <f>_xlfn.XLOOKUP(Table3[[#This Row],[Product Name]],Sales!A:A,Sales!D:D)</f>
        <v>0.2</v>
      </c>
      <c r="T840">
        <f>_xlfn.XLOOKUP(Table3[[#This Row],[Product Name]],Sales!A:A,Sales!E:E)</f>
        <v>6.5164</v>
      </c>
    </row>
    <row r="841" spans="1:20" x14ac:dyDescent="0.3">
      <c r="A841">
        <v>836</v>
      </c>
      <c r="B841" t="s">
        <v>2074</v>
      </c>
      <c r="C841">
        <v>23</v>
      </c>
      <c r="D841">
        <v>7</v>
      </c>
      <c r="E841">
        <v>2020</v>
      </c>
      <c r="F841" t="s">
        <v>37</v>
      </c>
      <c r="G841" t="s">
        <v>536</v>
      </c>
      <c r="H841" t="s">
        <v>2690</v>
      </c>
      <c r="I841" t="s">
        <v>30</v>
      </c>
      <c r="J841" t="s">
        <v>2484</v>
      </c>
      <c r="K841" t="s">
        <v>20</v>
      </c>
      <c r="L841">
        <v>33614</v>
      </c>
      <c r="M841" t="s">
        <v>2079</v>
      </c>
      <c r="N841" t="s">
        <v>54</v>
      </c>
      <c r="O841" t="s">
        <v>515</v>
      </c>
      <c r="P841" t="s">
        <v>2080</v>
      </c>
      <c r="Q841">
        <f>_xlfn.XLOOKUP(Table3[[#This Row],[Product Name]],Sales!A:A,Sales!B:B)</f>
        <v>265.47500000000002</v>
      </c>
      <c r="R841">
        <f>_xlfn.XLOOKUP(Table3[[#This Row],[Product Name]],Sales!A:A,Sales!C:C)</f>
        <v>1</v>
      </c>
      <c r="S841">
        <f>_xlfn.XLOOKUP(Table3[[#This Row],[Product Name]],Sales!A:A,Sales!D:D)</f>
        <v>0.5</v>
      </c>
      <c r="T841">
        <f>_xlfn.XLOOKUP(Table3[[#This Row],[Product Name]],Sales!A:A,Sales!E:E)</f>
        <v>-111.4995</v>
      </c>
    </row>
    <row r="842" spans="1:20" x14ac:dyDescent="0.3">
      <c r="A842">
        <v>837</v>
      </c>
      <c r="B842" t="s">
        <v>2081</v>
      </c>
      <c r="C842">
        <v>8</v>
      </c>
      <c r="D842">
        <v>9</v>
      </c>
      <c r="E842">
        <v>2018</v>
      </c>
      <c r="F842" t="s">
        <v>17</v>
      </c>
      <c r="G842" t="s">
        <v>1929</v>
      </c>
      <c r="H842" t="s">
        <v>2903</v>
      </c>
      <c r="I842" t="s">
        <v>19</v>
      </c>
      <c r="J842" t="s">
        <v>2568</v>
      </c>
      <c r="K842" t="s">
        <v>79</v>
      </c>
      <c r="L842">
        <v>75701</v>
      </c>
      <c r="M842" t="s">
        <v>2082</v>
      </c>
      <c r="N842" t="s">
        <v>33</v>
      </c>
      <c r="O842" t="s">
        <v>58</v>
      </c>
      <c r="P842" t="s">
        <v>2083</v>
      </c>
      <c r="Q842">
        <f>_xlfn.XLOOKUP(Table3[[#This Row],[Product Name]],Sales!A:A,Sales!B:B)</f>
        <v>51.183999999999997</v>
      </c>
      <c r="R842">
        <f>_xlfn.XLOOKUP(Table3[[#This Row],[Product Name]],Sales!A:A,Sales!C:C)</f>
        <v>4</v>
      </c>
      <c r="S842">
        <f>_xlfn.XLOOKUP(Table3[[#This Row],[Product Name]],Sales!A:A,Sales!D:D)</f>
        <v>0.8</v>
      </c>
      <c r="T842">
        <f>_xlfn.XLOOKUP(Table3[[#This Row],[Product Name]],Sales!A:A,Sales!E:E)</f>
        <v>-79.3352</v>
      </c>
    </row>
    <row r="843" spans="1:20" x14ac:dyDescent="0.3">
      <c r="A843">
        <v>838</v>
      </c>
      <c r="B843" t="s">
        <v>2084</v>
      </c>
      <c r="C843">
        <v>4</v>
      </c>
      <c r="D843">
        <v>11</v>
      </c>
      <c r="E843">
        <v>2021</v>
      </c>
      <c r="F843" t="s">
        <v>37</v>
      </c>
      <c r="G843" t="s">
        <v>2085</v>
      </c>
      <c r="H843" t="s">
        <v>2921</v>
      </c>
      <c r="I843" t="s">
        <v>78</v>
      </c>
      <c r="J843" t="s">
        <v>2483</v>
      </c>
      <c r="K843" t="s">
        <v>20</v>
      </c>
      <c r="L843">
        <v>38401</v>
      </c>
      <c r="M843" t="s">
        <v>2086</v>
      </c>
      <c r="N843" t="s">
        <v>33</v>
      </c>
      <c r="O843" t="s">
        <v>70</v>
      </c>
      <c r="P843" t="s">
        <v>2087</v>
      </c>
      <c r="Q843">
        <f>_xlfn.XLOOKUP(Table3[[#This Row],[Product Name]],Sales!A:A,Sales!B:B)</f>
        <v>9.6639999999999997</v>
      </c>
      <c r="R843">
        <f>_xlfn.XLOOKUP(Table3[[#This Row],[Product Name]],Sales!A:A,Sales!C:C)</f>
        <v>2</v>
      </c>
      <c r="S843">
        <f>_xlfn.XLOOKUP(Table3[[#This Row],[Product Name]],Sales!A:A,Sales!D:D)</f>
        <v>0.2</v>
      </c>
      <c r="T843">
        <f>_xlfn.XLOOKUP(Table3[[#This Row],[Product Name]],Sales!A:A,Sales!E:E)</f>
        <v>3.2616000000000001</v>
      </c>
    </row>
    <row r="844" spans="1:20" x14ac:dyDescent="0.3">
      <c r="A844">
        <v>839</v>
      </c>
      <c r="B844" t="s">
        <v>2088</v>
      </c>
      <c r="C844">
        <v>7</v>
      </c>
      <c r="D844">
        <v>3</v>
      </c>
      <c r="E844">
        <v>2020</v>
      </c>
      <c r="F844" t="s">
        <v>37</v>
      </c>
      <c r="G844" t="s">
        <v>1240</v>
      </c>
      <c r="H844" t="s">
        <v>2792</v>
      </c>
      <c r="I844" t="s">
        <v>30</v>
      </c>
      <c r="J844" t="s">
        <v>2419</v>
      </c>
      <c r="K844" t="s">
        <v>79</v>
      </c>
      <c r="L844">
        <v>76106</v>
      </c>
      <c r="M844" t="s">
        <v>1237</v>
      </c>
      <c r="N844" t="s">
        <v>54</v>
      </c>
      <c r="O844" t="s">
        <v>55</v>
      </c>
      <c r="P844" t="s">
        <v>1238</v>
      </c>
      <c r="Q844">
        <f>_xlfn.XLOOKUP(Table3[[#This Row],[Product Name]],Sales!A:A,Sales!B:B)</f>
        <v>35.119999999999997</v>
      </c>
      <c r="R844">
        <f>_xlfn.XLOOKUP(Table3[[#This Row],[Product Name]],Sales!A:A,Sales!C:C)</f>
        <v>4</v>
      </c>
      <c r="S844">
        <f>_xlfn.XLOOKUP(Table3[[#This Row],[Product Name]],Sales!A:A,Sales!D:D)</f>
        <v>0</v>
      </c>
      <c r="T844">
        <f>_xlfn.XLOOKUP(Table3[[#This Row],[Product Name]],Sales!A:A,Sales!E:E)</f>
        <v>9.1311999999999998</v>
      </c>
    </row>
    <row r="845" spans="1:20" x14ac:dyDescent="0.3">
      <c r="A845">
        <v>840</v>
      </c>
      <c r="B845" t="s">
        <v>2089</v>
      </c>
      <c r="C845">
        <v>20</v>
      </c>
      <c r="D845">
        <v>11</v>
      </c>
      <c r="E845">
        <v>2019</v>
      </c>
      <c r="F845" t="s">
        <v>37</v>
      </c>
      <c r="G845" t="s">
        <v>2090</v>
      </c>
      <c r="H845" t="s">
        <v>2922</v>
      </c>
      <c r="I845" t="s">
        <v>30</v>
      </c>
      <c r="J845" t="s">
        <v>2434</v>
      </c>
      <c r="K845" t="s">
        <v>108</v>
      </c>
      <c r="L845">
        <v>10035</v>
      </c>
      <c r="M845" t="s">
        <v>1953</v>
      </c>
      <c r="N845" t="s">
        <v>33</v>
      </c>
      <c r="O845" t="s">
        <v>51</v>
      </c>
      <c r="P845" t="s">
        <v>1954</v>
      </c>
      <c r="Q845">
        <f>_xlfn.XLOOKUP(Table3[[#This Row],[Product Name]],Sales!A:A,Sales!B:B)</f>
        <v>40.299999999999997</v>
      </c>
      <c r="R845">
        <f>_xlfn.XLOOKUP(Table3[[#This Row],[Product Name]],Sales!A:A,Sales!C:C)</f>
        <v>2</v>
      </c>
      <c r="S845">
        <f>_xlfn.XLOOKUP(Table3[[#This Row],[Product Name]],Sales!A:A,Sales!D:D)</f>
        <v>0</v>
      </c>
      <c r="T845">
        <f>_xlfn.XLOOKUP(Table3[[#This Row],[Product Name]],Sales!A:A,Sales!E:E)</f>
        <v>10.881</v>
      </c>
    </row>
    <row r="846" spans="1:20" x14ac:dyDescent="0.3">
      <c r="A846">
        <v>841</v>
      </c>
      <c r="B846" t="s">
        <v>2089</v>
      </c>
      <c r="C846">
        <v>20</v>
      </c>
      <c r="D846">
        <v>11</v>
      </c>
      <c r="E846">
        <v>2019</v>
      </c>
      <c r="F846" t="s">
        <v>37</v>
      </c>
      <c r="G846" t="s">
        <v>2090</v>
      </c>
      <c r="H846" t="s">
        <v>2922</v>
      </c>
      <c r="I846" t="s">
        <v>30</v>
      </c>
      <c r="J846" t="s">
        <v>2434</v>
      </c>
      <c r="K846" t="s">
        <v>108</v>
      </c>
      <c r="L846">
        <v>10035</v>
      </c>
      <c r="M846" t="s">
        <v>2091</v>
      </c>
      <c r="N846" t="s">
        <v>33</v>
      </c>
      <c r="O846" t="s">
        <v>51</v>
      </c>
      <c r="P846" t="s">
        <v>2092</v>
      </c>
      <c r="Q846">
        <f>_xlfn.XLOOKUP(Table3[[#This Row],[Product Name]],Sales!A:A,Sales!B:B)</f>
        <v>11.52</v>
      </c>
      <c r="R846">
        <f>_xlfn.XLOOKUP(Table3[[#This Row],[Product Name]],Sales!A:A,Sales!C:C)</f>
        <v>4</v>
      </c>
      <c r="S846">
        <f>_xlfn.XLOOKUP(Table3[[#This Row],[Product Name]],Sales!A:A,Sales!D:D)</f>
        <v>0</v>
      </c>
      <c r="T846">
        <f>_xlfn.XLOOKUP(Table3[[#This Row],[Product Name]],Sales!A:A,Sales!E:E)</f>
        <v>3.3408000000000002</v>
      </c>
    </row>
    <row r="847" spans="1:20" x14ac:dyDescent="0.3">
      <c r="A847">
        <v>842</v>
      </c>
      <c r="B847" t="s">
        <v>2089</v>
      </c>
      <c r="C847">
        <v>20</v>
      </c>
      <c r="D847">
        <v>11</v>
      </c>
      <c r="E847">
        <v>2019</v>
      </c>
      <c r="F847" t="s">
        <v>37</v>
      </c>
      <c r="G847" t="s">
        <v>2090</v>
      </c>
      <c r="H847" t="s">
        <v>2922</v>
      </c>
      <c r="I847" t="s">
        <v>30</v>
      </c>
      <c r="J847" t="s">
        <v>2434</v>
      </c>
      <c r="K847" t="s">
        <v>108</v>
      </c>
      <c r="L847">
        <v>10035</v>
      </c>
      <c r="M847" t="s">
        <v>2093</v>
      </c>
      <c r="N847" t="s">
        <v>22</v>
      </c>
      <c r="O847" t="s">
        <v>23</v>
      </c>
      <c r="P847" t="s">
        <v>2094</v>
      </c>
      <c r="Q847">
        <f>_xlfn.XLOOKUP(Table3[[#This Row],[Product Name]],Sales!A:A,Sales!B:B)</f>
        <v>186.048</v>
      </c>
      <c r="R847">
        <f>_xlfn.XLOOKUP(Table3[[#This Row],[Product Name]],Sales!A:A,Sales!C:C)</f>
        <v>4</v>
      </c>
      <c r="S847">
        <f>_xlfn.XLOOKUP(Table3[[#This Row],[Product Name]],Sales!A:A,Sales!D:D)</f>
        <v>0.2</v>
      </c>
      <c r="T847">
        <f>_xlfn.XLOOKUP(Table3[[#This Row],[Product Name]],Sales!A:A,Sales!E:E)</f>
        <v>9.3024000000000004</v>
      </c>
    </row>
    <row r="848" spans="1:20" x14ac:dyDescent="0.3">
      <c r="A848">
        <v>843</v>
      </c>
      <c r="B848" t="s">
        <v>2095</v>
      </c>
      <c r="C848">
        <v>7</v>
      </c>
      <c r="D848">
        <v>11</v>
      </c>
      <c r="E848">
        <v>2020</v>
      </c>
      <c r="F848" t="s">
        <v>142</v>
      </c>
      <c r="G848" t="s">
        <v>2096</v>
      </c>
      <c r="H848" t="s">
        <v>2923</v>
      </c>
      <c r="I848" t="s">
        <v>30</v>
      </c>
      <c r="J848" t="s">
        <v>2415</v>
      </c>
      <c r="K848" t="s">
        <v>31</v>
      </c>
      <c r="L848">
        <v>90036</v>
      </c>
      <c r="M848" t="s">
        <v>2097</v>
      </c>
      <c r="N848" t="s">
        <v>33</v>
      </c>
      <c r="O848" t="s">
        <v>58</v>
      </c>
      <c r="P848" t="s">
        <v>2098</v>
      </c>
      <c r="Q848">
        <f>_xlfn.XLOOKUP(Table3[[#This Row],[Product Name]],Sales!A:A,Sales!B:B)</f>
        <v>37.44</v>
      </c>
      <c r="R848">
        <f>_xlfn.XLOOKUP(Table3[[#This Row],[Product Name]],Sales!A:A,Sales!C:C)</f>
        <v>4</v>
      </c>
      <c r="S848">
        <f>_xlfn.XLOOKUP(Table3[[#This Row],[Product Name]],Sales!A:A,Sales!D:D)</f>
        <v>0.2</v>
      </c>
      <c r="T848">
        <f>_xlfn.XLOOKUP(Table3[[#This Row],[Product Name]],Sales!A:A,Sales!E:E)</f>
        <v>11.7</v>
      </c>
    </row>
    <row r="849" spans="1:20" x14ac:dyDescent="0.3">
      <c r="A849">
        <v>844</v>
      </c>
      <c r="B849" t="s">
        <v>2095</v>
      </c>
      <c r="C849">
        <v>7</v>
      </c>
      <c r="D849">
        <v>11</v>
      </c>
      <c r="E849">
        <v>2020</v>
      </c>
      <c r="F849" t="s">
        <v>142</v>
      </c>
      <c r="G849" t="s">
        <v>2096</v>
      </c>
      <c r="H849" t="s">
        <v>2923</v>
      </c>
      <c r="I849" t="s">
        <v>30</v>
      </c>
      <c r="J849" t="s">
        <v>2415</v>
      </c>
      <c r="K849" t="s">
        <v>31</v>
      </c>
      <c r="L849">
        <v>90036</v>
      </c>
      <c r="M849" t="s">
        <v>2099</v>
      </c>
      <c r="N849" t="s">
        <v>33</v>
      </c>
      <c r="O849" t="s">
        <v>58</v>
      </c>
      <c r="P849" t="s">
        <v>2100</v>
      </c>
      <c r="Q849">
        <f>_xlfn.XLOOKUP(Table3[[#This Row],[Product Name]],Sales!A:A,Sales!B:B)</f>
        <v>26.975999999999999</v>
      </c>
      <c r="R849">
        <f>_xlfn.XLOOKUP(Table3[[#This Row],[Product Name]],Sales!A:A,Sales!C:C)</f>
        <v>4</v>
      </c>
      <c r="S849">
        <f>_xlfn.XLOOKUP(Table3[[#This Row],[Product Name]],Sales!A:A,Sales!D:D)</f>
        <v>0.2</v>
      </c>
      <c r="T849">
        <f>_xlfn.XLOOKUP(Table3[[#This Row],[Product Name]],Sales!A:A,Sales!E:E)</f>
        <v>8.7672000000000008</v>
      </c>
    </row>
    <row r="850" spans="1:20" x14ac:dyDescent="0.3">
      <c r="A850">
        <v>845</v>
      </c>
      <c r="B850" t="s">
        <v>2095</v>
      </c>
      <c r="C850">
        <v>7</v>
      </c>
      <c r="D850">
        <v>11</v>
      </c>
      <c r="E850">
        <v>2020</v>
      </c>
      <c r="F850" t="s">
        <v>142</v>
      </c>
      <c r="G850" t="s">
        <v>2096</v>
      </c>
      <c r="H850" t="s">
        <v>2923</v>
      </c>
      <c r="I850" t="s">
        <v>30</v>
      </c>
      <c r="J850" t="s">
        <v>2415</v>
      </c>
      <c r="K850" t="s">
        <v>31</v>
      </c>
      <c r="L850">
        <v>90036</v>
      </c>
      <c r="M850" t="s">
        <v>2101</v>
      </c>
      <c r="N850" t="s">
        <v>33</v>
      </c>
      <c r="O850" t="s">
        <v>438</v>
      </c>
      <c r="P850" t="s">
        <v>2102</v>
      </c>
      <c r="Q850">
        <f>_xlfn.XLOOKUP(Table3[[#This Row],[Product Name]],Sales!A:A,Sales!B:B)</f>
        <v>11.36</v>
      </c>
      <c r="R850">
        <f>_xlfn.XLOOKUP(Table3[[#This Row],[Product Name]],Sales!A:A,Sales!C:C)</f>
        <v>2</v>
      </c>
      <c r="S850">
        <f>_xlfn.XLOOKUP(Table3[[#This Row],[Product Name]],Sales!A:A,Sales!D:D)</f>
        <v>0</v>
      </c>
      <c r="T850">
        <f>_xlfn.XLOOKUP(Table3[[#This Row],[Product Name]],Sales!A:A,Sales!E:E)</f>
        <v>3.2944</v>
      </c>
    </row>
    <row r="851" spans="1:20" x14ac:dyDescent="0.3">
      <c r="A851">
        <v>846</v>
      </c>
      <c r="B851" t="s">
        <v>2095</v>
      </c>
      <c r="C851">
        <v>7</v>
      </c>
      <c r="D851">
        <v>11</v>
      </c>
      <c r="E851">
        <v>2020</v>
      </c>
      <c r="F851" t="s">
        <v>142</v>
      </c>
      <c r="G851" t="s">
        <v>2096</v>
      </c>
      <c r="H851" t="s">
        <v>2923</v>
      </c>
      <c r="I851" t="s">
        <v>30</v>
      </c>
      <c r="J851" t="s">
        <v>2415</v>
      </c>
      <c r="K851" t="s">
        <v>31</v>
      </c>
      <c r="L851">
        <v>90036</v>
      </c>
      <c r="M851" t="s">
        <v>2103</v>
      </c>
      <c r="N851" t="s">
        <v>33</v>
      </c>
      <c r="O851" t="s">
        <v>34</v>
      </c>
      <c r="P851" t="s">
        <v>2104</v>
      </c>
      <c r="Q851">
        <f>_xlfn.XLOOKUP(Table3[[#This Row],[Product Name]],Sales!A:A,Sales!B:B)</f>
        <v>14.62</v>
      </c>
      <c r="R851">
        <f>_xlfn.XLOOKUP(Table3[[#This Row],[Product Name]],Sales!A:A,Sales!C:C)</f>
        <v>2</v>
      </c>
      <c r="S851">
        <f>_xlfn.XLOOKUP(Table3[[#This Row],[Product Name]],Sales!A:A,Sales!D:D)</f>
        <v>0</v>
      </c>
      <c r="T851">
        <f>_xlfn.XLOOKUP(Table3[[#This Row],[Product Name]],Sales!A:A,Sales!E:E)</f>
        <v>6.8714000000000004</v>
      </c>
    </row>
    <row r="852" spans="1:20" x14ac:dyDescent="0.3">
      <c r="A852">
        <v>847</v>
      </c>
      <c r="B852" t="s">
        <v>2105</v>
      </c>
      <c r="C852">
        <v>13</v>
      </c>
      <c r="D852">
        <v>10</v>
      </c>
      <c r="E852">
        <v>2019</v>
      </c>
      <c r="F852" t="s">
        <v>37</v>
      </c>
      <c r="G852" t="s">
        <v>2106</v>
      </c>
      <c r="H852" t="s">
        <v>2924</v>
      </c>
      <c r="I852" t="s">
        <v>19</v>
      </c>
      <c r="J852" t="s">
        <v>2566</v>
      </c>
      <c r="K852" t="s">
        <v>20</v>
      </c>
      <c r="L852">
        <v>40214</v>
      </c>
      <c r="M852" t="s">
        <v>584</v>
      </c>
      <c r="N852" t="s">
        <v>54</v>
      </c>
      <c r="O852" t="s">
        <v>55</v>
      </c>
      <c r="P852" t="s">
        <v>585</v>
      </c>
      <c r="Q852">
        <f>_xlfn.XLOOKUP(Table3[[#This Row],[Product Name]],Sales!A:A,Sales!B:B)</f>
        <v>71.760000000000005</v>
      </c>
      <c r="R852">
        <f>_xlfn.XLOOKUP(Table3[[#This Row],[Product Name]],Sales!A:A,Sales!C:C)</f>
        <v>6</v>
      </c>
      <c r="S852">
        <f>_xlfn.XLOOKUP(Table3[[#This Row],[Product Name]],Sales!A:A,Sales!D:D)</f>
        <v>0</v>
      </c>
      <c r="T852">
        <f>_xlfn.XLOOKUP(Table3[[#This Row],[Product Name]],Sales!A:A,Sales!E:E)</f>
        <v>20.0928</v>
      </c>
    </row>
    <row r="853" spans="1:20" x14ac:dyDescent="0.3">
      <c r="A853">
        <v>848</v>
      </c>
      <c r="B853" t="s">
        <v>2105</v>
      </c>
      <c r="C853">
        <v>13</v>
      </c>
      <c r="D853">
        <v>10</v>
      </c>
      <c r="E853">
        <v>2019</v>
      </c>
      <c r="F853" t="s">
        <v>37</v>
      </c>
      <c r="G853" t="s">
        <v>2106</v>
      </c>
      <c r="H853" t="s">
        <v>2924</v>
      </c>
      <c r="I853" t="s">
        <v>19</v>
      </c>
      <c r="J853" t="s">
        <v>2566</v>
      </c>
      <c r="K853" t="s">
        <v>20</v>
      </c>
      <c r="L853">
        <v>40214</v>
      </c>
      <c r="M853" t="s">
        <v>841</v>
      </c>
      <c r="N853" t="s">
        <v>22</v>
      </c>
      <c r="O853" t="s">
        <v>26</v>
      </c>
      <c r="P853" t="s">
        <v>842</v>
      </c>
      <c r="Q853">
        <f>_xlfn.XLOOKUP(Table3[[#This Row],[Product Name]],Sales!A:A,Sales!B:B)</f>
        <v>230.352</v>
      </c>
      <c r="R853">
        <f>_xlfn.XLOOKUP(Table3[[#This Row],[Product Name]],Sales!A:A,Sales!C:C)</f>
        <v>3</v>
      </c>
      <c r="S853">
        <f>_xlfn.XLOOKUP(Table3[[#This Row],[Product Name]],Sales!A:A,Sales!D:D)</f>
        <v>0.2</v>
      </c>
      <c r="T853">
        <f>_xlfn.XLOOKUP(Table3[[#This Row],[Product Name]],Sales!A:A,Sales!E:E)</f>
        <v>20.155799999999999</v>
      </c>
    </row>
    <row r="854" spans="1:20" x14ac:dyDescent="0.3">
      <c r="A854">
        <v>849</v>
      </c>
      <c r="B854" t="s">
        <v>2107</v>
      </c>
      <c r="C854">
        <v>1</v>
      </c>
      <c r="D854">
        <v>1</v>
      </c>
      <c r="E854">
        <v>2021</v>
      </c>
      <c r="F854" t="s">
        <v>37</v>
      </c>
      <c r="G854" t="s">
        <v>2108</v>
      </c>
      <c r="H854" t="s">
        <v>2925</v>
      </c>
      <c r="I854" t="s">
        <v>19</v>
      </c>
      <c r="J854" t="s">
        <v>2591</v>
      </c>
      <c r="K854" t="s">
        <v>108</v>
      </c>
      <c r="L854">
        <v>44052</v>
      </c>
      <c r="M854" t="s">
        <v>2109</v>
      </c>
      <c r="N854" t="s">
        <v>22</v>
      </c>
      <c r="O854" t="s">
        <v>48</v>
      </c>
      <c r="P854" t="s">
        <v>2110</v>
      </c>
      <c r="Q854">
        <f>_xlfn.XLOOKUP(Table3[[#This Row],[Product Name]],Sales!A:A,Sales!B:B)</f>
        <v>48.896000000000001</v>
      </c>
      <c r="R854">
        <f>_xlfn.XLOOKUP(Table3[[#This Row],[Product Name]],Sales!A:A,Sales!C:C)</f>
        <v>4</v>
      </c>
      <c r="S854">
        <f>_xlfn.XLOOKUP(Table3[[#This Row],[Product Name]],Sales!A:A,Sales!D:D)</f>
        <v>0.2</v>
      </c>
      <c r="T854">
        <f>_xlfn.XLOOKUP(Table3[[#This Row],[Product Name]],Sales!A:A,Sales!E:E)</f>
        <v>8.5568000000000008</v>
      </c>
    </row>
    <row r="855" spans="1:20" x14ac:dyDescent="0.3">
      <c r="A855">
        <v>850</v>
      </c>
      <c r="B855" t="s">
        <v>2111</v>
      </c>
      <c r="C855">
        <v>7</v>
      </c>
      <c r="D855">
        <v>2</v>
      </c>
      <c r="E855">
        <v>2018</v>
      </c>
      <c r="F855" t="s">
        <v>37</v>
      </c>
      <c r="G855" t="s">
        <v>2112</v>
      </c>
      <c r="H855" t="s">
        <v>2926</v>
      </c>
      <c r="I855" t="s">
        <v>30</v>
      </c>
      <c r="J855" t="s">
        <v>2592</v>
      </c>
      <c r="K855" t="s">
        <v>108</v>
      </c>
      <c r="L855">
        <v>7036</v>
      </c>
      <c r="M855" t="s">
        <v>2113</v>
      </c>
      <c r="N855" t="s">
        <v>54</v>
      </c>
      <c r="O855" t="s">
        <v>118</v>
      </c>
      <c r="P855" t="s">
        <v>2114</v>
      </c>
      <c r="Q855">
        <f>_xlfn.XLOOKUP(Table3[[#This Row],[Product Name]],Sales!A:A,Sales!B:B)</f>
        <v>115.36</v>
      </c>
      <c r="R855">
        <f>_xlfn.XLOOKUP(Table3[[#This Row],[Product Name]],Sales!A:A,Sales!C:C)</f>
        <v>7</v>
      </c>
      <c r="S855">
        <f>_xlfn.XLOOKUP(Table3[[#This Row],[Product Name]],Sales!A:A,Sales!D:D)</f>
        <v>0</v>
      </c>
      <c r="T855">
        <f>_xlfn.XLOOKUP(Table3[[#This Row],[Product Name]],Sales!A:A,Sales!E:E)</f>
        <v>49.604799999999997</v>
      </c>
    </row>
    <row r="856" spans="1:20" x14ac:dyDescent="0.3">
      <c r="A856">
        <v>851</v>
      </c>
      <c r="B856" t="s">
        <v>2115</v>
      </c>
      <c r="C856">
        <v>20</v>
      </c>
      <c r="D856">
        <v>6</v>
      </c>
      <c r="E856">
        <v>2020</v>
      </c>
      <c r="F856" t="s">
        <v>17</v>
      </c>
      <c r="G856" t="s">
        <v>2116</v>
      </c>
      <c r="H856" t="s">
        <v>2927</v>
      </c>
      <c r="I856" t="s">
        <v>30</v>
      </c>
      <c r="J856" t="s">
        <v>2593</v>
      </c>
      <c r="K856" t="s">
        <v>31</v>
      </c>
      <c r="L856">
        <v>93905</v>
      </c>
      <c r="M856" t="s">
        <v>2117</v>
      </c>
      <c r="N856" t="s">
        <v>33</v>
      </c>
      <c r="O856" t="s">
        <v>51</v>
      </c>
      <c r="P856" t="s">
        <v>2118</v>
      </c>
      <c r="Q856">
        <f>_xlfn.XLOOKUP(Table3[[#This Row],[Product Name]],Sales!A:A,Sales!B:B)</f>
        <v>5.16</v>
      </c>
      <c r="R856">
        <f>_xlfn.XLOOKUP(Table3[[#This Row],[Product Name]],Sales!A:A,Sales!C:C)</f>
        <v>2</v>
      </c>
      <c r="S856">
        <f>_xlfn.XLOOKUP(Table3[[#This Row],[Product Name]],Sales!A:A,Sales!D:D)</f>
        <v>0</v>
      </c>
      <c r="T856">
        <f>_xlfn.XLOOKUP(Table3[[#This Row],[Product Name]],Sales!A:A,Sales!E:E)</f>
        <v>1.3415999999999999</v>
      </c>
    </row>
    <row r="857" spans="1:20" x14ac:dyDescent="0.3">
      <c r="A857">
        <v>852</v>
      </c>
      <c r="B857" t="s">
        <v>2115</v>
      </c>
      <c r="C857">
        <v>20</v>
      </c>
      <c r="D857">
        <v>6</v>
      </c>
      <c r="E857">
        <v>2020</v>
      </c>
      <c r="F857" t="s">
        <v>17</v>
      </c>
      <c r="G857" t="s">
        <v>2116</v>
      </c>
      <c r="H857" t="s">
        <v>2927</v>
      </c>
      <c r="I857" t="s">
        <v>30</v>
      </c>
      <c r="J857" t="s">
        <v>2593</v>
      </c>
      <c r="K857" t="s">
        <v>31</v>
      </c>
      <c r="L857">
        <v>93905</v>
      </c>
      <c r="M857" t="s">
        <v>2119</v>
      </c>
      <c r="N857" t="s">
        <v>33</v>
      </c>
      <c r="O857" t="s">
        <v>70</v>
      </c>
      <c r="P857" t="s">
        <v>2120</v>
      </c>
      <c r="Q857">
        <f>_xlfn.XLOOKUP(Table3[[#This Row],[Product Name]],Sales!A:A,Sales!B:B)</f>
        <v>38.880000000000003</v>
      </c>
      <c r="R857">
        <f>_xlfn.XLOOKUP(Table3[[#This Row],[Product Name]],Sales!A:A,Sales!C:C)</f>
        <v>6</v>
      </c>
      <c r="S857">
        <f>_xlfn.XLOOKUP(Table3[[#This Row],[Product Name]],Sales!A:A,Sales!D:D)</f>
        <v>0</v>
      </c>
      <c r="T857">
        <f>_xlfn.XLOOKUP(Table3[[#This Row],[Product Name]],Sales!A:A,Sales!E:E)</f>
        <v>18.662400000000002</v>
      </c>
    </row>
    <row r="858" spans="1:20" x14ac:dyDescent="0.3">
      <c r="A858">
        <v>853</v>
      </c>
      <c r="B858" t="s">
        <v>2121</v>
      </c>
      <c r="C858">
        <v>28</v>
      </c>
      <c r="D858">
        <v>5</v>
      </c>
      <c r="E858">
        <v>2020</v>
      </c>
      <c r="F858" t="s">
        <v>37</v>
      </c>
      <c r="G858" t="s">
        <v>678</v>
      </c>
      <c r="H858" t="s">
        <v>2714</v>
      </c>
      <c r="I858" t="s">
        <v>19</v>
      </c>
      <c r="J858" t="s">
        <v>2526</v>
      </c>
      <c r="K858" t="s">
        <v>20</v>
      </c>
      <c r="L858">
        <v>39212</v>
      </c>
      <c r="M858" t="s">
        <v>902</v>
      </c>
      <c r="N858" t="s">
        <v>33</v>
      </c>
      <c r="O858" t="s">
        <v>51</v>
      </c>
      <c r="P858" t="s">
        <v>903</v>
      </c>
      <c r="Q858">
        <f>_xlfn.XLOOKUP(Table3[[#This Row],[Product Name]],Sales!A:A,Sales!B:B)</f>
        <v>99.135999999999996</v>
      </c>
      <c r="R858">
        <f>_xlfn.XLOOKUP(Table3[[#This Row],[Product Name]],Sales!A:A,Sales!C:C)</f>
        <v>4</v>
      </c>
      <c r="S858">
        <f>_xlfn.XLOOKUP(Table3[[#This Row],[Product Name]],Sales!A:A,Sales!D:D)</f>
        <v>0.2</v>
      </c>
      <c r="T858">
        <f>_xlfn.XLOOKUP(Table3[[#This Row],[Product Name]],Sales!A:A,Sales!E:E)</f>
        <v>8.6744000000000003</v>
      </c>
    </row>
    <row r="859" spans="1:20" x14ac:dyDescent="0.3">
      <c r="A859">
        <v>854</v>
      </c>
      <c r="B859" t="s">
        <v>2122</v>
      </c>
      <c r="C859">
        <v>19</v>
      </c>
      <c r="D859">
        <v>2</v>
      </c>
      <c r="E859">
        <v>2020</v>
      </c>
      <c r="F859" t="s">
        <v>37</v>
      </c>
      <c r="G859" t="s">
        <v>1491</v>
      </c>
      <c r="H859" t="s">
        <v>2828</v>
      </c>
      <c r="I859" t="s">
        <v>19</v>
      </c>
      <c r="J859" t="s">
        <v>2434</v>
      </c>
      <c r="K859" t="s">
        <v>108</v>
      </c>
      <c r="L859">
        <v>10035</v>
      </c>
      <c r="M859" t="s">
        <v>2006</v>
      </c>
      <c r="N859" t="s">
        <v>22</v>
      </c>
      <c r="O859" t="s">
        <v>48</v>
      </c>
      <c r="P859" t="s">
        <v>2007</v>
      </c>
      <c r="Q859">
        <f>_xlfn.XLOOKUP(Table3[[#This Row],[Product Name]],Sales!A:A,Sales!B:B)</f>
        <v>22.23</v>
      </c>
      <c r="R859">
        <f>_xlfn.XLOOKUP(Table3[[#This Row],[Product Name]],Sales!A:A,Sales!C:C)</f>
        <v>1</v>
      </c>
      <c r="S859">
        <f>_xlfn.XLOOKUP(Table3[[#This Row],[Product Name]],Sales!A:A,Sales!D:D)</f>
        <v>0</v>
      </c>
      <c r="T859">
        <f>_xlfn.XLOOKUP(Table3[[#This Row],[Product Name]],Sales!A:A,Sales!E:E)</f>
        <v>7.3358999999999996</v>
      </c>
    </row>
    <row r="860" spans="1:20" x14ac:dyDescent="0.3">
      <c r="A860">
        <v>855</v>
      </c>
      <c r="B860" t="s">
        <v>2122</v>
      </c>
      <c r="C860">
        <v>19</v>
      </c>
      <c r="D860">
        <v>2</v>
      </c>
      <c r="E860">
        <v>2020</v>
      </c>
      <c r="F860" t="s">
        <v>37</v>
      </c>
      <c r="G860" t="s">
        <v>1491</v>
      </c>
      <c r="H860" t="s">
        <v>2828</v>
      </c>
      <c r="I860" t="s">
        <v>19</v>
      </c>
      <c r="J860" t="s">
        <v>2434</v>
      </c>
      <c r="K860" t="s">
        <v>108</v>
      </c>
      <c r="L860">
        <v>10035</v>
      </c>
      <c r="M860" t="s">
        <v>1405</v>
      </c>
      <c r="N860" t="s">
        <v>33</v>
      </c>
      <c r="O860" t="s">
        <v>43</v>
      </c>
      <c r="P860" t="s">
        <v>1406</v>
      </c>
      <c r="Q860">
        <f>_xlfn.XLOOKUP(Table3[[#This Row],[Product Name]],Sales!A:A,Sales!B:B)</f>
        <v>129.56800000000001</v>
      </c>
      <c r="R860">
        <f>_xlfn.XLOOKUP(Table3[[#This Row],[Product Name]],Sales!A:A,Sales!C:C)</f>
        <v>2</v>
      </c>
      <c r="S860">
        <f>_xlfn.XLOOKUP(Table3[[#This Row],[Product Name]],Sales!A:A,Sales!D:D)</f>
        <v>0.2</v>
      </c>
      <c r="T860">
        <f>_xlfn.XLOOKUP(Table3[[#This Row],[Product Name]],Sales!A:A,Sales!E:E)</f>
        <v>-25.913599999999999</v>
      </c>
    </row>
    <row r="861" spans="1:20" x14ac:dyDescent="0.3">
      <c r="A861">
        <v>856</v>
      </c>
      <c r="B861" t="s">
        <v>2123</v>
      </c>
      <c r="C861">
        <v>3</v>
      </c>
      <c r="D861">
        <v>8</v>
      </c>
      <c r="E861">
        <v>2018</v>
      </c>
      <c r="F861" t="s">
        <v>37</v>
      </c>
      <c r="G861" t="s">
        <v>2124</v>
      </c>
      <c r="H861" t="s">
        <v>2928</v>
      </c>
      <c r="I861" t="s">
        <v>19</v>
      </c>
      <c r="J861" t="s">
        <v>2434</v>
      </c>
      <c r="K861" t="s">
        <v>108</v>
      </c>
      <c r="L861">
        <v>10035</v>
      </c>
      <c r="M861" t="s">
        <v>2125</v>
      </c>
      <c r="N861" t="s">
        <v>33</v>
      </c>
      <c r="O861" t="s">
        <v>70</v>
      </c>
      <c r="P861" t="s">
        <v>2126</v>
      </c>
      <c r="Q861">
        <f>_xlfn.XLOOKUP(Table3[[#This Row],[Product Name]],Sales!A:A,Sales!B:B)</f>
        <v>39.96</v>
      </c>
      <c r="R861">
        <f>_xlfn.XLOOKUP(Table3[[#This Row],[Product Name]],Sales!A:A,Sales!C:C)</f>
        <v>2</v>
      </c>
      <c r="S861">
        <f>_xlfn.XLOOKUP(Table3[[#This Row],[Product Name]],Sales!A:A,Sales!D:D)</f>
        <v>0</v>
      </c>
      <c r="T861">
        <f>_xlfn.XLOOKUP(Table3[[#This Row],[Product Name]],Sales!A:A,Sales!E:E)</f>
        <v>18.781199999999998</v>
      </c>
    </row>
    <row r="862" spans="1:20" x14ac:dyDescent="0.3">
      <c r="A862">
        <v>857</v>
      </c>
      <c r="B862" t="s">
        <v>2123</v>
      </c>
      <c r="C862">
        <v>3</v>
      </c>
      <c r="D862">
        <v>8</v>
      </c>
      <c r="E862">
        <v>2018</v>
      </c>
      <c r="F862" t="s">
        <v>37</v>
      </c>
      <c r="G862" t="s">
        <v>2124</v>
      </c>
      <c r="H862" t="s">
        <v>2928</v>
      </c>
      <c r="I862" t="s">
        <v>19</v>
      </c>
      <c r="J862" t="s">
        <v>2434</v>
      </c>
      <c r="K862" t="s">
        <v>108</v>
      </c>
      <c r="L862">
        <v>10035</v>
      </c>
      <c r="M862" t="s">
        <v>2127</v>
      </c>
      <c r="N862" t="s">
        <v>33</v>
      </c>
      <c r="O862" t="s">
        <v>438</v>
      </c>
      <c r="P862" t="s">
        <v>2128</v>
      </c>
      <c r="Q862">
        <f>_xlfn.XLOOKUP(Table3[[#This Row],[Product Name]],Sales!A:A,Sales!B:B)</f>
        <v>102.3</v>
      </c>
      <c r="R862">
        <f>_xlfn.XLOOKUP(Table3[[#This Row],[Product Name]],Sales!A:A,Sales!C:C)</f>
        <v>10</v>
      </c>
      <c r="S862">
        <f>_xlfn.XLOOKUP(Table3[[#This Row],[Product Name]],Sales!A:A,Sales!D:D)</f>
        <v>0</v>
      </c>
      <c r="T862">
        <f>_xlfn.XLOOKUP(Table3[[#This Row],[Product Name]],Sales!A:A,Sales!E:E)</f>
        <v>26.597999999999999</v>
      </c>
    </row>
    <row r="863" spans="1:20" x14ac:dyDescent="0.3">
      <c r="A863">
        <v>858</v>
      </c>
      <c r="B863" t="s">
        <v>2123</v>
      </c>
      <c r="C863">
        <v>3</v>
      </c>
      <c r="D863">
        <v>8</v>
      </c>
      <c r="E863">
        <v>2018</v>
      </c>
      <c r="F863" t="s">
        <v>37</v>
      </c>
      <c r="G863" t="s">
        <v>2124</v>
      </c>
      <c r="H863" t="s">
        <v>2928</v>
      </c>
      <c r="I863" t="s">
        <v>19</v>
      </c>
      <c r="J863" t="s">
        <v>2434</v>
      </c>
      <c r="K863" t="s">
        <v>108</v>
      </c>
      <c r="L863">
        <v>10035</v>
      </c>
      <c r="M863" t="s">
        <v>2129</v>
      </c>
      <c r="N863" t="s">
        <v>33</v>
      </c>
      <c r="O863" t="s">
        <v>43</v>
      </c>
      <c r="P863" t="s">
        <v>2130</v>
      </c>
      <c r="Q863">
        <f>_xlfn.XLOOKUP(Table3[[#This Row],[Product Name]],Sales!A:A,Sales!B:B)</f>
        <v>21.36</v>
      </c>
      <c r="R863">
        <f>_xlfn.XLOOKUP(Table3[[#This Row],[Product Name]],Sales!A:A,Sales!C:C)</f>
        <v>2</v>
      </c>
      <c r="S863">
        <f>_xlfn.XLOOKUP(Table3[[#This Row],[Product Name]],Sales!A:A,Sales!D:D)</f>
        <v>0</v>
      </c>
      <c r="T863">
        <f>_xlfn.XLOOKUP(Table3[[#This Row],[Product Name]],Sales!A:A,Sales!E:E)</f>
        <v>5.7671999999999999</v>
      </c>
    </row>
    <row r="864" spans="1:20" x14ac:dyDescent="0.3">
      <c r="A864">
        <v>859</v>
      </c>
      <c r="B864" t="s">
        <v>2131</v>
      </c>
      <c r="C864">
        <v>10</v>
      </c>
      <c r="D864">
        <v>4</v>
      </c>
      <c r="E864">
        <v>2021</v>
      </c>
      <c r="F864" t="s">
        <v>37</v>
      </c>
      <c r="G864" t="s">
        <v>2132</v>
      </c>
      <c r="H864" t="s">
        <v>2929</v>
      </c>
      <c r="I864" t="s">
        <v>78</v>
      </c>
      <c r="J864" t="s">
        <v>2594</v>
      </c>
      <c r="K864" t="s">
        <v>108</v>
      </c>
      <c r="L864">
        <v>8901</v>
      </c>
      <c r="M864" t="s">
        <v>728</v>
      </c>
      <c r="N864" t="s">
        <v>33</v>
      </c>
      <c r="O864" t="s">
        <v>70</v>
      </c>
      <c r="P864" t="s">
        <v>729</v>
      </c>
      <c r="Q864">
        <f>_xlfn.XLOOKUP(Table3[[#This Row],[Product Name]],Sales!A:A,Sales!B:B)</f>
        <v>7.61</v>
      </c>
      <c r="R864">
        <f>_xlfn.XLOOKUP(Table3[[#This Row],[Product Name]],Sales!A:A,Sales!C:C)</f>
        <v>1</v>
      </c>
      <c r="S864">
        <f>_xlfn.XLOOKUP(Table3[[#This Row],[Product Name]],Sales!A:A,Sales!D:D)</f>
        <v>0</v>
      </c>
      <c r="T864">
        <f>_xlfn.XLOOKUP(Table3[[#This Row],[Product Name]],Sales!A:A,Sales!E:E)</f>
        <v>3.5767000000000002</v>
      </c>
    </row>
    <row r="865" spans="1:20" x14ac:dyDescent="0.3">
      <c r="A865">
        <v>860</v>
      </c>
      <c r="B865" t="s">
        <v>2131</v>
      </c>
      <c r="C865">
        <v>10</v>
      </c>
      <c r="D865">
        <v>4</v>
      </c>
      <c r="E865">
        <v>2021</v>
      </c>
      <c r="F865" t="s">
        <v>37</v>
      </c>
      <c r="G865" t="s">
        <v>2132</v>
      </c>
      <c r="H865" t="s">
        <v>2929</v>
      </c>
      <c r="I865" t="s">
        <v>78</v>
      </c>
      <c r="J865" t="s">
        <v>2594</v>
      </c>
      <c r="K865" t="s">
        <v>108</v>
      </c>
      <c r="L865">
        <v>8901</v>
      </c>
      <c r="M865" t="s">
        <v>914</v>
      </c>
      <c r="N865" t="s">
        <v>33</v>
      </c>
      <c r="O865" t="s">
        <v>199</v>
      </c>
      <c r="P865" t="s">
        <v>915</v>
      </c>
      <c r="Q865">
        <f>_xlfn.XLOOKUP(Table3[[#This Row],[Product Name]],Sales!A:A,Sales!B:B)</f>
        <v>7.16</v>
      </c>
      <c r="R865">
        <f>_xlfn.XLOOKUP(Table3[[#This Row],[Product Name]],Sales!A:A,Sales!C:C)</f>
        <v>2</v>
      </c>
      <c r="S865">
        <f>_xlfn.XLOOKUP(Table3[[#This Row],[Product Name]],Sales!A:A,Sales!D:D)</f>
        <v>0</v>
      </c>
      <c r="T865">
        <f>_xlfn.XLOOKUP(Table3[[#This Row],[Product Name]],Sales!A:A,Sales!E:E)</f>
        <v>3.58</v>
      </c>
    </row>
    <row r="866" spans="1:20" x14ac:dyDescent="0.3">
      <c r="A866">
        <v>861</v>
      </c>
      <c r="B866" t="s">
        <v>2133</v>
      </c>
      <c r="C866">
        <v>9</v>
      </c>
      <c r="D866">
        <v>6</v>
      </c>
      <c r="E866">
        <v>2018</v>
      </c>
      <c r="F866" t="s">
        <v>37</v>
      </c>
      <c r="G866" t="s">
        <v>2134</v>
      </c>
      <c r="H866" t="s">
        <v>2930</v>
      </c>
      <c r="I866" t="s">
        <v>19</v>
      </c>
      <c r="J866" t="s">
        <v>2422</v>
      </c>
      <c r="K866" t="s">
        <v>31</v>
      </c>
      <c r="L866">
        <v>94122</v>
      </c>
      <c r="M866" t="s">
        <v>1014</v>
      </c>
      <c r="N866" t="s">
        <v>33</v>
      </c>
      <c r="O866" t="s">
        <v>438</v>
      </c>
      <c r="P866" t="s">
        <v>1015</v>
      </c>
      <c r="Q866">
        <f>_xlfn.XLOOKUP(Table3[[#This Row],[Product Name]],Sales!A:A,Sales!B:B)</f>
        <v>7.36</v>
      </c>
      <c r="R866">
        <f>_xlfn.XLOOKUP(Table3[[#This Row],[Product Name]],Sales!A:A,Sales!C:C)</f>
        <v>2</v>
      </c>
      <c r="S866">
        <f>_xlfn.XLOOKUP(Table3[[#This Row],[Product Name]],Sales!A:A,Sales!D:D)</f>
        <v>0</v>
      </c>
      <c r="T866">
        <f>_xlfn.XLOOKUP(Table3[[#This Row],[Product Name]],Sales!A:A,Sales!E:E)</f>
        <v>0.1472</v>
      </c>
    </row>
    <row r="867" spans="1:20" x14ac:dyDescent="0.3">
      <c r="A867">
        <v>862</v>
      </c>
      <c r="B867" t="s">
        <v>2133</v>
      </c>
      <c r="C867">
        <v>9</v>
      </c>
      <c r="D867">
        <v>6</v>
      </c>
      <c r="E867">
        <v>2018</v>
      </c>
      <c r="F867" t="s">
        <v>37</v>
      </c>
      <c r="G867" t="s">
        <v>2134</v>
      </c>
      <c r="H867" t="s">
        <v>2930</v>
      </c>
      <c r="I867" t="s">
        <v>19</v>
      </c>
      <c r="J867" t="s">
        <v>2422</v>
      </c>
      <c r="K867" t="s">
        <v>31</v>
      </c>
      <c r="L867">
        <v>94122</v>
      </c>
      <c r="M867" t="s">
        <v>2135</v>
      </c>
      <c r="N867" t="s">
        <v>33</v>
      </c>
      <c r="O867" t="s">
        <v>51</v>
      </c>
      <c r="P867" t="s">
        <v>2136</v>
      </c>
      <c r="Q867">
        <f>_xlfn.XLOOKUP(Table3[[#This Row],[Product Name]],Sales!A:A,Sales!B:B)</f>
        <v>23.1</v>
      </c>
      <c r="R867">
        <f>_xlfn.XLOOKUP(Table3[[#This Row],[Product Name]],Sales!A:A,Sales!C:C)</f>
        <v>2</v>
      </c>
      <c r="S867">
        <f>_xlfn.XLOOKUP(Table3[[#This Row],[Product Name]],Sales!A:A,Sales!D:D)</f>
        <v>0</v>
      </c>
      <c r="T867">
        <f>_xlfn.XLOOKUP(Table3[[#This Row],[Product Name]],Sales!A:A,Sales!E:E)</f>
        <v>10.625999999999999</v>
      </c>
    </row>
    <row r="868" spans="1:20" x14ac:dyDescent="0.3">
      <c r="A868">
        <v>863</v>
      </c>
      <c r="B868" t="s">
        <v>2137</v>
      </c>
      <c r="C868">
        <v>5</v>
      </c>
      <c r="D868">
        <v>1</v>
      </c>
      <c r="E868">
        <v>2020</v>
      </c>
      <c r="F868" t="s">
        <v>17</v>
      </c>
      <c r="G868" t="s">
        <v>1941</v>
      </c>
      <c r="H868" t="s">
        <v>2905</v>
      </c>
      <c r="I868" t="s">
        <v>30</v>
      </c>
      <c r="J868" t="s">
        <v>2530</v>
      </c>
      <c r="K868" t="s">
        <v>20</v>
      </c>
      <c r="L868">
        <v>32216</v>
      </c>
      <c r="M868" t="s">
        <v>2138</v>
      </c>
      <c r="N868" t="s">
        <v>54</v>
      </c>
      <c r="O868" t="s">
        <v>118</v>
      </c>
      <c r="P868" t="s">
        <v>2139</v>
      </c>
      <c r="Q868">
        <f>_xlfn.XLOOKUP(Table3[[#This Row],[Product Name]],Sales!A:A,Sales!B:B)</f>
        <v>191.47200000000001</v>
      </c>
      <c r="R868">
        <f>_xlfn.XLOOKUP(Table3[[#This Row],[Product Name]],Sales!A:A,Sales!C:C)</f>
        <v>6</v>
      </c>
      <c r="S868">
        <f>_xlfn.XLOOKUP(Table3[[#This Row],[Product Name]],Sales!A:A,Sales!D:D)</f>
        <v>0.2</v>
      </c>
      <c r="T868">
        <f>_xlfn.XLOOKUP(Table3[[#This Row],[Product Name]],Sales!A:A,Sales!E:E)</f>
        <v>40.687800000000003</v>
      </c>
    </row>
    <row r="869" spans="1:20" x14ac:dyDescent="0.3">
      <c r="A869">
        <v>864</v>
      </c>
      <c r="B869" t="s">
        <v>2137</v>
      </c>
      <c r="C869">
        <v>5</v>
      </c>
      <c r="D869">
        <v>1</v>
      </c>
      <c r="E869">
        <v>2020</v>
      </c>
      <c r="F869" t="s">
        <v>17</v>
      </c>
      <c r="G869" t="s">
        <v>1941</v>
      </c>
      <c r="H869" t="s">
        <v>2905</v>
      </c>
      <c r="I869" t="s">
        <v>30</v>
      </c>
      <c r="J869" t="s">
        <v>2530</v>
      </c>
      <c r="K869" t="s">
        <v>20</v>
      </c>
      <c r="L869">
        <v>32216</v>
      </c>
      <c r="M869" t="s">
        <v>2140</v>
      </c>
      <c r="N869" t="s">
        <v>33</v>
      </c>
      <c r="O869" t="s">
        <v>51</v>
      </c>
      <c r="P869" t="s">
        <v>2141</v>
      </c>
      <c r="Q869">
        <f>_xlfn.XLOOKUP(Table3[[#This Row],[Product Name]],Sales!A:A,Sales!B:B)</f>
        <v>5.2480000000000002</v>
      </c>
      <c r="R869">
        <f>_xlfn.XLOOKUP(Table3[[#This Row],[Product Name]],Sales!A:A,Sales!C:C)</f>
        <v>2</v>
      </c>
      <c r="S869">
        <f>_xlfn.XLOOKUP(Table3[[#This Row],[Product Name]],Sales!A:A,Sales!D:D)</f>
        <v>0.2</v>
      </c>
      <c r="T869">
        <f>_xlfn.XLOOKUP(Table3[[#This Row],[Product Name]],Sales!A:A,Sales!E:E)</f>
        <v>0.59040000000000004</v>
      </c>
    </row>
    <row r="870" spans="1:20" x14ac:dyDescent="0.3">
      <c r="A870">
        <v>865</v>
      </c>
      <c r="B870" t="s">
        <v>2137</v>
      </c>
      <c r="C870">
        <v>5</v>
      </c>
      <c r="D870">
        <v>1</v>
      </c>
      <c r="E870">
        <v>2020</v>
      </c>
      <c r="F870" t="s">
        <v>17</v>
      </c>
      <c r="G870" t="s">
        <v>1941</v>
      </c>
      <c r="H870" t="s">
        <v>2905</v>
      </c>
      <c r="I870" t="s">
        <v>30</v>
      </c>
      <c r="J870" t="s">
        <v>2530</v>
      </c>
      <c r="K870" t="s">
        <v>20</v>
      </c>
      <c r="L870">
        <v>32216</v>
      </c>
      <c r="M870" t="s">
        <v>2142</v>
      </c>
      <c r="N870" t="s">
        <v>54</v>
      </c>
      <c r="O870" t="s">
        <v>55</v>
      </c>
      <c r="P870" t="s">
        <v>2143</v>
      </c>
      <c r="Q870">
        <f>_xlfn.XLOOKUP(Table3[[#This Row],[Product Name]],Sales!A:A,Sales!B:B)</f>
        <v>59.183999999999997</v>
      </c>
      <c r="R870">
        <f>_xlfn.XLOOKUP(Table3[[#This Row],[Product Name]],Sales!A:A,Sales!C:C)</f>
        <v>2</v>
      </c>
      <c r="S870">
        <f>_xlfn.XLOOKUP(Table3[[#This Row],[Product Name]],Sales!A:A,Sales!D:D)</f>
        <v>0.2</v>
      </c>
      <c r="T870">
        <f>_xlfn.XLOOKUP(Table3[[#This Row],[Product Name]],Sales!A:A,Sales!E:E)</f>
        <v>5.1786000000000003</v>
      </c>
    </row>
    <row r="871" spans="1:20" x14ac:dyDescent="0.3">
      <c r="A871">
        <v>866</v>
      </c>
      <c r="B871" t="s">
        <v>2144</v>
      </c>
      <c r="C871">
        <v>10</v>
      </c>
      <c r="D871">
        <v>1</v>
      </c>
      <c r="E871">
        <v>2018</v>
      </c>
      <c r="F871" t="s">
        <v>37</v>
      </c>
      <c r="G871" t="s">
        <v>2145</v>
      </c>
      <c r="H871" t="s">
        <v>2931</v>
      </c>
      <c r="I871" t="s">
        <v>30</v>
      </c>
      <c r="J871" t="s">
        <v>2438</v>
      </c>
      <c r="K871" t="s">
        <v>20</v>
      </c>
      <c r="L871">
        <v>22153</v>
      </c>
      <c r="M871" t="s">
        <v>2146</v>
      </c>
      <c r="N871" t="s">
        <v>33</v>
      </c>
      <c r="O871" t="s">
        <v>34</v>
      </c>
      <c r="P871" t="s">
        <v>2147</v>
      </c>
      <c r="Q871">
        <f>_xlfn.XLOOKUP(Table3[[#This Row],[Product Name]],Sales!A:A,Sales!B:B)</f>
        <v>2.89</v>
      </c>
      <c r="R871">
        <f>_xlfn.XLOOKUP(Table3[[#This Row],[Product Name]],Sales!A:A,Sales!C:C)</f>
        <v>1</v>
      </c>
      <c r="S871">
        <f>_xlfn.XLOOKUP(Table3[[#This Row],[Product Name]],Sales!A:A,Sales!D:D)</f>
        <v>0</v>
      </c>
      <c r="T871">
        <f>_xlfn.XLOOKUP(Table3[[#This Row],[Product Name]],Sales!A:A,Sales!E:E)</f>
        <v>1.3583000000000001</v>
      </c>
    </row>
    <row r="872" spans="1:20" x14ac:dyDescent="0.3">
      <c r="A872">
        <v>867</v>
      </c>
      <c r="B872" t="s">
        <v>2144</v>
      </c>
      <c r="C872">
        <v>10</v>
      </c>
      <c r="D872">
        <v>1</v>
      </c>
      <c r="E872">
        <v>2018</v>
      </c>
      <c r="F872" t="s">
        <v>37</v>
      </c>
      <c r="G872" t="s">
        <v>2145</v>
      </c>
      <c r="H872" t="s">
        <v>2931</v>
      </c>
      <c r="I872" t="s">
        <v>30</v>
      </c>
      <c r="J872" t="s">
        <v>2438</v>
      </c>
      <c r="K872" t="s">
        <v>20</v>
      </c>
      <c r="L872">
        <v>22153</v>
      </c>
      <c r="M872" t="s">
        <v>2148</v>
      </c>
      <c r="N872" t="s">
        <v>22</v>
      </c>
      <c r="O872" t="s">
        <v>48</v>
      </c>
      <c r="P872" t="s">
        <v>2149</v>
      </c>
      <c r="Q872">
        <f>_xlfn.XLOOKUP(Table3[[#This Row],[Product Name]],Sales!A:A,Sales!B:B)</f>
        <v>51.94</v>
      </c>
      <c r="R872">
        <f>_xlfn.XLOOKUP(Table3[[#This Row],[Product Name]],Sales!A:A,Sales!C:C)</f>
        <v>1</v>
      </c>
      <c r="S872">
        <f>_xlfn.XLOOKUP(Table3[[#This Row],[Product Name]],Sales!A:A,Sales!D:D)</f>
        <v>0</v>
      </c>
      <c r="T872">
        <f>_xlfn.XLOOKUP(Table3[[#This Row],[Product Name]],Sales!A:A,Sales!E:E)</f>
        <v>21.295400000000001</v>
      </c>
    </row>
    <row r="873" spans="1:20" x14ac:dyDescent="0.3">
      <c r="A873">
        <v>868</v>
      </c>
      <c r="B873" t="s">
        <v>2150</v>
      </c>
      <c r="C873">
        <v>29</v>
      </c>
      <c r="D873">
        <v>9</v>
      </c>
      <c r="E873">
        <v>2020</v>
      </c>
      <c r="F873" t="s">
        <v>142</v>
      </c>
      <c r="G873" t="s">
        <v>2151</v>
      </c>
      <c r="H873" t="s">
        <v>2932</v>
      </c>
      <c r="I873" t="s">
        <v>30</v>
      </c>
      <c r="J873" t="s">
        <v>2424</v>
      </c>
      <c r="K873" t="s">
        <v>108</v>
      </c>
      <c r="L873">
        <v>19140</v>
      </c>
      <c r="M873" t="s">
        <v>2152</v>
      </c>
      <c r="N873" t="s">
        <v>33</v>
      </c>
      <c r="O873" t="s">
        <v>34</v>
      </c>
      <c r="P873" t="s">
        <v>2153</v>
      </c>
      <c r="Q873">
        <f>_xlfn.XLOOKUP(Table3[[#This Row],[Product Name]],Sales!A:A,Sales!B:B)</f>
        <v>15.936</v>
      </c>
      <c r="R873">
        <f>_xlfn.XLOOKUP(Table3[[#This Row],[Product Name]],Sales!A:A,Sales!C:C)</f>
        <v>4</v>
      </c>
      <c r="S873">
        <f>_xlfn.XLOOKUP(Table3[[#This Row],[Product Name]],Sales!A:A,Sales!D:D)</f>
        <v>0.2</v>
      </c>
      <c r="T873">
        <f>_xlfn.XLOOKUP(Table3[[#This Row],[Product Name]],Sales!A:A,Sales!E:E)</f>
        <v>5.1791999999999998</v>
      </c>
    </row>
    <row r="874" spans="1:20" x14ac:dyDescent="0.3">
      <c r="A874">
        <v>869</v>
      </c>
      <c r="B874" t="s">
        <v>2154</v>
      </c>
      <c r="C874">
        <v>6</v>
      </c>
      <c r="D874">
        <v>4</v>
      </c>
      <c r="E874">
        <v>2018</v>
      </c>
      <c r="F874" t="s">
        <v>37</v>
      </c>
      <c r="G874" t="s">
        <v>2155</v>
      </c>
      <c r="H874" t="s">
        <v>2933</v>
      </c>
      <c r="I874" t="s">
        <v>30</v>
      </c>
      <c r="J874" t="s">
        <v>2595</v>
      </c>
      <c r="K874" t="s">
        <v>108</v>
      </c>
      <c r="L874">
        <v>17602</v>
      </c>
      <c r="M874" t="s">
        <v>2156</v>
      </c>
      <c r="N874" t="s">
        <v>33</v>
      </c>
      <c r="O874" t="s">
        <v>58</v>
      </c>
      <c r="P874" t="s">
        <v>2157</v>
      </c>
      <c r="Q874">
        <f>_xlfn.XLOOKUP(Table3[[#This Row],[Product Name]],Sales!A:A,Sales!B:B)</f>
        <v>44.91</v>
      </c>
      <c r="R874">
        <f>_xlfn.XLOOKUP(Table3[[#This Row],[Product Name]],Sales!A:A,Sales!C:C)</f>
        <v>6</v>
      </c>
      <c r="S874">
        <f>_xlfn.XLOOKUP(Table3[[#This Row],[Product Name]],Sales!A:A,Sales!D:D)</f>
        <v>0.7</v>
      </c>
      <c r="T874">
        <f>_xlfn.XLOOKUP(Table3[[#This Row],[Product Name]],Sales!A:A,Sales!E:E)</f>
        <v>-35.927999999999997</v>
      </c>
    </row>
    <row r="875" spans="1:20" x14ac:dyDescent="0.3">
      <c r="A875">
        <v>870</v>
      </c>
      <c r="B875" t="s">
        <v>2158</v>
      </c>
      <c r="C875">
        <v>3</v>
      </c>
      <c r="D875">
        <v>9</v>
      </c>
      <c r="E875">
        <v>2020</v>
      </c>
      <c r="F875" t="s">
        <v>142</v>
      </c>
      <c r="G875" t="s">
        <v>2159</v>
      </c>
      <c r="H875" t="s">
        <v>2934</v>
      </c>
      <c r="I875" t="s">
        <v>78</v>
      </c>
      <c r="J875" t="s">
        <v>2424</v>
      </c>
      <c r="K875" t="s">
        <v>108</v>
      </c>
      <c r="L875">
        <v>19143</v>
      </c>
      <c r="M875" t="s">
        <v>2160</v>
      </c>
      <c r="N875" t="s">
        <v>33</v>
      </c>
      <c r="O875" t="s">
        <v>58</v>
      </c>
      <c r="P875" t="s">
        <v>2161</v>
      </c>
      <c r="Q875">
        <f>_xlfn.XLOOKUP(Table3[[#This Row],[Product Name]],Sales!A:A,Sales!B:B)</f>
        <v>1141.47</v>
      </c>
      <c r="R875">
        <f>_xlfn.XLOOKUP(Table3[[#This Row],[Product Name]],Sales!A:A,Sales!C:C)</f>
        <v>5</v>
      </c>
      <c r="S875">
        <f>_xlfn.XLOOKUP(Table3[[#This Row],[Product Name]],Sales!A:A,Sales!D:D)</f>
        <v>0.7</v>
      </c>
      <c r="T875">
        <f>_xlfn.XLOOKUP(Table3[[#This Row],[Product Name]],Sales!A:A,Sales!E:E)</f>
        <v>-760.98</v>
      </c>
    </row>
    <row r="876" spans="1:20" x14ac:dyDescent="0.3">
      <c r="A876">
        <v>871</v>
      </c>
      <c r="B876" t="s">
        <v>2158</v>
      </c>
      <c r="C876">
        <v>3</v>
      </c>
      <c r="D876">
        <v>9</v>
      </c>
      <c r="E876">
        <v>2020</v>
      </c>
      <c r="F876" t="s">
        <v>142</v>
      </c>
      <c r="G876" t="s">
        <v>2159</v>
      </c>
      <c r="H876" t="s">
        <v>2934</v>
      </c>
      <c r="I876" t="s">
        <v>78</v>
      </c>
      <c r="J876" t="s">
        <v>2424</v>
      </c>
      <c r="K876" t="s">
        <v>108</v>
      </c>
      <c r="L876">
        <v>19143</v>
      </c>
      <c r="M876" t="s">
        <v>1525</v>
      </c>
      <c r="N876" t="s">
        <v>54</v>
      </c>
      <c r="O876" t="s">
        <v>55</v>
      </c>
      <c r="P876" t="s">
        <v>1526</v>
      </c>
      <c r="Q876">
        <f>_xlfn.XLOOKUP(Table3[[#This Row],[Product Name]],Sales!A:A,Sales!B:B)</f>
        <v>374.37599999999998</v>
      </c>
      <c r="R876">
        <f>_xlfn.XLOOKUP(Table3[[#This Row],[Product Name]],Sales!A:A,Sales!C:C)</f>
        <v>3</v>
      </c>
      <c r="S876">
        <f>_xlfn.XLOOKUP(Table3[[#This Row],[Product Name]],Sales!A:A,Sales!D:D)</f>
        <v>0.2</v>
      </c>
      <c r="T876">
        <f>_xlfn.XLOOKUP(Table3[[#This Row],[Product Name]],Sales!A:A,Sales!E:E)</f>
        <v>46.796999999999997</v>
      </c>
    </row>
    <row r="877" spans="1:20" x14ac:dyDescent="0.3">
      <c r="A877">
        <v>872</v>
      </c>
      <c r="B877" t="s">
        <v>2162</v>
      </c>
      <c r="C877">
        <v>19</v>
      </c>
      <c r="D877">
        <v>10</v>
      </c>
      <c r="E877">
        <v>2019</v>
      </c>
      <c r="F877" t="s">
        <v>142</v>
      </c>
      <c r="G877" t="s">
        <v>121</v>
      </c>
      <c r="H877" t="s">
        <v>2623</v>
      </c>
      <c r="I877" t="s">
        <v>19</v>
      </c>
      <c r="J877" t="s">
        <v>2596</v>
      </c>
      <c r="K877" t="s">
        <v>108</v>
      </c>
      <c r="L877">
        <v>3301</v>
      </c>
      <c r="M877" t="s">
        <v>2163</v>
      </c>
      <c r="N877" t="s">
        <v>33</v>
      </c>
      <c r="O877" t="s">
        <v>70</v>
      </c>
      <c r="P877" t="s">
        <v>2164</v>
      </c>
      <c r="Q877">
        <f>_xlfn.XLOOKUP(Table3[[#This Row],[Product Name]],Sales!A:A,Sales!B:B)</f>
        <v>34.44</v>
      </c>
      <c r="R877">
        <f>_xlfn.XLOOKUP(Table3[[#This Row],[Product Name]],Sales!A:A,Sales!C:C)</f>
        <v>3</v>
      </c>
      <c r="S877">
        <f>_xlfn.XLOOKUP(Table3[[#This Row],[Product Name]],Sales!A:A,Sales!D:D)</f>
        <v>0</v>
      </c>
      <c r="T877">
        <f>_xlfn.XLOOKUP(Table3[[#This Row],[Product Name]],Sales!A:A,Sales!E:E)</f>
        <v>17.22</v>
      </c>
    </row>
    <row r="878" spans="1:20" x14ac:dyDescent="0.3">
      <c r="A878">
        <v>873</v>
      </c>
      <c r="B878" t="s">
        <v>2165</v>
      </c>
      <c r="C878">
        <v>10</v>
      </c>
      <c r="D878">
        <v>12</v>
      </c>
      <c r="E878">
        <v>2018</v>
      </c>
      <c r="F878" t="s">
        <v>37</v>
      </c>
      <c r="G878" t="s">
        <v>2166</v>
      </c>
      <c r="H878" t="s">
        <v>2935</v>
      </c>
      <c r="I878" t="s">
        <v>19</v>
      </c>
      <c r="J878" t="s">
        <v>2434</v>
      </c>
      <c r="K878" t="s">
        <v>108</v>
      </c>
      <c r="L878">
        <v>10009</v>
      </c>
      <c r="M878" t="s">
        <v>800</v>
      </c>
      <c r="N878" t="s">
        <v>33</v>
      </c>
      <c r="O878" t="s">
        <v>70</v>
      </c>
      <c r="P878" t="s">
        <v>801</v>
      </c>
      <c r="Q878">
        <f>_xlfn.XLOOKUP(Table3[[#This Row],[Product Name]],Sales!A:A,Sales!B:B)</f>
        <v>18.175999999999998</v>
      </c>
      <c r="R878">
        <f>_xlfn.XLOOKUP(Table3[[#This Row],[Product Name]],Sales!A:A,Sales!C:C)</f>
        <v>4</v>
      </c>
      <c r="S878">
        <f>_xlfn.XLOOKUP(Table3[[#This Row],[Product Name]],Sales!A:A,Sales!D:D)</f>
        <v>0.2</v>
      </c>
      <c r="T878">
        <f>_xlfn.XLOOKUP(Table3[[#This Row],[Product Name]],Sales!A:A,Sales!E:E)</f>
        <v>5.9071999999999996</v>
      </c>
    </row>
    <row r="879" spans="1:20" x14ac:dyDescent="0.3">
      <c r="A879">
        <v>874</v>
      </c>
      <c r="B879" t="s">
        <v>2165</v>
      </c>
      <c r="C879">
        <v>10</v>
      </c>
      <c r="D879">
        <v>12</v>
      </c>
      <c r="E879">
        <v>2018</v>
      </c>
      <c r="F879" t="s">
        <v>37</v>
      </c>
      <c r="G879" t="s">
        <v>2166</v>
      </c>
      <c r="H879" t="s">
        <v>2935</v>
      </c>
      <c r="I879" t="s">
        <v>19</v>
      </c>
      <c r="J879" t="s">
        <v>2434</v>
      </c>
      <c r="K879" t="s">
        <v>108</v>
      </c>
      <c r="L879">
        <v>10009</v>
      </c>
      <c r="M879" t="s">
        <v>1265</v>
      </c>
      <c r="N879" t="s">
        <v>33</v>
      </c>
      <c r="O879" t="s">
        <v>58</v>
      </c>
      <c r="P879" t="s">
        <v>1266</v>
      </c>
      <c r="Q879">
        <f>_xlfn.XLOOKUP(Table3[[#This Row],[Product Name]],Sales!A:A,Sales!B:B)</f>
        <v>28.484999999999999</v>
      </c>
      <c r="R879">
        <f>_xlfn.XLOOKUP(Table3[[#This Row],[Product Name]],Sales!A:A,Sales!C:C)</f>
        <v>5</v>
      </c>
      <c r="S879">
        <f>_xlfn.XLOOKUP(Table3[[#This Row],[Product Name]],Sales!A:A,Sales!D:D)</f>
        <v>0.7</v>
      </c>
      <c r="T879">
        <f>_xlfn.XLOOKUP(Table3[[#This Row],[Product Name]],Sales!A:A,Sales!E:E)</f>
        <v>-20.888999999999999</v>
      </c>
    </row>
    <row r="880" spans="1:20" x14ac:dyDescent="0.3">
      <c r="A880">
        <v>875</v>
      </c>
      <c r="B880" t="s">
        <v>2167</v>
      </c>
      <c r="C880">
        <v>25</v>
      </c>
      <c r="D880">
        <v>8</v>
      </c>
      <c r="E880">
        <v>2021</v>
      </c>
      <c r="F880" t="s">
        <v>37</v>
      </c>
      <c r="G880" t="s">
        <v>2108</v>
      </c>
      <c r="H880" t="s">
        <v>2925</v>
      </c>
      <c r="I880" t="s">
        <v>19</v>
      </c>
      <c r="J880" t="s">
        <v>2449</v>
      </c>
      <c r="K880" t="s">
        <v>20</v>
      </c>
      <c r="L880">
        <v>28205</v>
      </c>
      <c r="M880" t="s">
        <v>2168</v>
      </c>
      <c r="N880" t="s">
        <v>33</v>
      </c>
      <c r="O880" t="s">
        <v>70</v>
      </c>
      <c r="P880" t="s">
        <v>2169</v>
      </c>
      <c r="Q880">
        <f>_xlfn.XLOOKUP(Table3[[#This Row],[Product Name]],Sales!A:A,Sales!B:B)</f>
        <v>192.16</v>
      </c>
      <c r="R880">
        <f>_xlfn.XLOOKUP(Table3[[#This Row],[Product Name]],Sales!A:A,Sales!C:C)</f>
        <v>5</v>
      </c>
      <c r="S880">
        <f>_xlfn.XLOOKUP(Table3[[#This Row],[Product Name]],Sales!A:A,Sales!D:D)</f>
        <v>0.2</v>
      </c>
      <c r="T880">
        <f>_xlfn.XLOOKUP(Table3[[#This Row],[Product Name]],Sales!A:A,Sales!E:E)</f>
        <v>67.256</v>
      </c>
    </row>
    <row r="881" spans="1:20" x14ac:dyDescent="0.3">
      <c r="A881">
        <v>876</v>
      </c>
      <c r="B881" t="s">
        <v>2170</v>
      </c>
      <c r="C881">
        <v>17</v>
      </c>
      <c r="D881">
        <v>1</v>
      </c>
      <c r="E881">
        <v>2020</v>
      </c>
      <c r="F881" t="s">
        <v>37</v>
      </c>
      <c r="G881" t="s">
        <v>1696</v>
      </c>
      <c r="H881" t="s">
        <v>2864</v>
      </c>
      <c r="I881" t="s">
        <v>78</v>
      </c>
      <c r="J881" t="s">
        <v>2596</v>
      </c>
      <c r="K881" t="s">
        <v>108</v>
      </c>
      <c r="L881">
        <v>3301</v>
      </c>
      <c r="M881" t="s">
        <v>692</v>
      </c>
      <c r="N881" t="s">
        <v>22</v>
      </c>
      <c r="O881" t="s">
        <v>48</v>
      </c>
      <c r="P881" t="s">
        <v>693</v>
      </c>
      <c r="Q881">
        <f>_xlfn.XLOOKUP(Table3[[#This Row],[Product Name]],Sales!A:A,Sales!B:B)</f>
        <v>258.072</v>
      </c>
      <c r="R881">
        <f>_xlfn.XLOOKUP(Table3[[#This Row],[Product Name]],Sales!A:A,Sales!C:C)</f>
        <v>3</v>
      </c>
      <c r="S881">
        <f>_xlfn.XLOOKUP(Table3[[#This Row],[Product Name]],Sales!A:A,Sales!D:D)</f>
        <v>0.2</v>
      </c>
      <c r="T881">
        <f>_xlfn.XLOOKUP(Table3[[#This Row],[Product Name]],Sales!A:A,Sales!E:E)</f>
        <v>0</v>
      </c>
    </row>
    <row r="882" spans="1:20" x14ac:dyDescent="0.3">
      <c r="A882">
        <v>877</v>
      </c>
      <c r="B882" t="s">
        <v>2170</v>
      </c>
      <c r="C882">
        <v>17</v>
      </c>
      <c r="D882">
        <v>1</v>
      </c>
      <c r="E882">
        <v>2020</v>
      </c>
      <c r="F882" t="s">
        <v>37</v>
      </c>
      <c r="G882" t="s">
        <v>1696</v>
      </c>
      <c r="H882" t="s">
        <v>2864</v>
      </c>
      <c r="I882" t="s">
        <v>78</v>
      </c>
      <c r="J882" t="s">
        <v>2596</v>
      </c>
      <c r="K882" t="s">
        <v>108</v>
      </c>
      <c r="L882">
        <v>3301</v>
      </c>
      <c r="M882" t="s">
        <v>784</v>
      </c>
      <c r="N882" t="s">
        <v>54</v>
      </c>
      <c r="O882" t="s">
        <v>118</v>
      </c>
      <c r="P882" t="s">
        <v>785</v>
      </c>
      <c r="Q882">
        <f>_xlfn.XLOOKUP(Table3[[#This Row],[Product Name]],Sales!A:A,Sales!B:B)</f>
        <v>209.93</v>
      </c>
      <c r="R882">
        <f>_xlfn.XLOOKUP(Table3[[#This Row],[Product Name]],Sales!A:A,Sales!C:C)</f>
        <v>7</v>
      </c>
      <c r="S882">
        <f>_xlfn.XLOOKUP(Table3[[#This Row],[Product Name]],Sales!A:A,Sales!D:D)</f>
        <v>0</v>
      </c>
      <c r="T882">
        <f>_xlfn.XLOOKUP(Table3[[#This Row],[Product Name]],Sales!A:A,Sales!E:E)</f>
        <v>92.369200000000006</v>
      </c>
    </row>
    <row r="883" spans="1:20" x14ac:dyDescent="0.3">
      <c r="A883">
        <v>878</v>
      </c>
      <c r="B883" t="s">
        <v>2170</v>
      </c>
      <c r="C883">
        <v>17</v>
      </c>
      <c r="D883">
        <v>1</v>
      </c>
      <c r="E883">
        <v>2020</v>
      </c>
      <c r="F883" t="s">
        <v>37</v>
      </c>
      <c r="G883" t="s">
        <v>1696</v>
      </c>
      <c r="H883" t="s">
        <v>2864</v>
      </c>
      <c r="I883" t="s">
        <v>78</v>
      </c>
      <c r="J883" t="s">
        <v>2596</v>
      </c>
      <c r="K883" t="s">
        <v>108</v>
      </c>
      <c r="L883">
        <v>3301</v>
      </c>
      <c r="M883" t="s">
        <v>2171</v>
      </c>
      <c r="N883" t="s">
        <v>54</v>
      </c>
      <c r="O883" t="s">
        <v>118</v>
      </c>
      <c r="P883" t="s">
        <v>2172</v>
      </c>
      <c r="Q883">
        <f>_xlfn.XLOOKUP(Table3[[#This Row],[Product Name]],Sales!A:A,Sales!B:B)</f>
        <v>371.97</v>
      </c>
      <c r="R883">
        <f>_xlfn.XLOOKUP(Table3[[#This Row],[Product Name]],Sales!A:A,Sales!C:C)</f>
        <v>3</v>
      </c>
      <c r="S883">
        <f>_xlfn.XLOOKUP(Table3[[#This Row],[Product Name]],Sales!A:A,Sales!D:D)</f>
        <v>0</v>
      </c>
      <c r="T883">
        <f>_xlfn.XLOOKUP(Table3[[#This Row],[Product Name]],Sales!A:A,Sales!E:E)</f>
        <v>66.954599999999999</v>
      </c>
    </row>
    <row r="884" spans="1:20" x14ac:dyDescent="0.3">
      <c r="A884">
        <v>879</v>
      </c>
      <c r="B884" t="s">
        <v>2173</v>
      </c>
      <c r="C884">
        <v>17</v>
      </c>
      <c r="D884">
        <v>9</v>
      </c>
      <c r="E884">
        <v>2018</v>
      </c>
      <c r="F884" t="s">
        <v>37</v>
      </c>
      <c r="G884" t="s">
        <v>2174</v>
      </c>
      <c r="H884" t="s">
        <v>2936</v>
      </c>
      <c r="I884" t="s">
        <v>78</v>
      </c>
      <c r="J884" t="s">
        <v>2424</v>
      </c>
      <c r="K884" t="s">
        <v>108</v>
      </c>
      <c r="L884">
        <v>19120</v>
      </c>
      <c r="M884" t="s">
        <v>2175</v>
      </c>
      <c r="N884" t="s">
        <v>33</v>
      </c>
      <c r="O884" t="s">
        <v>58</v>
      </c>
      <c r="P884" t="s">
        <v>2176</v>
      </c>
      <c r="Q884">
        <f>_xlfn.XLOOKUP(Table3[[#This Row],[Product Name]],Sales!A:A,Sales!B:B)</f>
        <v>5.8920000000000003</v>
      </c>
      <c r="R884">
        <f>_xlfn.XLOOKUP(Table3[[#This Row],[Product Name]],Sales!A:A,Sales!C:C)</f>
        <v>4</v>
      </c>
      <c r="S884">
        <f>_xlfn.XLOOKUP(Table3[[#This Row],[Product Name]],Sales!A:A,Sales!D:D)</f>
        <v>0.7</v>
      </c>
      <c r="T884">
        <f>_xlfn.XLOOKUP(Table3[[#This Row],[Product Name]],Sales!A:A,Sales!E:E)</f>
        <v>-4.1243999999999996</v>
      </c>
    </row>
    <row r="885" spans="1:20" x14ac:dyDescent="0.3">
      <c r="A885">
        <v>880</v>
      </c>
      <c r="B885" t="s">
        <v>2177</v>
      </c>
      <c r="C885">
        <v>30</v>
      </c>
      <c r="D885">
        <v>11</v>
      </c>
      <c r="E885">
        <v>2021</v>
      </c>
      <c r="F885" t="s">
        <v>17</v>
      </c>
      <c r="G885" t="s">
        <v>77</v>
      </c>
      <c r="H885" t="s">
        <v>2615</v>
      </c>
      <c r="I885" t="s">
        <v>78</v>
      </c>
      <c r="J885" t="s">
        <v>2434</v>
      </c>
      <c r="K885" t="s">
        <v>108</v>
      </c>
      <c r="L885">
        <v>10024</v>
      </c>
      <c r="M885" t="s">
        <v>2178</v>
      </c>
      <c r="N885" t="s">
        <v>33</v>
      </c>
      <c r="O885" t="s">
        <v>58</v>
      </c>
      <c r="P885" t="s">
        <v>2179</v>
      </c>
      <c r="Q885">
        <f>_xlfn.XLOOKUP(Table3[[#This Row],[Product Name]],Sales!A:A,Sales!B:B)</f>
        <v>68.471999999999994</v>
      </c>
      <c r="R885">
        <f>_xlfn.XLOOKUP(Table3[[#This Row],[Product Name]],Sales!A:A,Sales!C:C)</f>
        <v>3</v>
      </c>
      <c r="S885">
        <f>_xlfn.XLOOKUP(Table3[[#This Row],[Product Name]],Sales!A:A,Sales!D:D)</f>
        <v>0.2</v>
      </c>
      <c r="T885">
        <f>_xlfn.XLOOKUP(Table3[[#This Row],[Product Name]],Sales!A:A,Sales!E:E)</f>
        <v>23.109300000000001</v>
      </c>
    </row>
    <row r="886" spans="1:20" x14ac:dyDescent="0.3">
      <c r="A886">
        <v>881</v>
      </c>
      <c r="B886" t="s">
        <v>2177</v>
      </c>
      <c r="C886">
        <v>30</v>
      </c>
      <c r="D886">
        <v>11</v>
      </c>
      <c r="E886">
        <v>2021</v>
      </c>
      <c r="F886" t="s">
        <v>17</v>
      </c>
      <c r="G886" t="s">
        <v>77</v>
      </c>
      <c r="H886" t="s">
        <v>2615</v>
      </c>
      <c r="I886" t="s">
        <v>78</v>
      </c>
      <c r="J886" t="s">
        <v>2434</v>
      </c>
      <c r="K886" t="s">
        <v>108</v>
      </c>
      <c r="L886">
        <v>10024</v>
      </c>
      <c r="M886" t="s">
        <v>519</v>
      </c>
      <c r="N886" t="s">
        <v>22</v>
      </c>
      <c r="O886" t="s">
        <v>26</v>
      </c>
      <c r="P886" t="s">
        <v>520</v>
      </c>
      <c r="Q886">
        <f>_xlfn.XLOOKUP(Table3[[#This Row],[Product Name]],Sales!A:A,Sales!B:B)</f>
        <v>1740.06</v>
      </c>
      <c r="R886">
        <f>_xlfn.XLOOKUP(Table3[[#This Row],[Product Name]],Sales!A:A,Sales!C:C)</f>
        <v>9</v>
      </c>
      <c r="S886">
        <f>_xlfn.XLOOKUP(Table3[[#This Row],[Product Name]],Sales!A:A,Sales!D:D)</f>
        <v>0.3</v>
      </c>
      <c r="T886">
        <f>_xlfn.XLOOKUP(Table3[[#This Row],[Product Name]],Sales!A:A,Sales!E:E)</f>
        <v>-24.858000000000001</v>
      </c>
    </row>
    <row r="887" spans="1:20" x14ac:dyDescent="0.3">
      <c r="A887">
        <v>882</v>
      </c>
      <c r="B887" t="s">
        <v>2180</v>
      </c>
      <c r="C887">
        <v>9</v>
      </c>
      <c r="D887">
        <v>10</v>
      </c>
      <c r="E887">
        <v>2019</v>
      </c>
      <c r="F887" t="s">
        <v>37</v>
      </c>
      <c r="G887" t="s">
        <v>381</v>
      </c>
      <c r="H887" t="s">
        <v>2664</v>
      </c>
      <c r="I887" t="s">
        <v>19</v>
      </c>
      <c r="J887" t="s">
        <v>2438</v>
      </c>
      <c r="K887" t="s">
        <v>20</v>
      </c>
      <c r="L887">
        <v>22153</v>
      </c>
      <c r="M887" t="s">
        <v>1291</v>
      </c>
      <c r="N887" t="s">
        <v>33</v>
      </c>
      <c r="O887" t="s">
        <v>43</v>
      </c>
      <c r="P887" t="s">
        <v>1292</v>
      </c>
      <c r="Q887">
        <f>_xlfn.XLOOKUP(Table3[[#This Row],[Product Name]],Sales!A:A,Sales!B:B)</f>
        <v>92.52</v>
      </c>
      <c r="R887">
        <f>_xlfn.XLOOKUP(Table3[[#This Row],[Product Name]],Sales!A:A,Sales!C:C)</f>
        <v>6</v>
      </c>
      <c r="S887">
        <f>_xlfn.XLOOKUP(Table3[[#This Row],[Product Name]],Sales!A:A,Sales!D:D)</f>
        <v>0</v>
      </c>
      <c r="T887">
        <f>_xlfn.XLOOKUP(Table3[[#This Row],[Product Name]],Sales!A:A,Sales!E:E)</f>
        <v>24.980399999999999</v>
      </c>
    </row>
    <row r="888" spans="1:20" x14ac:dyDescent="0.3">
      <c r="A888">
        <v>883</v>
      </c>
      <c r="B888" t="s">
        <v>2181</v>
      </c>
      <c r="C888">
        <v>23</v>
      </c>
      <c r="D888">
        <v>12</v>
      </c>
      <c r="E888">
        <v>2021</v>
      </c>
      <c r="F888" t="s">
        <v>1010</v>
      </c>
      <c r="G888" t="s">
        <v>338</v>
      </c>
      <c r="H888" t="s">
        <v>2657</v>
      </c>
      <c r="I888" t="s">
        <v>19</v>
      </c>
      <c r="J888" t="s">
        <v>2422</v>
      </c>
      <c r="K888" t="s">
        <v>31</v>
      </c>
      <c r="L888">
        <v>94109</v>
      </c>
      <c r="M888" t="s">
        <v>1799</v>
      </c>
      <c r="N888" t="s">
        <v>33</v>
      </c>
      <c r="O888" t="s">
        <v>51</v>
      </c>
      <c r="P888" t="s">
        <v>1800</v>
      </c>
      <c r="Q888">
        <f>_xlfn.XLOOKUP(Table3[[#This Row],[Product Name]],Sales!A:A,Sales!B:B)</f>
        <v>2.6960000000000002</v>
      </c>
      <c r="R888">
        <f>_xlfn.XLOOKUP(Table3[[#This Row],[Product Name]],Sales!A:A,Sales!C:C)</f>
        <v>1</v>
      </c>
      <c r="S888">
        <f>_xlfn.XLOOKUP(Table3[[#This Row],[Product Name]],Sales!A:A,Sales!D:D)</f>
        <v>0.2</v>
      </c>
      <c r="T888">
        <f>_xlfn.XLOOKUP(Table3[[#This Row],[Product Name]],Sales!A:A,Sales!E:E)</f>
        <v>0.80879999999999996</v>
      </c>
    </row>
    <row r="889" spans="1:20" x14ac:dyDescent="0.3">
      <c r="A889">
        <v>884</v>
      </c>
      <c r="B889" t="s">
        <v>2182</v>
      </c>
      <c r="C889">
        <v>22</v>
      </c>
      <c r="D889">
        <v>10</v>
      </c>
      <c r="E889">
        <v>2020</v>
      </c>
      <c r="F889" t="s">
        <v>142</v>
      </c>
      <c r="G889" t="s">
        <v>2183</v>
      </c>
      <c r="H889" t="s">
        <v>2937</v>
      </c>
      <c r="I889" t="s">
        <v>78</v>
      </c>
      <c r="J889" t="s">
        <v>2482</v>
      </c>
      <c r="K889" t="s">
        <v>79</v>
      </c>
      <c r="L889">
        <v>48227</v>
      </c>
      <c r="M889" t="s">
        <v>1682</v>
      </c>
      <c r="N889" t="s">
        <v>22</v>
      </c>
      <c r="O889" t="s">
        <v>48</v>
      </c>
      <c r="P889" t="s">
        <v>1683</v>
      </c>
      <c r="Q889">
        <f>_xlfn.XLOOKUP(Table3[[#This Row],[Product Name]],Sales!A:A,Sales!B:B)</f>
        <v>18.84</v>
      </c>
      <c r="R889">
        <f>_xlfn.XLOOKUP(Table3[[#This Row],[Product Name]],Sales!A:A,Sales!C:C)</f>
        <v>3</v>
      </c>
      <c r="S889">
        <f>_xlfn.XLOOKUP(Table3[[#This Row],[Product Name]],Sales!A:A,Sales!D:D)</f>
        <v>0</v>
      </c>
      <c r="T889">
        <f>_xlfn.XLOOKUP(Table3[[#This Row],[Product Name]],Sales!A:A,Sales!E:E)</f>
        <v>6.0288000000000004</v>
      </c>
    </row>
    <row r="890" spans="1:20" x14ac:dyDescent="0.3">
      <c r="A890">
        <v>885</v>
      </c>
      <c r="B890" t="s">
        <v>2184</v>
      </c>
      <c r="C890">
        <v>29</v>
      </c>
      <c r="D890">
        <v>4</v>
      </c>
      <c r="E890">
        <v>2018</v>
      </c>
      <c r="F890" t="s">
        <v>37</v>
      </c>
      <c r="G890" t="s">
        <v>2185</v>
      </c>
      <c r="H890" t="s">
        <v>2938</v>
      </c>
      <c r="I890" t="s">
        <v>19</v>
      </c>
      <c r="J890" t="s">
        <v>2539</v>
      </c>
      <c r="K890" t="s">
        <v>108</v>
      </c>
      <c r="L890">
        <v>14609</v>
      </c>
      <c r="M890" t="s">
        <v>2186</v>
      </c>
      <c r="N890" t="s">
        <v>22</v>
      </c>
      <c r="O890" t="s">
        <v>48</v>
      </c>
      <c r="P890" t="s">
        <v>2187</v>
      </c>
      <c r="Q890">
        <f>_xlfn.XLOOKUP(Table3[[#This Row],[Product Name]],Sales!A:A,Sales!B:B)</f>
        <v>17.46</v>
      </c>
      <c r="R890">
        <f>_xlfn.XLOOKUP(Table3[[#This Row],[Product Name]],Sales!A:A,Sales!C:C)</f>
        <v>2</v>
      </c>
      <c r="S890">
        <f>_xlfn.XLOOKUP(Table3[[#This Row],[Product Name]],Sales!A:A,Sales!D:D)</f>
        <v>0</v>
      </c>
      <c r="T890">
        <f>_xlfn.XLOOKUP(Table3[[#This Row],[Product Name]],Sales!A:A,Sales!E:E)</f>
        <v>5.9363999999999999</v>
      </c>
    </row>
    <row r="891" spans="1:20" x14ac:dyDescent="0.3">
      <c r="A891">
        <v>886</v>
      </c>
      <c r="B891" t="s">
        <v>2188</v>
      </c>
      <c r="C891">
        <v>25</v>
      </c>
      <c r="D891">
        <v>4</v>
      </c>
      <c r="E891">
        <v>2019</v>
      </c>
      <c r="F891" t="s">
        <v>17</v>
      </c>
      <c r="G891" t="s">
        <v>2189</v>
      </c>
      <c r="H891" t="s">
        <v>2939</v>
      </c>
      <c r="I891" t="s">
        <v>30</v>
      </c>
      <c r="J891" t="s">
        <v>2415</v>
      </c>
      <c r="K891" t="s">
        <v>31</v>
      </c>
      <c r="L891">
        <v>90045</v>
      </c>
      <c r="M891" t="s">
        <v>2190</v>
      </c>
      <c r="N891" t="s">
        <v>33</v>
      </c>
      <c r="O891" t="s">
        <v>58</v>
      </c>
      <c r="P891" t="s">
        <v>2191</v>
      </c>
      <c r="Q891">
        <f>_xlfn.XLOOKUP(Table3[[#This Row],[Product Name]],Sales!A:A,Sales!B:B)</f>
        <v>13.944000000000001</v>
      </c>
      <c r="R891">
        <f>_xlfn.XLOOKUP(Table3[[#This Row],[Product Name]],Sales!A:A,Sales!C:C)</f>
        <v>3</v>
      </c>
      <c r="S891">
        <f>_xlfn.XLOOKUP(Table3[[#This Row],[Product Name]],Sales!A:A,Sales!D:D)</f>
        <v>0.2</v>
      </c>
      <c r="T891">
        <f>_xlfn.XLOOKUP(Table3[[#This Row],[Product Name]],Sales!A:A,Sales!E:E)</f>
        <v>4.5317999999999996</v>
      </c>
    </row>
    <row r="892" spans="1:20" x14ac:dyDescent="0.3">
      <c r="A892">
        <v>887</v>
      </c>
      <c r="B892" t="s">
        <v>2192</v>
      </c>
      <c r="C892">
        <v>26</v>
      </c>
      <c r="D892">
        <v>6</v>
      </c>
      <c r="E892">
        <v>2021</v>
      </c>
      <c r="F892" t="s">
        <v>37</v>
      </c>
      <c r="G892" t="s">
        <v>1502</v>
      </c>
      <c r="H892" t="s">
        <v>2830</v>
      </c>
      <c r="I892" t="s">
        <v>19</v>
      </c>
      <c r="J892" t="s">
        <v>2487</v>
      </c>
      <c r="K892" t="s">
        <v>31</v>
      </c>
      <c r="L892">
        <v>92105</v>
      </c>
      <c r="M892" t="s">
        <v>2193</v>
      </c>
      <c r="N892" t="s">
        <v>33</v>
      </c>
      <c r="O892" t="s">
        <v>43</v>
      </c>
      <c r="P892" t="s">
        <v>2194</v>
      </c>
      <c r="Q892">
        <f>_xlfn.XLOOKUP(Table3[[#This Row],[Product Name]],Sales!A:A,Sales!B:B)</f>
        <v>83.76</v>
      </c>
      <c r="R892">
        <f>_xlfn.XLOOKUP(Table3[[#This Row],[Product Name]],Sales!A:A,Sales!C:C)</f>
        <v>12</v>
      </c>
      <c r="S892">
        <f>_xlfn.XLOOKUP(Table3[[#This Row],[Product Name]],Sales!A:A,Sales!D:D)</f>
        <v>0</v>
      </c>
      <c r="T892">
        <f>_xlfn.XLOOKUP(Table3[[#This Row],[Product Name]],Sales!A:A,Sales!E:E)</f>
        <v>1.6752</v>
      </c>
    </row>
    <row r="893" spans="1:20" x14ac:dyDescent="0.3">
      <c r="A893">
        <v>888</v>
      </c>
      <c r="B893" t="s">
        <v>2195</v>
      </c>
      <c r="C893">
        <v>14</v>
      </c>
      <c r="D893">
        <v>10</v>
      </c>
      <c r="E893">
        <v>2021</v>
      </c>
      <c r="F893" t="s">
        <v>37</v>
      </c>
      <c r="G893" t="s">
        <v>2196</v>
      </c>
      <c r="H893" t="s">
        <v>2940</v>
      </c>
      <c r="I893" t="s">
        <v>78</v>
      </c>
      <c r="J893" t="s">
        <v>2597</v>
      </c>
      <c r="K893" t="s">
        <v>108</v>
      </c>
      <c r="L893">
        <v>21044</v>
      </c>
      <c r="M893" t="s">
        <v>221</v>
      </c>
      <c r="N893" t="s">
        <v>33</v>
      </c>
      <c r="O893" t="s">
        <v>58</v>
      </c>
      <c r="P893" t="s">
        <v>222</v>
      </c>
      <c r="Q893">
        <f>_xlfn.XLOOKUP(Table3[[#This Row],[Product Name]],Sales!A:A,Sales!B:B)</f>
        <v>25.824000000000002</v>
      </c>
      <c r="R893">
        <f>_xlfn.XLOOKUP(Table3[[#This Row],[Product Name]],Sales!A:A,Sales!C:C)</f>
        <v>6</v>
      </c>
      <c r="S893">
        <f>_xlfn.XLOOKUP(Table3[[#This Row],[Product Name]],Sales!A:A,Sales!D:D)</f>
        <v>0.2</v>
      </c>
      <c r="T893">
        <f>_xlfn.XLOOKUP(Table3[[#This Row],[Product Name]],Sales!A:A,Sales!E:E)</f>
        <v>9.3612000000000002</v>
      </c>
    </row>
    <row r="894" spans="1:20" x14ac:dyDescent="0.3">
      <c r="A894">
        <v>889</v>
      </c>
      <c r="B894" t="s">
        <v>2197</v>
      </c>
      <c r="C894">
        <v>9</v>
      </c>
      <c r="D894">
        <v>12</v>
      </c>
      <c r="E894">
        <v>2018</v>
      </c>
      <c r="F894" t="s">
        <v>37</v>
      </c>
      <c r="G894" t="s">
        <v>2112</v>
      </c>
      <c r="H894" t="s">
        <v>2926</v>
      </c>
      <c r="I894" t="s">
        <v>30</v>
      </c>
      <c r="J894" t="s">
        <v>2422</v>
      </c>
      <c r="K894" t="s">
        <v>31</v>
      </c>
      <c r="L894">
        <v>94122</v>
      </c>
      <c r="M894" t="s">
        <v>1150</v>
      </c>
      <c r="N894" t="s">
        <v>33</v>
      </c>
      <c r="O894" t="s">
        <v>70</v>
      </c>
      <c r="P894" t="s">
        <v>1151</v>
      </c>
      <c r="Q894">
        <f>_xlfn.XLOOKUP(Table3[[#This Row],[Product Name]],Sales!A:A,Sales!B:B)</f>
        <v>5.78</v>
      </c>
      <c r="R894">
        <f>_xlfn.XLOOKUP(Table3[[#This Row],[Product Name]],Sales!A:A,Sales!C:C)</f>
        <v>1</v>
      </c>
      <c r="S894">
        <f>_xlfn.XLOOKUP(Table3[[#This Row],[Product Name]],Sales!A:A,Sales!D:D)</f>
        <v>0</v>
      </c>
      <c r="T894">
        <f>_xlfn.XLOOKUP(Table3[[#This Row],[Product Name]],Sales!A:A,Sales!E:E)</f>
        <v>2.8321999999999998</v>
      </c>
    </row>
    <row r="895" spans="1:20" x14ac:dyDescent="0.3">
      <c r="A895">
        <v>890</v>
      </c>
      <c r="B895" t="s">
        <v>2198</v>
      </c>
      <c r="C895">
        <v>20</v>
      </c>
      <c r="D895">
        <v>6</v>
      </c>
      <c r="E895">
        <v>2021</v>
      </c>
      <c r="F895" t="s">
        <v>37</v>
      </c>
      <c r="G895" t="s">
        <v>1301</v>
      </c>
      <c r="H895" t="s">
        <v>2798</v>
      </c>
      <c r="I895" t="s">
        <v>19</v>
      </c>
      <c r="J895" t="s">
        <v>2528</v>
      </c>
      <c r="K895" t="s">
        <v>108</v>
      </c>
      <c r="L895">
        <v>10801</v>
      </c>
      <c r="M895" t="s">
        <v>2199</v>
      </c>
      <c r="N895" t="s">
        <v>54</v>
      </c>
      <c r="O895" t="s">
        <v>118</v>
      </c>
      <c r="P895" t="s">
        <v>2200</v>
      </c>
      <c r="Q895">
        <f>_xlfn.XLOOKUP(Table3[[#This Row],[Product Name]],Sales!A:A,Sales!B:B)</f>
        <v>149.94999999999999</v>
      </c>
      <c r="R895">
        <f>_xlfn.XLOOKUP(Table3[[#This Row],[Product Name]],Sales!A:A,Sales!C:C)</f>
        <v>5</v>
      </c>
      <c r="S895">
        <f>_xlfn.XLOOKUP(Table3[[#This Row],[Product Name]],Sales!A:A,Sales!D:D)</f>
        <v>0</v>
      </c>
      <c r="T895">
        <f>_xlfn.XLOOKUP(Table3[[#This Row],[Product Name]],Sales!A:A,Sales!E:E)</f>
        <v>14.994999999999999</v>
      </c>
    </row>
    <row r="896" spans="1:20" x14ac:dyDescent="0.3">
      <c r="A896">
        <v>891</v>
      </c>
      <c r="B896" t="s">
        <v>2198</v>
      </c>
      <c r="C896">
        <v>20</v>
      </c>
      <c r="D896">
        <v>6</v>
      </c>
      <c r="E896">
        <v>2021</v>
      </c>
      <c r="F896" t="s">
        <v>37</v>
      </c>
      <c r="G896" t="s">
        <v>1301</v>
      </c>
      <c r="H896" t="s">
        <v>2798</v>
      </c>
      <c r="I896" t="s">
        <v>19</v>
      </c>
      <c r="J896" t="s">
        <v>2528</v>
      </c>
      <c r="K896" t="s">
        <v>108</v>
      </c>
      <c r="L896">
        <v>10801</v>
      </c>
      <c r="M896" t="s">
        <v>1259</v>
      </c>
      <c r="N896" t="s">
        <v>33</v>
      </c>
      <c r="O896" t="s">
        <v>58</v>
      </c>
      <c r="P896" t="s">
        <v>1260</v>
      </c>
      <c r="Q896">
        <f>_xlfn.XLOOKUP(Table3[[#This Row],[Product Name]],Sales!A:A,Sales!B:B)</f>
        <v>51.311999999999998</v>
      </c>
      <c r="R896">
        <f>_xlfn.XLOOKUP(Table3[[#This Row],[Product Name]],Sales!A:A,Sales!C:C)</f>
        <v>3</v>
      </c>
      <c r="S896">
        <f>_xlfn.XLOOKUP(Table3[[#This Row],[Product Name]],Sales!A:A,Sales!D:D)</f>
        <v>0.2</v>
      </c>
      <c r="T896">
        <f>_xlfn.XLOOKUP(Table3[[#This Row],[Product Name]],Sales!A:A,Sales!E:E)</f>
        <v>18.6006</v>
      </c>
    </row>
    <row r="897" spans="1:20" x14ac:dyDescent="0.3">
      <c r="A897">
        <v>892</v>
      </c>
      <c r="B897" t="s">
        <v>2201</v>
      </c>
      <c r="C897">
        <v>26</v>
      </c>
      <c r="D897">
        <v>6</v>
      </c>
      <c r="E897">
        <v>2021</v>
      </c>
      <c r="F897" t="s">
        <v>142</v>
      </c>
      <c r="G897" t="s">
        <v>1822</v>
      </c>
      <c r="H897" t="s">
        <v>2884</v>
      </c>
      <c r="I897" t="s">
        <v>78</v>
      </c>
      <c r="J897" t="s">
        <v>2482</v>
      </c>
      <c r="K897" t="s">
        <v>79</v>
      </c>
      <c r="L897">
        <v>48227</v>
      </c>
      <c r="M897" t="s">
        <v>2202</v>
      </c>
      <c r="N897" t="s">
        <v>33</v>
      </c>
      <c r="O897" t="s">
        <v>70</v>
      </c>
      <c r="P897" t="s">
        <v>2203</v>
      </c>
      <c r="Q897">
        <f>_xlfn.XLOOKUP(Table3[[#This Row],[Product Name]],Sales!A:A,Sales!B:B)</f>
        <v>4.54</v>
      </c>
      <c r="R897">
        <f>_xlfn.XLOOKUP(Table3[[#This Row],[Product Name]],Sales!A:A,Sales!C:C)</f>
        <v>1</v>
      </c>
      <c r="S897">
        <f>_xlfn.XLOOKUP(Table3[[#This Row],[Product Name]],Sales!A:A,Sales!D:D)</f>
        <v>0</v>
      </c>
      <c r="T897">
        <f>_xlfn.XLOOKUP(Table3[[#This Row],[Product Name]],Sales!A:A,Sales!E:E)</f>
        <v>2.0430000000000001</v>
      </c>
    </row>
    <row r="898" spans="1:20" x14ac:dyDescent="0.3">
      <c r="A898">
        <v>893</v>
      </c>
      <c r="B898" t="s">
        <v>2201</v>
      </c>
      <c r="C898">
        <v>26</v>
      </c>
      <c r="D898">
        <v>6</v>
      </c>
      <c r="E898">
        <v>2021</v>
      </c>
      <c r="F898" t="s">
        <v>142</v>
      </c>
      <c r="G898" t="s">
        <v>1822</v>
      </c>
      <c r="H898" t="s">
        <v>2884</v>
      </c>
      <c r="I898" t="s">
        <v>78</v>
      </c>
      <c r="J898" t="s">
        <v>2482</v>
      </c>
      <c r="K898" t="s">
        <v>79</v>
      </c>
      <c r="L898">
        <v>48227</v>
      </c>
      <c r="M898" t="s">
        <v>2204</v>
      </c>
      <c r="N898" t="s">
        <v>33</v>
      </c>
      <c r="O898" t="s">
        <v>51</v>
      </c>
      <c r="P898" t="s">
        <v>2205</v>
      </c>
      <c r="Q898">
        <f>_xlfn.XLOOKUP(Table3[[#This Row],[Product Name]],Sales!A:A,Sales!B:B)</f>
        <v>15.92</v>
      </c>
      <c r="R898">
        <f>_xlfn.XLOOKUP(Table3[[#This Row],[Product Name]],Sales!A:A,Sales!C:C)</f>
        <v>4</v>
      </c>
      <c r="S898">
        <f>_xlfn.XLOOKUP(Table3[[#This Row],[Product Name]],Sales!A:A,Sales!D:D)</f>
        <v>0</v>
      </c>
      <c r="T898">
        <f>_xlfn.XLOOKUP(Table3[[#This Row],[Product Name]],Sales!A:A,Sales!E:E)</f>
        <v>5.4127999999999998</v>
      </c>
    </row>
    <row r="899" spans="1:20" x14ac:dyDescent="0.3">
      <c r="A899">
        <v>894</v>
      </c>
      <c r="B899" t="s">
        <v>2201</v>
      </c>
      <c r="C899">
        <v>26</v>
      </c>
      <c r="D899">
        <v>6</v>
      </c>
      <c r="E899">
        <v>2021</v>
      </c>
      <c r="F899" t="s">
        <v>142</v>
      </c>
      <c r="G899" t="s">
        <v>1822</v>
      </c>
      <c r="H899" t="s">
        <v>2884</v>
      </c>
      <c r="I899" t="s">
        <v>78</v>
      </c>
      <c r="J899" t="s">
        <v>2482</v>
      </c>
      <c r="K899" t="s">
        <v>79</v>
      </c>
      <c r="L899">
        <v>48227</v>
      </c>
      <c r="M899" t="s">
        <v>2206</v>
      </c>
      <c r="N899" t="s">
        <v>54</v>
      </c>
      <c r="O899" t="s">
        <v>55</v>
      </c>
      <c r="P899" t="s">
        <v>2207</v>
      </c>
      <c r="Q899">
        <f>_xlfn.XLOOKUP(Table3[[#This Row],[Product Name]],Sales!A:A,Sales!B:B)</f>
        <v>543.91999999999996</v>
      </c>
      <c r="R899">
        <f>_xlfn.XLOOKUP(Table3[[#This Row],[Product Name]],Sales!A:A,Sales!C:C)</f>
        <v>8</v>
      </c>
      <c r="S899">
        <f>_xlfn.XLOOKUP(Table3[[#This Row],[Product Name]],Sales!A:A,Sales!D:D)</f>
        <v>0</v>
      </c>
      <c r="T899">
        <f>_xlfn.XLOOKUP(Table3[[#This Row],[Product Name]],Sales!A:A,Sales!E:E)</f>
        <v>135.97999999999999</v>
      </c>
    </row>
    <row r="900" spans="1:20" x14ac:dyDescent="0.3">
      <c r="A900">
        <v>895</v>
      </c>
      <c r="B900" t="s">
        <v>2208</v>
      </c>
      <c r="C900">
        <v>10</v>
      </c>
      <c r="D900">
        <v>11</v>
      </c>
      <c r="E900">
        <v>2020</v>
      </c>
      <c r="F900" t="s">
        <v>142</v>
      </c>
      <c r="G900" t="s">
        <v>2209</v>
      </c>
      <c r="H900" t="s">
        <v>2941</v>
      </c>
      <c r="I900" t="s">
        <v>30</v>
      </c>
      <c r="J900" t="s">
        <v>2422</v>
      </c>
      <c r="K900" t="s">
        <v>31</v>
      </c>
      <c r="L900">
        <v>94122</v>
      </c>
      <c r="M900" t="s">
        <v>1022</v>
      </c>
      <c r="N900" t="s">
        <v>33</v>
      </c>
      <c r="O900" t="s">
        <v>43</v>
      </c>
      <c r="P900" t="s">
        <v>1023</v>
      </c>
      <c r="Q900">
        <f>_xlfn.XLOOKUP(Table3[[#This Row],[Product Name]],Sales!A:A,Sales!B:B)</f>
        <v>53.423999999999999</v>
      </c>
      <c r="R900">
        <f>_xlfn.XLOOKUP(Table3[[#This Row],[Product Name]],Sales!A:A,Sales!C:C)</f>
        <v>3</v>
      </c>
      <c r="S900">
        <f>_xlfn.XLOOKUP(Table3[[#This Row],[Product Name]],Sales!A:A,Sales!D:D)</f>
        <v>0.2</v>
      </c>
      <c r="T900">
        <f>_xlfn.XLOOKUP(Table3[[#This Row],[Product Name]],Sales!A:A,Sales!E:E)</f>
        <v>4.6745999999999999</v>
      </c>
    </row>
    <row r="901" spans="1:20" x14ac:dyDescent="0.3">
      <c r="A901">
        <v>896</v>
      </c>
      <c r="B901" t="s">
        <v>2208</v>
      </c>
      <c r="C901">
        <v>10</v>
      </c>
      <c r="D901">
        <v>11</v>
      </c>
      <c r="E901">
        <v>2020</v>
      </c>
      <c r="F901" t="s">
        <v>142</v>
      </c>
      <c r="G901" t="s">
        <v>2209</v>
      </c>
      <c r="H901" t="s">
        <v>2941</v>
      </c>
      <c r="I901" t="s">
        <v>30</v>
      </c>
      <c r="J901" t="s">
        <v>2422</v>
      </c>
      <c r="K901" t="s">
        <v>31</v>
      </c>
      <c r="L901">
        <v>94122</v>
      </c>
      <c r="M901" t="s">
        <v>2210</v>
      </c>
      <c r="N901" t="s">
        <v>33</v>
      </c>
      <c r="O901" t="s">
        <v>58</v>
      </c>
      <c r="P901" t="s">
        <v>2211</v>
      </c>
      <c r="Q901">
        <f>_xlfn.XLOOKUP(Table3[[#This Row],[Product Name]],Sales!A:A,Sales!B:B)</f>
        <v>70.007999999999996</v>
      </c>
      <c r="R901">
        <f>_xlfn.XLOOKUP(Table3[[#This Row],[Product Name]],Sales!A:A,Sales!C:C)</f>
        <v>3</v>
      </c>
      <c r="S901">
        <f>_xlfn.XLOOKUP(Table3[[#This Row],[Product Name]],Sales!A:A,Sales!D:D)</f>
        <v>0.2</v>
      </c>
      <c r="T901">
        <f>_xlfn.XLOOKUP(Table3[[#This Row],[Product Name]],Sales!A:A,Sales!E:E)</f>
        <v>24.502800000000001</v>
      </c>
    </row>
    <row r="902" spans="1:20" x14ac:dyDescent="0.3">
      <c r="A902">
        <v>897</v>
      </c>
      <c r="B902" t="s">
        <v>2212</v>
      </c>
      <c r="C902">
        <v>3</v>
      </c>
      <c r="D902">
        <v>10</v>
      </c>
      <c r="E902">
        <v>2020</v>
      </c>
      <c r="F902" t="s">
        <v>17</v>
      </c>
      <c r="G902" t="s">
        <v>2213</v>
      </c>
      <c r="H902" t="s">
        <v>2942</v>
      </c>
      <c r="I902" t="s">
        <v>19</v>
      </c>
      <c r="J902" t="s">
        <v>2426</v>
      </c>
      <c r="K902" t="s">
        <v>79</v>
      </c>
      <c r="L902">
        <v>77095</v>
      </c>
      <c r="M902" t="s">
        <v>2214</v>
      </c>
      <c r="N902" t="s">
        <v>33</v>
      </c>
      <c r="O902" t="s">
        <v>129</v>
      </c>
      <c r="P902" t="s">
        <v>505</v>
      </c>
      <c r="Q902">
        <f>_xlfn.XLOOKUP(Table3[[#This Row],[Product Name]],Sales!A:A,Sales!B:B)</f>
        <v>28.4</v>
      </c>
      <c r="R902">
        <f>_xlfn.XLOOKUP(Table3[[#This Row],[Product Name]],Sales!A:A,Sales!C:C)</f>
        <v>5</v>
      </c>
      <c r="S902">
        <f>_xlfn.XLOOKUP(Table3[[#This Row],[Product Name]],Sales!A:A,Sales!D:D)</f>
        <v>0</v>
      </c>
      <c r="T902">
        <f>_xlfn.XLOOKUP(Table3[[#This Row],[Product Name]],Sales!A:A,Sales!E:E)</f>
        <v>13.348000000000001</v>
      </c>
    </row>
    <row r="903" spans="1:20" x14ac:dyDescent="0.3">
      <c r="A903">
        <v>898</v>
      </c>
      <c r="B903" t="s">
        <v>2215</v>
      </c>
      <c r="C903">
        <v>9</v>
      </c>
      <c r="D903">
        <v>9</v>
      </c>
      <c r="E903">
        <v>2018</v>
      </c>
      <c r="F903" t="s">
        <v>37</v>
      </c>
      <c r="G903" t="s">
        <v>2216</v>
      </c>
      <c r="H903" t="s">
        <v>2943</v>
      </c>
      <c r="I903" t="s">
        <v>19</v>
      </c>
      <c r="J903" t="s">
        <v>2482</v>
      </c>
      <c r="K903" t="s">
        <v>79</v>
      </c>
      <c r="L903">
        <v>48227</v>
      </c>
      <c r="M903" t="s">
        <v>1318</v>
      </c>
      <c r="N903" t="s">
        <v>33</v>
      </c>
      <c r="O903" t="s">
        <v>34</v>
      </c>
      <c r="P903" t="s">
        <v>1319</v>
      </c>
      <c r="Q903">
        <f>_xlfn.XLOOKUP(Table3[[#This Row],[Product Name]],Sales!A:A,Sales!B:B)</f>
        <v>29.6</v>
      </c>
      <c r="R903">
        <f>_xlfn.XLOOKUP(Table3[[#This Row],[Product Name]],Sales!A:A,Sales!C:C)</f>
        <v>2</v>
      </c>
      <c r="S903">
        <f>_xlfn.XLOOKUP(Table3[[#This Row],[Product Name]],Sales!A:A,Sales!D:D)</f>
        <v>0</v>
      </c>
      <c r="T903">
        <f>_xlfn.XLOOKUP(Table3[[#This Row],[Product Name]],Sales!A:A,Sales!E:E)</f>
        <v>14.8</v>
      </c>
    </row>
    <row r="904" spans="1:20" x14ac:dyDescent="0.3">
      <c r="A904">
        <v>899</v>
      </c>
      <c r="B904" t="s">
        <v>2217</v>
      </c>
      <c r="C904">
        <v>29</v>
      </c>
      <c r="D904">
        <v>10</v>
      </c>
      <c r="E904">
        <v>2021</v>
      </c>
      <c r="F904" t="s">
        <v>17</v>
      </c>
      <c r="G904" t="s">
        <v>2218</v>
      </c>
      <c r="H904" t="s">
        <v>2944</v>
      </c>
      <c r="I904" t="s">
        <v>30</v>
      </c>
      <c r="J904" t="s">
        <v>2532</v>
      </c>
      <c r="K904" t="s">
        <v>108</v>
      </c>
      <c r="L904">
        <v>13021</v>
      </c>
      <c r="M904" t="s">
        <v>2219</v>
      </c>
      <c r="N904" t="s">
        <v>33</v>
      </c>
      <c r="O904" t="s">
        <v>70</v>
      </c>
      <c r="P904" t="s">
        <v>2220</v>
      </c>
      <c r="Q904">
        <f>_xlfn.XLOOKUP(Table3[[#This Row],[Product Name]],Sales!A:A,Sales!B:B)</f>
        <v>46.96</v>
      </c>
      <c r="R904">
        <f>_xlfn.XLOOKUP(Table3[[#This Row],[Product Name]],Sales!A:A,Sales!C:C)</f>
        <v>8</v>
      </c>
      <c r="S904">
        <f>_xlfn.XLOOKUP(Table3[[#This Row],[Product Name]],Sales!A:A,Sales!D:D)</f>
        <v>0</v>
      </c>
      <c r="T904">
        <f>_xlfn.XLOOKUP(Table3[[#This Row],[Product Name]],Sales!A:A,Sales!E:E)</f>
        <v>22.540800000000001</v>
      </c>
    </row>
    <row r="905" spans="1:20" x14ac:dyDescent="0.3">
      <c r="A905">
        <v>900</v>
      </c>
      <c r="B905" t="s">
        <v>2221</v>
      </c>
      <c r="C905">
        <v>10</v>
      </c>
      <c r="D905">
        <v>4</v>
      </c>
      <c r="E905">
        <v>2020</v>
      </c>
      <c r="F905" t="s">
        <v>142</v>
      </c>
      <c r="G905" t="s">
        <v>2222</v>
      </c>
      <c r="H905" t="s">
        <v>2945</v>
      </c>
      <c r="I905" t="s">
        <v>30</v>
      </c>
      <c r="J905" t="s">
        <v>2550</v>
      </c>
      <c r="K905" t="s">
        <v>108</v>
      </c>
      <c r="L905">
        <v>45503</v>
      </c>
      <c r="M905" t="s">
        <v>2223</v>
      </c>
      <c r="N905" t="s">
        <v>33</v>
      </c>
      <c r="O905" t="s">
        <v>58</v>
      </c>
      <c r="P905" t="s">
        <v>2224</v>
      </c>
      <c r="Q905">
        <f>_xlfn.XLOOKUP(Table3[[#This Row],[Product Name]],Sales!A:A,Sales!B:B)</f>
        <v>8.9039999999999999</v>
      </c>
      <c r="R905">
        <f>_xlfn.XLOOKUP(Table3[[#This Row],[Product Name]],Sales!A:A,Sales!C:C)</f>
        <v>2</v>
      </c>
      <c r="S905">
        <f>_xlfn.XLOOKUP(Table3[[#This Row],[Product Name]],Sales!A:A,Sales!D:D)</f>
        <v>0.7</v>
      </c>
      <c r="T905">
        <f>_xlfn.XLOOKUP(Table3[[#This Row],[Product Name]],Sales!A:A,Sales!E:E)</f>
        <v>-6.5296000000000003</v>
      </c>
    </row>
    <row r="906" spans="1:20" x14ac:dyDescent="0.3">
      <c r="A906">
        <v>901</v>
      </c>
      <c r="B906" t="s">
        <v>2225</v>
      </c>
      <c r="C906">
        <v>11</v>
      </c>
      <c r="D906">
        <v>11</v>
      </c>
      <c r="E906">
        <v>2021</v>
      </c>
      <c r="F906" t="s">
        <v>142</v>
      </c>
      <c r="G906" t="s">
        <v>971</v>
      </c>
      <c r="H906" t="s">
        <v>2753</v>
      </c>
      <c r="I906" t="s">
        <v>19</v>
      </c>
      <c r="J906" t="s">
        <v>2598</v>
      </c>
      <c r="K906" t="s">
        <v>79</v>
      </c>
      <c r="L906">
        <v>75043</v>
      </c>
      <c r="M906" t="s">
        <v>2226</v>
      </c>
      <c r="N906" t="s">
        <v>33</v>
      </c>
      <c r="O906" t="s">
        <v>34</v>
      </c>
      <c r="P906" t="s">
        <v>2227</v>
      </c>
      <c r="Q906">
        <f>_xlfn.XLOOKUP(Table3[[#This Row],[Product Name]],Sales!A:A,Sales!B:B)</f>
        <v>10.44</v>
      </c>
      <c r="R906">
        <f>_xlfn.XLOOKUP(Table3[[#This Row],[Product Name]],Sales!A:A,Sales!C:C)</f>
        <v>5</v>
      </c>
      <c r="S906">
        <f>_xlfn.XLOOKUP(Table3[[#This Row],[Product Name]],Sales!A:A,Sales!D:D)</f>
        <v>0.2</v>
      </c>
      <c r="T906">
        <f>_xlfn.XLOOKUP(Table3[[#This Row],[Product Name]],Sales!A:A,Sales!E:E)</f>
        <v>3.3929999999999998</v>
      </c>
    </row>
    <row r="907" spans="1:20" x14ac:dyDescent="0.3">
      <c r="A907">
        <v>902</v>
      </c>
      <c r="B907" t="s">
        <v>2225</v>
      </c>
      <c r="C907">
        <v>11</v>
      </c>
      <c r="D907">
        <v>11</v>
      </c>
      <c r="E907">
        <v>2021</v>
      </c>
      <c r="F907" t="s">
        <v>142</v>
      </c>
      <c r="G907" t="s">
        <v>971</v>
      </c>
      <c r="H907" t="s">
        <v>2753</v>
      </c>
      <c r="I907" t="s">
        <v>19</v>
      </c>
      <c r="J907" t="s">
        <v>2598</v>
      </c>
      <c r="K907" t="s">
        <v>79</v>
      </c>
      <c r="L907">
        <v>75043</v>
      </c>
      <c r="M907" t="s">
        <v>2228</v>
      </c>
      <c r="N907" t="s">
        <v>33</v>
      </c>
      <c r="O907" t="s">
        <v>58</v>
      </c>
      <c r="P907" t="s">
        <v>2229</v>
      </c>
      <c r="Q907">
        <f>_xlfn.XLOOKUP(Table3[[#This Row],[Product Name]],Sales!A:A,Sales!B:B)</f>
        <v>18.335999999999999</v>
      </c>
      <c r="R907">
        <f>_xlfn.XLOOKUP(Table3[[#This Row],[Product Name]],Sales!A:A,Sales!C:C)</f>
        <v>4</v>
      </c>
      <c r="S907">
        <f>_xlfn.XLOOKUP(Table3[[#This Row],[Product Name]],Sales!A:A,Sales!D:D)</f>
        <v>0.8</v>
      </c>
      <c r="T907">
        <f>_xlfn.XLOOKUP(Table3[[#This Row],[Product Name]],Sales!A:A,Sales!E:E)</f>
        <v>-32.088000000000001</v>
      </c>
    </row>
    <row r="908" spans="1:20" x14ac:dyDescent="0.3">
      <c r="A908">
        <v>903</v>
      </c>
      <c r="B908" t="s">
        <v>2230</v>
      </c>
      <c r="C908">
        <v>15</v>
      </c>
      <c r="D908">
        <v>9</v>
      </c>
      <c r="E908">
        <v>2021</v>
      </c>
      <c r="F908" t="s">
        <v>142</v>
      </c>
      <c r="G908" t="s">
        <v>487</v>
      </c>
      <c r="H908" t="s">
        <v>2682</v>
      </c>
      <c r="I908" t="s">
        <v>19</v>
      </c>
      <c r="J908" t="s">
        <v>2436</v>
      </c>
      <c r="K908" t="s">
        <v>79</v>
      </c>
      <c r="L908">
        <v>60653</v>
      </c>
      <c r="M908" t="s">
        <v>492</v>
      </c>
      <c r="N908" t="s">
        <v>54</v>
      </c>
      <c r="O908" t="s">
        <v>55</v>
      </c>
      <c r="P908" t="s">
        <v>493</v>
      </c>
      <c r="Q908">
        <f>_xlfn.XLOOKUP(Table3[[#This Row],[Product Name]],Sales!A:A,Sales!B:B)</f>
        <v>944.93</v>
      </c>
      <c r="R908">
        <f>_xlfn.XLOOKUP(Table3[[#This Row],[Product Name]],Sales!A:A,Sales!C:C)</f>
        <v>7</v>
      </c>
      <c r="S908">
        <f>_xlfn.XLOOKUP(Table3[[#This Row],[Product Name]],Sales!A:A,Sales!D:D)</f>
        <v>0</v>
      </c>
      <c r="T908">
        <f>_xlfn.XLOOKUP(Table3[[#This Row],[Product Name]],Sales!A:A,Sales!E:E)</f>
        <v>236.23249999999999</v>
      </c>
    </row>
    <row r="909" spans="1:20" x14ac:dyDescent="0.3">
      <c r="A909">
        <v>904</v>
      </c>
      <c r="B909" t="s">
        <v>2231</v>
      </c>
      <c r="C909">
        <v>8</v>
      </c>
      <c r="D909">
        <v>4</v>
      </c>
      <c r="E909">
        <v>2020</v>
      </c>
      <c r="F909" t="s">
        <v>37</v>
      </c>
      <c r="G909" t="s">
        <v>619</v>
      </c>
      <c r="H909" t="s">
        <v>2705</v>
      </c>
      <c r="I909" t="s">
        <v>19</v>
      </c>
      <c r="J909" t="s">
        <v>2415</v>
      </c>
      <c r="K909" t="s">
        <v>31</v>
      </c>
      <c r="L909">
        <v>90032</v>
      </c>
      <c r="M909" t="s">
        <v>2232</v>
      </c>
      <c r="N909" t="s">
        <v>33</v>
      </c>
      <c r="O909" t="s">
        <v>70</v>
      </c>
      <c r="P909" t="s">
        <v>2233</v>
      </c>
      <c r="Q909">
        <f>_xlfn.XLOOKUP(Table3[[#This Row],[Product Name]],Sales!A:A,Sales!B:B)</f>
        <v>20.04</v>
      </c>
      <c r="R909">
        <f>_xlfn.XLOOKUP(Table3[[#This Row],[Product Name]],Sales!A:A,Sales!C:C)</f>
        <v>3</v>
      </c>
      <c r="S909">
        <f>_xlfn.XLOOKUP(Table3[[#This Row],[Product Name]],Sales!A:A,Sales!D:D)</f>
        <v>0</v>
      </c>
      <c r="T909">
        <f>_xlfn.XLOOKUP(Table3[[#This Row],[Product Name]],Sales!A:A,Sales!E:E)</f>
        <v>9.6191999999999993</v>
      </c>
    </row>
    <row r="910" spans="1:20" x14ac:dyDescent="0.3">
      <c r="A910">
        <v>905</v>
      </c>
      <c r="B910" t="s">
        <v>2231</v>
      </c>
      <c r="C910">
        <v>8</v>
      </c>
      <c r="D910">
        <v>4</v>
      </c>
      <c r="E910">
        <v>2020</v>
      </c>
      <c r="F910" t="s">
        <v>37</v>
      </c>
      <c r="G910" t="s">
        <v>619</v>
      </c>
      <c r="H910" t="s">
        <v>2705</v>
      </c>
      <c r="I910" t="s">
        <v>19</v>
      </c>
      <c r="J910" t="s">
        <v>2415</v>
      </c>
      <c r="K910" t="s">
        <v>31</v>
      </c>
      <c r="L910">
        <v>90032</v>
      </c>
      <c r="M910" t="s">
        <v>1767</v>
      </c>
      <c r="N910" t="s">
        <v>33</v>
      </c>
      <c r="O910" t="s">
        <v>43</v>
      </c>
      <c r="P910" t="s">
        <v>1768</v>
      </c>
      <c r="Q910">
        <f>_xlfn.XLOOKUP(Table3[[#This Row],[Product Name]],Sales!A:A,Sales!B:B)</f>
        <v>64.959999999999994</v>
      </c>
      <c r="R910">
        <f>_xlfn.XLOOKUP(Table3[[#This Row],[Product Name]],Sales!A:A,Sales!C:C)</f>
        <v>2</v>
      </c>
      <c r="S910">
        <f>_xlfn.XLOOKUP(Table3[[#This Row],[Product Name]],Sales!A:A,Sales!D:D)</f>
        <v>0</v>
      </c>
      <c r="T910">
        <f>_xlfn.XLOOKUP(Table3[[#This Row],[Product Name]],Sales!A:A,Sales!E:E)</f>
        <v>2.5983999999999998</v>
      </c>
    </row>
    <row r="911" spans="1:20" x14ac:dyDescent="0.3">
      <c r="A911">
        <v>906</v>
      </c>
      <c r="B911" t="s">
        <v>2231</v>
      </c>
      <c r="C911">
        <v>8</v>
      </c>
      <c r="D911">
        <v>4</v>
      </c>
      <c r="E911">
        <v>2020</v>
      </c>
      <c r="F911" t="s">
        <v>37</v>
      </c>
      <c r="G911" t="s">
        <v>619</v>
      </c>
      <c r="H911" t="s">
        <v>2705</v>
      </c>
      <c r="I911" t="s">
        <v>19</v>
      </c>
      <c r="J911" t="s">
        <v>2415</v>
      </c>
      <c r="K911" t="s">
        <v>31</v>
      </c>
      <c r="L911">
        <v>90032</v>
      </c>
      <c r="M911" t="s">
        <v>2234</v>
      </c>
      <c r="N911" t="s">
        <v>33</v>
      </c>
      <c r="O911" t="s">
        <v>70</v>
      </c>
      <c r="P911" t="s">
        <v>2235</v>
      </c>
      <c r="Q911">
        <f>_xlfn.XLOOKUP(Table3[[#This Row],[Product Name]],Sales!A:A,Sales!B:B)</f>
        <v>12.96</v>
      </c>
      <c r="R911">
        <f>_xlfn.XLOOKUP(Table3[[#This Row],[Product Name]],Sales!A:A,Sales!C:C)</f>
        <v>2</v>
      </c>
      <c r="S911">
        <f>_xlfn.XLOOKUP(Table3[[#This Row],[Product Name]],Sales!A:A,Sales!D:D)</f>
        <v>0</v>
      </c>
      <c r="T911">
        <f>_xlfn.XLOOKUP(Table3[[#This Row],[Product Name]],Sales!A:A,Sales!E:E)</f>
        <v>6.2207999999999997</v>
      </c>
    </row>
    <row r="912" spans="1:20" x14ac:dyDescent="0.3">
      <c r="A912">
        <v>907</v>
      </c>
      <c r="B912" t="s">
        <v>2236</v>
      </c>
      <c r="C912">
        <v>30</v>
      </c>
      <c r="D912">
        <v>12</v>
      </c>
      <c r="E912">
        <v>2021</v>
      </c>
      <c r="F912" t="s">
        <v>37</v>
      </c>
      <c r="G912" t="s">
        <v>177</v>
      </c>
      <c r="H912" t="s">
        <v>2631</v>
      </c>
      <c r="I912" t="s">
        <v>19</v>
      </c>
      <c r="J912" t="s">
        <v>2434</v>
      </c>
      <c r="K912" t="s">
        <v>108</v>
      </c>
      <c r="L912">
        <v>10009</v>
      </c>
      <c r="M912" t="s">
        <v>2237</v>
      </c>
      <c r="N912" t="s">
        <v>22</v>
      </c>
      <c r="O912" t="s">
        <v>23</v>
      </c>
      <c r="P912" t="s">
        <v>2238</v>
      </c>
      <c r="Q912">
        <f>_xlfn.XLOOKUP(Table3[[#This Row],[Product Name]],Sales!A:A,Sales!B:B)</f>
        <v>323.13600000000002</v>
      </c>
      <c r="R912">
        <f>_xlfn.XLOOKUP(Table3[[#This Row],[Product Name]],Sales!A:A,Sales!C:C)</f>
        <v>4</v>
      </c>
      <c r="S912">
        <f>_xlfn.XLOOKUP(Table3[[#This Row],[Product Name]],Sales!A:A,Sales!D:D)</f>
        <v>0.2</v>
      </c>
      <c r="T912">
        <f>_xlfn.XLOOKUP(Table3[[#This Row],[Product Name]],Sales!A:A,Sales!E:E)</f>
        <v>12.117599999999999</v>
      </c>
    </row>
    <row r="913" spans="1:20" x14ac:dyDescent="0.3">
      <c r="A913">
        <v>908</v>
      </c>
      <c r="B913" t="s">
        <v>2236</v>
      </c>
      <c r="C913">
        <v>30</v>
      </c>
      <c r="D913">
        <v>12</v>
      </c>
      <c r="E913">
        <v>2021</v>
      </c>
      <c r="F913" t="s">
        <v>37</v>
      </c>
      <c r="G913" t="s">
        <v>177</v>
      </c>
      <c r="H913" t="s">
        <v>2631</v>
      </c>
      <c r="I913" t="s">
        <v>19</v>
      </c>
      <c r="J913" t="s">
        <v>2434</v>
      </c>
      <c r="K913" t="s">
        <v>108</v>
      </c>
      <c r="L913">
        <v>10009</v>
      </c>
      <c r="M913" t="s">
        <v>2239</v>
      </c>
      <c r="N913" t="s">
        <v>54</v>
      </c>
      <c r="O913" t="s">
        <v>55</v>
      </c>
      <c r="P913" t="s">
        <v>2240</v>
      </c>
      <c r="Q913">
        <f>_xlfn.XLOOKUP(Table3[[#This Row],[Product Name]],Sales!A:A,Sales!B:B)</f>
        <v>90.93</v>
      </c>
      <c r="R913">
        <f>_xlfn.XLOOKUP(Table3[[#This Row],[Product Name]],Sales!A:A,Sales!C:C)</f>
        <v>7</v>
      </c>
      <c r="S913">
        <f>_xlfn.XLOOKUP(Table3[[#This Row],[Product Name]],Sales!A:A,Sales!D:D)</f>
        <v>0</v>
      </c>
      <c r="T913">
        <f>_xlfn.XLOOKUP(Table3[[#This Row],[Product Name]],Sales!A:A,Sales!E:E)</f>
        <v>2.7279</v>
      </c>
    </row>
    <row r="914" spans="1:20" x14ac:dyDescent="0.3">
      <c r="A914">
        <v>909</v>
      </c>
      <c r="B914" t="s">
        <v>2236</v>
      </c>
      <c r="C914">
        <v>30</v>
      </c>
      <c r="D914">
        <v>12</v>
      </c>
      <c r="E914">
        <v>2021</v>
      </c>
      <c r="F914" t="s">
        <v>37</v>
      </c>
      <c r="G914" t="s">
        <v>177</v>
      </c>
      <c r="H914" t="s">
        <v>2631</v>
      </c>
      <c r="I914" t="s">
        <v>19</v>
      </c>
      <c r="J914" t="s">
        <v>2434</v>
      </c>
      <c r="K914" t="s">
        <v>108</v>
      </c>
      <c r="L914">
        <v>10009</v>
      </c>
      <c r="M914" t="s">
        <v>2241</v>
      </c>
      <c r="N914" t="s">
        <v>33</v>
      </c>
      <c r="O914" t="s">
        <v>58</v>
      </c>
      <c r="P914" t="s">
        <v>2242</v>
      </c>
      <c r="Q914">
        <f>_xlfn.XLOOKUP(Table3[[#This Row],[Product Name]],Sales!A:A,Sales!B:B)</f>
        <v>52.776000000000003</v>
      </c>
      <c r="R914">
        <f>_xlfn.XLOOKUP(Table3[[#This Row],[Product Name]],Sales!A:A,Sales!C:C)</f>
        <v>3</v>
      </c>
      <c r="S914">
        <f>_xlfn.XLOOKUP(Table3[[#This Row],[Product Name]],Sales!A:A,Sales!D:D)</f>
        <v>0.2</v>
      </c>
      <c r="T914">
        <f>_xlfn.XLOOKUP(Table3[[#This Row],[Product Name]],Sales!A:A,Sales!E:E)</f>
        <v>19.791</v>
      </c>
    </row>
    <row r="915" spans="1:20" x14ac:dyDescent="0.3">
      <c r="A915">
        <v>910</v>
      </c>
      <c r="B915" t="s">
        <v>2243</v>
      </c>
      <c r="C915">
        <v>2</v>
      </c>
      <c r="D915">
        <v>9</v>
      </c>
      <c r="E915">
        <v>2021</v>
      </c>
      <c r="F915" t="s">
        <v>37</v>
      </c>
      <c r="G915" t="s">
        <v>2244</v>
      </c>
      <c r="H915" t="s">
        <v>2946</v>
      </c>
      <c r="I915" t="s">
        <v>78</v>
      </c>
      <c r="J915" t="s">
        <v>2439</v>
      </c>
      <c r="K915" t="s">
        <v>79</v>
      </c>
      <c r="L915">
        <v>49201</v>
      </c>
      <c r="M915" t="s">
        <v>2245</v>
      </c>
      <c r="N915" t="s">
        <v>54</v>
      </c>
      <c r="O915" t="s">
        <v>55</v>
      </c>
      <c r="P915" t="s">
        <v>2246</v>
      </c>
      <c r="Q915">
        <f>_xlfn.XLOOKUP(Table3[[#This Row],[Product Name]],Sales!A:A,Sales!B:B)</f>
        <v>1199.8</v>
      </c>
      <c r="R915">
        <f>_xlfn.XLOOKUP(Table3[[#This Row],[Product Name]],Sales!A:A,Sales!C:C)</f>
        <v>4</v>
      </c>
      <c r="S915">
        <f>_xlfn.XLOOKUP(Table3[[#This Row],[Product Name]],Sales!A:A,Sales!D:D)</f>
        <v>0</v>
      </c>
      <c r="T915">
        <f>_xlfn.XLOOKUP(Table3[[#This Row],[Product Name]],Sales!A:A,Sales!E:E)</f>
        <v>323.94600000000003</v>
      </c>
    </row>
    <row r="916" spans="1:20" x14ac:dyDescent="0.3">
      <c r="A916">
        <v>911</v>
      </c>
      <c r="B916" t="s">
        <v>2243</v>
      </c>
      <c r="C916">
        <v>2</v>
      </c>
      <c r="D916">
        <v>9</v>
      </c>
      <c r="E916">
        <v>2021</v>
      </c>
      <c r="F916" t="s">
        <v>37</v>
      </c>
      <c r="G916" t="s">
        <v>2244</v>
      </c>
      <c r="H916" t="s">
        <v>2946</v>
      </c>
      <c r="I916" t="s">
        <v>78</v>
      </c>
      <c r="J916" t="s">
        <v>2439</v>
      </c>
      <c r="K916" t="s">
        <v>79</v>
      </c>
      <c r="L916">
        <v>49201</v>
      </c>
      <c r="M916" t="s">
        <v>2247</v>
      </c>
      <c r="N916" t="s">
        <v>54</v>
      </c>
      <c r="O916" t="s">
        <v>118</v>
      </c>
      <c r="P916" t="s">
        <v>2248</v>
      </c>
      <c r="Q916">
        <f>_xlfn.XLOOKUP(Table3[[#This Row],[Product Name]],Sales!A:A,Sales!B:B)</f>
        <v>1928.78</v>
      </c>
      <c r="R916">
        <f>_xlfn.XLOOKUP(Table3[[#This Row],[Product Name]],Sales!A:A,Sales!C:C)</f>
        <v>7</v>
      </c>
      <c r="S916">
        <f>_xlfn.XLOOKUP(Table3[[#This Row],[Product Name]],Sales!A:A,Sales!D:D)</f>
        <v>0</v>
      </c>
      <c r="T916">
        <f>_xlfn.XLOOKUP(Table3[[#This Row],[Product Name]],Sales!A:A,Sales!E:E)</f>
        <v>829.37540000000001</v>
      </c>
    </row>
    <row r="917" spans="1:20" x14ac:dyDescent="0.3">
      <c r="A917">
        <v>912</v>
      </c>
      <c r="B917" t="s">
        <v>2243</v>
      </c>
      <c r="C917">
        <v>2</v>
      </c>
      <c r="D917">
        <v>9</v>
      </c>
      <c r="E917">
        <v>2021</v>
      </c>
      <c r="F917" t="s">
        <v>37</v>
      </c>
      <c r="G917" t="s">
        <v>2244</v>
      </c>
      <c r="H917" t="s">
        <v>2946</v>
      </c>
      <c r="I917" t="s">
        <v>78</v>
      </c>
      <c r="J917" t="s">
        <v>2439</v>
      </c>
      <c r="K917" t="s">
        <v>79</v>
      </c>
      <c r="L917">
        <v>49201</v>
      </c>
      <c r="M917" t="s">
        <v>2249</v>
      </c>
      <c r="N917" t="s">
        <v>33</v>
      </c>
      <c r="O917" t="s">
        <v>43</v>
      </c>
      <c r="P917" t="s">
        <v>2250</v>
      </c>
      <c r="Q917">
        <f>_xlfn.XLOOKUP(Table3[[#This Row],[Product Name]],Sales!A:A,Sales!B:B)</f>
        <v>352.38</v>
      </c>
      <c r="R917">
        <f>_xlfn.XLOOKUP(Table3[[#This Row],[Product Name]],Sales!A:A,Sales!C:C)</f>
        <v>2</v>
      </c>
      <c r="S917">
        <f>_xlfn.XLOOKUP(Table3[[#This Row],[Product Name]],Sales!A:A,Sales!D:D)</f>
        <v>0</v>
      </c>
      <c r="T917">
        <f>_xlfn.XLOOKUP(Table3[[#This Row],[Product Name]],Sales!A:A,Sales!E:E)</f>
        <v>81.047399999999996</v>
      </c>
    </row>
    <row r="918" spans="1:20" x14ac:dyDescent="0.3">
      <c r="A918">
        <v>913</v>
      </c>
      <c r="B918" t="s">
        <v>2251</v>
      </c>
      <c r="C918">
        <v>31</v>
      </c>
      <c r="D918">
        <v>5</v>
      </c>
      <c r="E918">
        <v>2019</v>
      </c>
      <c r="F918" t="s">
        <v>37</v>
      </c>
      <c r="G918" t="s">
        <v>2252</v>
      </c>
      <c r="H918" t="s">
        <v>2947</v>
      </c>
      <c r="I918" t="s">
        <v>78</v>
      </c>
      <c r="J918" t="s">
        <v>2599</v>
      </c>
      <c r="K918" t="s">
        <v>108</v>
      </c>
      <c r="L918">
        <v>6360</v>
      </c>
      <c r="M918" t="s">
        <v>1068</v>
      </c>
      <c r="N918" t="s">
        <v>22</v>
      </c>
      <c r="O918" t="s">
        <v>48</v>
      </c>
      <c r="P918" t="s">
        <v>1069</v>
      </c>
      <c r="Q918">
        <f>_xlfn.XLOOKUP(Table3[[#This Row],[Product Name]],Sales!A:A,Sales!B:B)</f>
        <v>2.96</v>
      </c>
      <c r="R918">
        <f>_xlfn.XLOOKUP(Table3[[#This Row],[Product Name]],Sales!A:A,Sales!C:C)</f>
        <v>1</v>
      </c>
      <c r="S918">
        <f>_xlfn.XLOOKUP(Table3[[#This Row],[Product Name]],Sales!A:A,Sales!D:D)</f>
        <v>0.2</v>
      </c>
      <c r="T918">
        <f>_xlfn.XLOOKUP(Table3[[#This Row],[Product Name]],Sales!A:A,Sales!E:E)</f>
        <v>0.77700000000000002</v>
      </c>
    </row>
    <row r="919" spans="1:20" x14ac:dyDescent="0.3">
      <c r="A919">
        <v>914</v>
      </c>
      <c r="B919" t="s">
        <v>2253</v>
      </c>
      <c r="C919">
        <v>27</v>
      </c>
      <c r="D919">
        <v>11</v>
      </c>
      <c r="E919">
        <v>2021</v>
      </c>
      <c r="F919" t="s">
        <v>142</v>
      </c>
      <c r="G919" t="s">
        <v>2090</v>
      </c>
      <c r="H919" t="s">
        <v>2922</v>
      </c>
      <c r="I919" t="s">
        <v>30</v>
      </c>
      <c r="J919" t="s">
        <v>2589</v>
      </c>
      <c r="K919" t="s">
        <v>79</v>
      </c>
      <c r="L919">
        <v>53209</v>
      </c>
      <c r="M919" t="s">
        <v>839</v>
      </c>
      <c r="N919" t="s">
        <v>22</v>
      </c>
      <c r="O919" t="s">
        <v>48</v>
      </c>
      <c r="P919" t="s">
        <v>840</v>
      </c>
      <c r="Q919">
        <f>_xlfn.XLOOKUP(Table3[[#This Row],[Product Name]],Sales!A:A,Sales!B:B)</f>
        <v>300.416</v>
      </c>
      <c r="R919">
        <f>_xlfn.XLOOKUP(Table3[[#This Row],[Product Name]],Sales!A:A,Sales!C:C)</f>
        <v>8</v>
      </c>
      <c r="S919">
        <f>_xlfn.XLOOKUP(Table3[[#This Row],[Product Name]],Sales!A:A,Sales!D:D)</f>
        <v>0.2</v>
      </c>
      <c r="T919">
        <f>_xlfn.XLOOKUP(Table3[[#This Row],[Product Name]],Sales!A:A,Sales!E:E)</f>
        <v>78.859200000000001</v>
      </c>
    </row>
    <row r="920" spans="1:20" x14ac:dyDescent="0.3">
      <c r="A920">
        <v>915</v>
      </c>
      <c r="B920" t="s">
        <v>2253</v>
      </c>
      <c r="C920">
        <v>27</v>
      </c>
      <c r="D920">
        <v>11</v>
      </c>
      <c r="E920">
        <v>2021</v>
      </c>
      <c r="F920" t="s">
        <v>142</v>
      </c>
      <c r="G920" t="s">
        <v>2090</v>
      </c>
      <c r="H920" t="s">
        <v>2922</v>
      </c>
      <c r="I920" t="s">
        <v>30</v>
      </c>
      <c r="J920" t="s">
        <v>2589</v>
      </c>
      <c r="K920" t="s">
        <v>79</v>
      </c>
      <c r="L920">
        <v>53209</v>
      </c>
      <c r="M920" t="s">
        <v>1244</v>
      </c>
      <c r="N920" t="s">
        <v>54</v>
      </c>
      <c r="O920" t="s">
        <v>118</v>
      </c>
      <c r="P920" t="s">
        <v>1245</v>
      </c>
      <c r="Q920">
        <f>_xlfn.XLOOKUP(Table3[[#This Row],[Product Name]],Sales!A:A,Sales!B:B)</f>
        <v>63.88</v>
      </c>
      <c r="R920">
        <f>_xlfn.XLOOKUP(Table3[[#This Row],[Product Name]],Sales!A:A,Sales!C:C)</f>
        <v>4</v>
      </c>
      <c r="S920">
        <f>_xlfn.XLOOKUP(Table3[[#This Row],[Product Name]],Sales!A:A,Sales!D:D)</f>
        <v>0</v>
      </c>
      <c r="T920">
        <f>_xlfn.XLOOKUP(Table3[[#This Row],[Product Name]],Sales!A:A,Sales!E:E)</f>
        <v>24.9132</v>
      </c>
    </row>
    <row r="921" spans="1:20" x14ac:dyDescent="0.3">
      <c r="A921">
        <v>916</v>
      </c>
      <c r="B921" t="s">
        <v>2254</v>
      </c>
      <c r="C921">
        <v>15</v>
      </c>
      <c r="D921">
        <v>6</v>
      </c>
      <c r="E921">
        <v>2018</v>
      </c>
      <c r="F921" t="s">
        <v>37</v>
      </c>
      <c r="G921" t="s">
        <v>838</v>
      </c>
      <c r="H921" t="s">
        <v>2736</v>
      </c>
      <c r="I921" t="s">
        <v>30</v>
      </c>
      <c r="J921" t="s">
        <v>2466</v>
      </c>
      <c r="K921" t="s">
        <v>79</v>
      </c>
      <c r="L921">
        <v>78207</v>
      </c>
      <c r="M921" t="s">
        <v>2255</v>
      </c>
      <c r="N921" t="s">
        <v>22</v>
      </c>
      <c r="O921" t="s">
        <v>40</v>
      </c>
      <c r="P921" t="s">
        <v>2256</v>
      </c>
      <c r="Q921">
        <f>_xlfn.XLOOKUP(Table3[[#This Row],[Product Name]],Sales!A:A,Sales!B:B)</f>
        <v>99.918000000000006</v>
      </c>
      <c r="R921">
        <f>_xlfn.XLOOKUP(Table3[[#This Row],[Product Name]],Sales!A:A,Sales!C:C)</f>
        <v>2</v>
      </c>
      <c r="S921">
        <f>_xlfn.XLOOKUP(Table3[[#This Row],[Product Name]],Sales!A:A,Sales!D:D)</f>
        <v>0.3</v>
      </c>
      <c r="T921">
        <f>_xlfn.XLOOKUP(Table3[[#This Row],[Product Name]],Sales!A:A,Sales!E:E)</f>
        <v>-18.5562</v>
      </c>
    </row>
    <row r="922" spans="1:20" x14ac:dyDescent="0.3">
      <c r="A922">
        <v>917</v>
      </c>
      <c r="B922" t="s">
        <v>2254</v>
      </c>
      <c r="C922">
        <v>15</v>
      </c>
      <c r="D922">
        <v>6</v>
      </c>
      <c r="E922">
        <v>2018</v>
      </c>
      <c r="F922" t="s">
        <v>37</v>
      </c>
      <c r="G922" t="s">
        <v>838</v>
      </c>
      <c r="H922" t="s">
        <v>2736</v>
      </c>
      <c r="I922" t="s">
        <v>30</v>
      </c>
      <c r="J922" t="s">
        <v>2466</v>
      </c>
      <c r="K922" t="s">
        <v>79</v>
      </c>
      <c r="L922">
        <v>78207</v>
      </c>
      <c r="M922" t="s">
        <v>1420</v>
      </c>
      <c r="N922" t="s">
        <v>22</v>
      </c>
      <c r="O922" t="s">
        <v>26</v>
      </c>
      <c r="P922" t="s">
        <v>1421</v>
      </c>
      <c r="Q922">
        <f>_xlfn.XLOOKUP(Table3[[#This Row],[Product Name]],Sales!A:A,Sales!B:B)</f>
        <v>683.952</v>
      </c>
      <c r="R922">
        <f>_xlfn.XLOOKUP(Table3[[#This Row],[Product Name]],Sales!A:A,Sales!C:C)</f>
        <v>3</v>
      </c>
      <c r="S922">
        <f>_xlfn.XLOOKUP(Table3[[#This Row],[Product Name]],Sales!A:A,Sales!D:D)</f>
        <v>0.2</v>
      </c>
      <c r="T922">
        <f>_xlfn.XLOOKUP(Table3[[#This Row],[Product Name]],Sales!A:A,Sales!E:E)</f>
        <v>42.747</v>
      </c>
    </row>
    <row r="923" spans="1:20" x14ac:dyDescent="0.3">
      <c r="A923">
        <v>918</v>
      </c>
      <c r="B923" t="s">
        <v>2254</v>
      </c>
      <c r="C923">
        <v>15</v>
      </c>
      <c r="D923">
        <v>6</v>
      </c>
      <c r="E923">
        <v>2018</v>
      </c>
      <c r="F923" t="s">
        <v>37</v>
      </c>
      <c r="G923" t="s">
        <v>838</v>
      </c>
      <c r="H923" t="s">
        <v>2736</v>
      </c>
      <c r="I923" t="s">
        <v>30</v>
      </c>
      <c r="J923" t="s">
        <v>2466</v>
      </c>
      <c r="K923" t="s">
        <v>79</v>
      </c>
      <c r="L923">
        <v>78207</v>
      </c>
      <c r="M923" t="s">
        <v>858</v>
      </c>
      <c r="N923" t="s">
        <v>33</v>
      </c>
      <c r="O923" t="s">
        <v>58</v>
      </c>
      <c r="P923" t="s">
        <v>859</v>
      </c>
      <c r="Q923">
        <f>_xlfn.XLOOKUP(Table3[[#This Row],[Product Name]],Sales!A:A,Sales!B:B)</f>
        <v>14.28</v>
      </c>
      <c r="R923">
        <f>_xlfn.XLOOKUP(Table3[[#This Row],[Product Name]],Sales!A:A,Sales!C:C)</f>
        <v>1</v>
      </c>
      <c r="S923">
        <f>_xlfn.XLOOKUP(Table3[[#This Row],[Product Name]],Sales!A:A,Sales!D:D)</f>
        <v>0</v>
      </c>
      <c r="T923">
        <f>_xlfn.XLOOKUP(Table3[[#This Row],[Product Name]],Sales!A:A,Sales!E:E)</f>
        <v>6.5688000000000004</v>
      </c>
    </row>
    <row r="924" spans="1:20" x14ac:dyDescent="0.3">
      <c r="A924">
        <v>919</v>
      </c>
      <c r="B924" t="s">
        <v>2257</v>
      </c>
      <c r="C924">
        <v>5</v>
      </c>
      <c r="D924">
        <v>3</v>
      </c>
      <c r="E924">
        <v>2020</v>
      </c>
      <c r="F924" t="s">
        <v>37</v>
      </c>
      <c r="G924" t="s">
        <v>2258</v>
      </c>
      <c r="H924" t="s">
        <v>2948</v>
      </c>
      <c r="I924" t="s">
        <v>30</v>
      </c>
      <c r="J924" t="s">
        <v>2476</v>
      </c>
      <c r="K924" t="s">
        <v>79</v>
      </c>
      <c r="L924">
        <v>75220</v>
      </c>
      <c r="M924" t="s">
        <v>1973</v>
      </c>
      <c r="N924" t="s">
        <v>33</v>
      </c>
      <c r="O924" t="s">
        <v>129</v>
      </c>
      <c r="P924" t="s">
        <v>1974</v>
      </c>
      <c r="Q924">
        <f>_xlfn.XLOOKUP(Table3[[#This Row],[Product Name]],Sales!A:A,Sales!B:B)</f>
        <v>186.69</v>
      </c>
      <c r="R924">
        <f>_xlfn.XLOOKUP(Table3[[#This Row],[Product Name]],Sales!A:A,Sales!C:C)</f>
        <v>3</v>
      </c>
      <c r="S924">
        <f>_xlfn.XLOOKUP(Table3[[#This Row],[Product Name]],Sales!A:A,Sales!D:D)</f>
        <v>0</v>
      </c>
      <c r="T924">
        <f>_xlfn.XLOOKUP(Table3[[#This Row],[Product Name]],Sales!A:A,Sales!E:E)</f>
        <v>87.744299999999996</v>
      </c>
    </row>
    <row r="925" spans="1:20" x14ac:dyDescent="0.3">
      <c r="A925">
        <v>920</v>
      </c>
      <c r="B925" t="s">
        <v>2257</v>
      </c>
      <c r="C925">
        <v>5</v>
      </c>
      <c r="D925">
        <v>3</v>
      </c>
      <c r="E925">
        <v>2020</v>
      </c>
      <c r="F925" t="s">
        <v>37</v>
      </c>
      <c r="G925" t="s">
        <v>2258</v>
      </c>
      <c r="H925" t="s">
        <v>2948</v>
      </c>
      <c r="I925" t="s">
        <v>30</v>
      </c>
      <c r="J925" t="s">
        <v>2476</v>
      </c>
      <c r="K925" t="s">
        <v>79</v>
      </c>
      <c r="L925">
        <v>75220</v>
      </c>
      <c r="M925" t="s">
        <v>2259</v>
      </c>
      <c r="N925" t="s">
        <v>33</v>
      </c>
      <c r="O925" t="s">
        <v>43</v>
      </c>
      <c r="P925" t="s">
        <v>2260</v>
      </c>
      <c r="Q925">
        <f>_xlfn.XLOOKUP(Table3[[#This Row],[Product Name]],Sales!A:A,Sales!B:B)</f>
        <v>12.992000000000001</v>
      </c>
      <c r="R925">
        <f>_xlfn.XLOOKUP(Table3[[#This Row],[Product Name]],Sales!A:A,Sales!C:C)</f>
        <v>1</v>
      </c>
      <c r="S925">
        <f>_xlfn.XLOOKUP(Table3[[#This Row],[Product Name]],Sales!A:A,Sales!D:D)</f>
        <v>0.2</v>
      </c>
      <c r="T925">
        <f>_xlfn.XLOOKUP(Table3[[#This Row],[Product Name]],Sales!A:A,Sales!E:E)</f>
        <v>-0.81200000000000006</v>
      </c>
    </row>
    <row r="926" spans="1:20" x14ac:dyDescent="0.3">
      <c r="A926">
        <v>921</v>
      </c>
      <c r="B926" t="s">
        <v>2261</v>
      </c>
      <c r="C926">
        <v>5</v>
      </c>
      <c r="D926">
        <v>12</v>
      </c>
      <c r="E926">
        <v>2018</v>
      </c>
      <c r="F926" t="s">
        <v>37</v>
      </c>
      <c r="G926" t="s">
        <v>759</v>
      </c>
      <c r="H926" t="s">
        <v>2726</v>
      </c>
      <c r="I926" t="s">
        <v>19</v>
      </c>
      <c r="J926" t="s">
        <v>2600</v>
      </c>
      <c r="K926" t="s">
        <v>20</v>
      </c>
      <c r="L926">
        <v>22304</v>
      </c>
      <c r="M926" t="s">
        <v>1785</v>
      </c>
      <c r="N926" t="s">
        <v>33</v>
      </c>
      <c r="O926" t="s">
        <v>43</v>
      </c>
      <c r="P926" t="s">
        <v>1786</v>
      </c>
      <c r="Q926">
        <f>_xlfn.XLOOKUP(Table3[[#This Row],[Product Name]],Sales!A:A,Sales!B:B)</f>
        <v>36.840000000000003</v>
      </c>
      <c r="R926">
        <f>_xlfn.XLOOKUP(Table3[[#This Row],[Product Name]],Sales!A:A,Sales!C:C)</f>
        <v>3</v>
      </c>
      <c r="S926">
        <f>_xlfn.XLOOKUP(Table3[[#This Row],[Product Name]],Sales!A:A,Sales!D:D)</f>
        <v>0</v>
      </c>
      <c r="T926">
        <f>_xlfn.XLOOKUP(Table3[[#This Row],[Product Name]],Sales!A:A,Sales!E:E)</f>
        <v>10.315200000000001</v>
      </c>
    </row>
    <row r="927" spans="1:20" x14ac:dyDescent="0.3">
      <c r="A927">
        <v>922</v>
      </c>
      <c r="B927" t="s">
        <v>2262</v>
      </c>
      <c r="C927">
        <v>11</v>
      </c>
      <c r="D927">
        <v>4</v>
      </c>
      <c r="E927">
        <v>2019</v>
      </c>
      <c r="F927" t="s">
        <v>37</v>
      </c>
      <c r="G927" t="s">
        <v>2263</v>
      </c>
      <c r="H927" t="s">
        <v>2949</v>
      </c>
      <c r="I927" t="s">
        <v>19</v>
      </c>
      <c r="J927" t="s">
        <v>2434</v>
      </c>
      <c r="K927" t="s">
        <v>108</v>
      </c>
      <c r="L927">
        <v>10009</v>
      </c>
      <c r="M927" t="s">
        <v>2264</v>
      </c>
      <c r="N927" t="s">
        <v>54</v>
      </c>
      <c r="O927" t="s">
        <v>118</v>
      </c>
      <c r="P927" t="s">
        <v>2265</v>
      </c>
      <c r="Q927">
        <f>_xlfn.XLOOKUP(Table3[[#This Row],[Product Name]],Sales!A:A,Sales!B:B)</f>
        <v>85.14</v>
      </c>
      <c r="R927">
        <f>_xlfn.XLOOKUP(Table3[[#This Row],[Product Name]],Sales!A:A,Sales!C:C)</f>
        <v>3</v>
      </c>
      <c r="S927">
        <f>_xlfn.XLOOKUP(Table3[[#This Row],[Product Name]],Sales!A:A,Sales!D:D)</f>
        <v>0</v>
      </c>
      <c r="T927">
        <f>_xlfn.XLOOKUP(Table3[[#This Row],[Product Name]],Sales!A:A,Sales!E:E)</f>
        <v>34.907400000000003</v>
      </c>
    </row>
    <row r="928" spans="1:20" x14ac:dyDescent="0.3">
      <c r="A928">
        <v>923</v>
      </c>
      <c r="B928" t="s">
        <v>2262</v>
      </c>
      <c r="C928">
        <v>11</v>
      </c>
      <c r="D928">
        <v>4</v>
      </c>
      <c r="E928">
        <v>2019</v>
      </c>
      <c r="F928" t="s">
        <v>37</v>
      </c>
      <c r="G928" t="s">
        <v>2263</v>
      </c>
      <c r="H928" t="s">
        <v>2949</v>
      </c>
      <c r="I928" t="s">
        <v>19</v>
      </c>
      <c r="J928" t="s">
        <v>2434</v>
      </c>
      <c r="K928" t="s">
        <v>108</v>
      </c>
      <c r="L928">
        <v>10009</v>
      </c>
      <c r="M928" t="s">
        <v>2266</v>
      </c>
      <c r="N928" t="s">
        <v>54</v>
      </c>
      <c r="O928" t="s">
        <v>55</v>
      </c>
      <c r="P928" t="s">
        <v>2267</v>
      </c>
      <c r="Q928">
        <f>_xlfn.XLOOKUP(Table3[[#This Row],[Product Name]],Sales!A:A,Sales!B:B)</f>
        <v>21.99</v>
      </c>
      <c r="R928">
        <f>_xlfn.XLOOKUP(Table3[[#This Row],[Product Name]],Sales!A:A,Sales!C:C)</f>
        <v>1</v>
      </c>
      <c r="S928">
        <f>_xlfn.XLOOKUP(Table3[[#This Row],[Product Name]],Sales!A:A,Sales!D:D)</f>
        <v>0</v>
      </c>
      <c r="T928">
        <f>_xlfn.XLOOKUP(Table3[[#This Row],[Product Name]],Sales!A:A,Sales!E:E)</f>
        <v>10.555199999999999</v>
      </c>
    </row>
    <row r="929" spans="1:20" x14ac:dyDescent="0.3">
      <c r="A929">
        <v>924</v>
      </c>
      <c r="B929" t="s">
        <v>2262</v>
      </c>
      <c r="C929">
        <v>11</v>
      </c>
      <c r="D929">
        <v>4</v>
      </c>
      <c r="E929">
        <v>2019</v>
      </c>
      <c r="F929" t="s">
        <v>37</v>
      </c>
      <c r="G929" t="s">
        <v>2263</v>
      </c>
      <c r="H929" t="s">
        <v>2949</v>
      </c>
      <c r="I929" t="s">
        <v>19</v>
      </c>
      <c r="J929" t="s">
        <v>2434</v>
      </c>
      <c r="K929" t="s">
        <v>108</v>
      </c>
      <c r="L929">
        <v>10009</v>
      </c>
      <c r="M929" t="s">
        <v>2268</v>
      </c>
      <c r="N929" t="s">
        <v>33</v>
      </c>
      <c r="O929" t="s">
        <v>61</v>
      </c>
      <c r="P929" t="s">
        <v>2269</v>
      </c>
      <c r="Q929">
        <f>_xlfn.XLOOKUP(Table3[[#This Row],[Product Name]],Sales!A:A,Sales!B:B)</f>
        <v>406.6</v>
      </c>
      <c r="R929">
        <f>_xlfn.XLOOKUP(Table3[[#This Row],[Product Name]],Sales!A:A,Sales!C:C)</f>
        <v>5</v>
      </c>
      <c r="S929">
        <f>_xlfn.XLOOKUP(Table3[[#This Row],[Product Name]],Sales!A:A,Sales!D:D)</f>
        <v>0</v>
      </c>
      <c r="T929">
        <f>_xlfn.XLOOKUP(Table3[[#This Row],[Product Name]],Sales!A:A,Sales!E:E)</f>
        <v>113.848</v>
      </c>
    </row>
    <row r="930" spans="1:20" x14ac:dyDescent="0.3">
      <c r="A930">
        <v>925</v>
      </c>
      <c r="B930" t="s">
        <v>2270</v>
      </c>
      <c r="C930">
        <v>15</v>
      </c>
      <c r="D930">
        <v>9</v>
      </c>
      <c r="E930">
        <v>2020</v>
      </c>
      <c r="F930" t="s">
        <v>37</v>
      </c>
      <c r="G930" t="s">
        <v>2271</v>
      </c>
      <c r="H930" t="s">
        <v>2950</v>
      </c>
      <c r="I930" t="s">
        <v>30</v>
      </c>
      <c r="J930" t="s">
        <v>2434</v>
      </c>
      <c r="K930" t="s">
        <v>108</v>
      </c>
      <c r="L930">
        <v>10011</v>
      </c>
      <c r="M930" t="s">
        <v>386</v>
      </c>
      <c r="N930" t="s">
        <v>33</v>
      </c>
      <c r="O930" t="s">
        <v>58</v>
      </c>
      <c r="P930" t="s">
        <v>387</v>
      </c>
      <c r="Q930">
        <f>_xlfn.XLOOKUP(Table3[[#This Row],[Product Name]],Sales!A:A,Sales!B:B)</f>
        <v>157.79400000000001</v>
      </c>
      <c r="R930">
        <f>_xlfn.XLOOKUP(Table3[[#This Row],[Product Name]],Sales!A:A,Sales!C:C)</f>
        <v>1</v>
      </c>
      <c r="S930">
        <f>_xlfn.XLOOKUP(Table3[[#This Row],[Product Name]],Sales!A:A,Sales!D:D)</f>
        <v>0.7</v>
      </c>
      <c r="T930">
        <f>_xlfn.XLOOKUP(Table3[[#This Row],[Product Name]],Sales!A:A,Sales!E:E)</f>
        <v>-115.71559999999999</v>
      </c>
    </row>
    <row r="931" spans="1:20" x14ac:dyDescent="0.3">
      <c r="A931">
        <v>926</v>
      </c>
      <c r="B931" t="s">
        <v>2272</v>
      </c>
      <c r="C931">
        <v>13</v>
      </c>
      <c r="D931">
        <v>9</v>
      </c>
      <c r="E931">
        <v>2018</v>
      </c>
      <c r="F931" t="s">
        <v>142</v>
      </c>
      <c r="G931" t="s">
        <v>2273</v>
      </c>
      <c r="H931" t="s">
        <v>2951</v>
      </c>
      <c r="I931" t="s">
        <v>19</v>
      </c>
      <c r="J931" t="s">
        <v>2424</v>
      </c>
      <c r="K931" t="s">
        <v>108</v>
      </c>
      <c r="L931">
        <v>19143</v>
      </c>
      <c r="M931" t="s">
        <v>2274</v>
      </c>
      <c r="N931" t="s">
        <v>33</v>
      </c>
      <c r="O931" t="s">
        <v>70</v>
      </c>
      <c r="P931" t="s">
        <v>2275</v>
      </c>
      <c r="Q931">
        <f>_xlfn.XLOOKUP(Table3[[#This Row],[Product Name]],Sales!A:A,Sales!B:B)</f>
        <v>15.552</v>
      </c>
      <c r="R931">
        <f>_xlfn.XLOOKUP(Table3[[#This Row],[Product Name]],Sales!A:A,Sales!C:C)</f>
        <v>3</v>
      </c>
      <c r="S931">
        <f>_xlfn.XLOOKUP(Table3[[#This Row],[Product Name]],Sales!A:A,Sales!D:D)</f>
        <v>0.2</v>
      </c>
      <c r="T931">
        <f>_xlfn.XLOOKUP(Table3[[#This Row],[Product Name]],Sales!A:A,Sales!E:E)</f>
        <v>5.4432</v>
      </c>
    </row>
    <row r="932" spans="1:20" x14ac:dyDescent="0.3">
      <c r="A932">
        <v>927</v>
      </c>
      <c r="B932" t="s">
        <v>2272</v>
      </c>
      <c r="C932">
        <v>13</v>
      </c>
      <c r="D932">
        <v>9</v>
      </c>
      <c r="E932">
        <v>2018</v>
      </c>
      <c r="F932" t="s">
        <v>142</v>
      </c>
      <c r="G932" t="s">
        <v>2273</v>
      </c>
      <c r="H932" t="s">
        <v>2951</v>
      </c>
      <c r="I932" t="s">
        <v>19</v>
      </c>
      <c r="J932" t="s">
        <v>2424</v>
      </c>
      <c r="K932" t="s">
        <v>108</v>
      </c>
      <c r="L932">
        <v>19143</v>
      </c>
      <c r="M932" t="s">
        <v>2276</v>
      </c>
      <c r="N932" t="s">
        <v>54</v>
      </c>
      <c r="O932" t="s">
        <v>118</v>
      </c>
      <c r="P932" t="s">
        <v>2277</v>
      </c>
      <c r="Q932">
        <f>_xlfn.XLOOKUP(Table3[[#This Row],[Product Name]],Sales!A:A,Sales!B:B)</f>
        <v>252</v>
      </c>
      <c r="R932">
        <f>_xlfn.XLOOKUP(Table3[[#This Row],[Product Name]],Sales!A:A,Sales!C:C)</f>
        <v>5</v>
      </c>
      <c r="S932">
        <f>_xlfn.XLOOKUP(Table3[[#This Row],[Product Name]],Sales!A:A,Sales!D:D)</f>
        <v>0.2</v>
      </c>
      <c r="T932">
        <f>_xlfn.XLOOKUP(Table3[[#This Row],[Product Name]],Sales!A:A,Sales!E:E)</f>
        <v>53.55</v>
      </c>
    </row>
    <row r="933" spans="1:20" x14ac:dyDescent="0.3">
      <c r="A933">
        <v>928</v>
      </c>
      <c r="B933" t="s">
        <v>2278</v>
      </c>
      <c r="C933">
        <v>5</v>
      </c>
      <c r="D933">
        <v>10</v>
      </c>
      <c r="E933">
        <v>2019</v>
      </c>
      <c r="F933" t="s">
        <v>37</v>
      </c>
      <c r="G933" t="s">
        <v>2279</v>
      </c>
      <c r="H933" t="s">
        <v>2952</v>
      </c>
      <c r="I933" t="s">
        <v>78</v>
      </c>
      <c r="J933" t="s">
        <v>2438</v>
      </c>
      <c r="K933" t="s">
        <v>20</v>
      </c>
      <c r="L933">
        <v>22153</v>
      </c>
      <c r="M933" t="s">
        <v>1028</v>
      </c>
      <c r="N933" t="s">
        <v>33</v>
      </c>
      <c r="O933" t="s">
        <v>51</v>
      </c>
      <c r="P933" t="s">
        <v>1029</v>
      </c>
      <c r="Q933">
        <f>_xlfn.XLOOKUP(Table3[[#This Row],[Product Name]],Sales!A:A,Sales!B:B)</f>
        <v>9.24</v>
      </c>
      <c r="R933">
        <f>_xlfn.XLOOKUP(Table3[[#This Row],[Product Name]],Sales!A:A,Sales!C:C)</f>
        <v>1</v>
      </c>
      <c r="S933">
        <f>_xlfn.XLOOKUP(Table3[[#This Row],[Product Name]],Sales!A:A,Sales!D:D)</f>
        <v>0.2</v>
      </c>
      <c r="T933">
        <f>_xlfn.XLOOKUP(Table3[[#This Row],[Product Name]],Sales!A:A,Sales!E:E)</f>
        <v>0.92400000000000004</v>
      </c>
    </row>
    <row r="934" spans="1:20" x14ac:dyDescent="0.3">
      <c r="A934">
        <v>929</v>
      </c>
      <c r="B934" t="s">
        <v>2278</v>
      </c>
      <c r="C934">
        <v>5</v>
      </c>
      <c r="D934">
        <v>10</v>
      </c>
      <c r="E934">
        <v>2019</v>
      </c>
      <c r="F934" t="s">
        <v>37</v>
      </c>
      <c r="G934" t="s">
        <v>2279</v>
      </c>
      <c r="H934" t="s">
        <v>2952</v>
      </c>
      <c r="I934" t="s">
        <v>78</v>
      </c>
      <c r="J934" t="s">
        <v>2438</v>
      </c>
      <c r="K934" t="s">
        <v>20</v>
      </c>
      <c r="L934">
        <v>22153</v>
      </c>
      <c r="M934" t="s">
        <v>1042</v>
      </c>
      <c r="N934" t="s">
        <v>33</v>
      </c>
      <c r="O934" t="s">
        <v>61</v>
      </c>
      <c r="P934" t="s">
        <v>1043</v>
      </c>
      <c r="Q934">
        <f>_xlfn.XLOOKUP(Table3[[#This Row],[Product Name]],Sales!A:A,Sales!B:B)</f>
        <v>8.6519999999999992</v>
      </c>
      <c r="R934">
        <f>_xlfn.XLOOKUP(Table3[[#This Row],[Product Name]],Sales!A:A,Sales!C:C)</f>
        <v>3</v>
      </c>
      <c r="S934">
        <f>_xlfn.XLOOKUP(Table3[[#This Row],[Product Name]],Sales!A:A,Sales!D:D)</f>
        <v>0.8</v>
      </c>
      <c r="T934">
        <f>_xlfn.XLOOKUP(Table3[[#This Row],[Product Name]],Sales!A:A,Sales!E:E)</f>
        <v>-20.3322</v>
      </c>
    </row>
    <row r="935" spans="1:20" x14ac:dyDescent="0.3">
      <c r="A935">
        <v>930</v>
      </c>
      <c r="B935" t="s">
        <v>2280</v>
      </c>
      <c r="C935">
        <v>14</v>
      </c>
      <c r="D935">
        <v>4</v>
      </c>
      <c r="E935">
        <v>2021</v>
      </c>
      <c r="F935" t="s">
        <v>142</v>
      </c>
      <c r="G935" t="s">
        <v>1788</v>
      </c>
      <c r="H935" t="s">
        <v>2879</v>
      </c>
      <c r="I935" t="s">
        <v>19</v>
      </c>
      <c r="J935" t="s">
        <v>2601</v>
      </c>
      <c r="K935" t="s">
        <v>108</v>
      </c>
      <c r="L935">
        <v>43615</v>
      </c>
      <c r="M935" t="s">
        <v>1499</v>
      </c>
      <c r="N935" t="s">
        <v>33</v>
      </c>
      <c r="O935" t="s">
        <v>51</v>
      </c>
      <c r="P935" t="s">
        <v>1500</v>
      </c>
      <c r="Q935">
        <f>_xlfn.XLOOKUP(Table3[[#This Row],[Product Name]],Sales!A:A,Sales!B:B)</f>
        <v>19.456</v>
      </c>
      <c r="R935">
        <f>_xlfn.XLOOKUP(Table3[[#This Row],[Product Name]],Sales!A:A,Sales!C:C)</f>
        <v>4</v>
      </c>
      <c r="S935">
        <f>_xlfn.XLOOKUP(Table3[[#This Row],[Product Name]],Sales!A:A,Sales!D:D)</f>
        <v>0.2</v>
      </c>
      <c r="T935">
        <f>_xlfn.XLOOKUP(Table3[[#This Row],[Product Name]],Sales!A:A,Sales!E:E)</f>
        <v>3.4047999999999998</v>
      </c>
    </row>
    <row r="936" spans="1:20" x14ac:dyDescent="0.3">
      <c r="A936">
        <v>931</v>
      </c>
      <c r="B936" t="s">
        <v>2280</v>
      </c>
      <c r="C936">
        <v>14</v>
      </c>
      <c r="D936">
        <v>4</v>
      </c>
      <c r="E936">
        <v>2021</v>
      </c>
      <c r="F936" t="s">
        <v>142</v>
      </c>
      <c r="G936" t="s">
        <v>1788</v>
      </c>
      <c r="H936" t="s">
        <v>2879</v>
      </c>
      <c r="I936" t="s">
        <v>19</v>
      </c>
      <c r="J936" t="s">
        <v>2601</v>
      </c>
      <c r="K936" t="s">
        <v>108</v>
      </c>
      <c r="L936">
        <v>43615</v>
      </c>
      <c r="M936" t="s">
        <v>2281</v>
      </c>
      <c r="N936" t="s">
        <v>33</v>
      </c>
      <c r="O936" t="s">
        <v>51</v>
      </c>
      <c r="P936" t="s">
        <v>2282</v>
      </c>
      <c r="Q936">
        <f>_xlfn.XLOOKUP(Table3[[#This Row],[Product Name]],Sales!A:A,Sales!B:B)</f>
        <v>89.855999999999995</v>
      </c>
      <c r="R936">
        <f>_xlfn.XLOOKUP(Table3[[#This Row],[Product Name]],Sales!A:A,Sales!C:C)</f>
        <v>3</v>
      </c>
      <c r="S936">
        <f>_xlfn.XLOOKUP(Table3[[#This Row],[Product Name]],Sales!A:A,Sales!D:D)</f>
        <v>0.2</v>
      </c>
      <c r="T936">
        <f>_xlfn.XLOOKUP(Table3[[#This Row],[Product Name]],Sales!A:A,Sales!E:E)</f>
        <v>21.340800000000002</v>
      </c>
    </row>
    <row r="937" spans="1:20" x14ac:dyDescent="0.3">
      <c r="A937">
        <v>932</v>
      </c>
      <c r="B937" t="s">
        <v>2280</v>
      </c>
      <c r="C937">
        <v>14</v>
      </c>
      <c r="D937">
        <v>4</v>
      </c>
      <c r="E937">
        <v>2021</v>
      </c>
      <c r="F937" t="s">
        <v>142</v>
      </c>
      <c r="G937" t="s">
        <v>1788</v>
      </c>
      <c r="H937" t="s">
        <v>2879</v>
      </c>
      <c r="I937" t="s">
        <v>19</v>
      </c>
      <c r="J937" t="s">
        <v>2601</v>
      </c>
      <c r="K937" t="s">
        <v>108</v>
      </c>
      <c r="L937">
        <v>43615</v>
      </c>
      <c r="M937" t="s">
        <v>1893</v>
      </c>
      <c r="N937" t="s">
        <v>33</v>
      </c>
      <c r="O937" t="s">
        <v>70</v>
      </c>
      <c r="P937" t="s">
        <v>1894</v>
      </c>
      <c r="Q937">
        <f>_xlfn.XLOOKUP(Table3[[#This Row],[Product Name]],Sales!A:A,Sales!B:B)</f>
        <v>4.6239999999999997</v>
      </c>
      <c r="R937">
        <f>_xlfn.XLOOKUP(Table3[[#This Row],[Product Name]],Sales!A:A,Sales!C:C)</f>
        <v>1</v>
      </c>
      <c r="S937">
        <f>_xlfn.XLOOKUP(Table3[[#This Row],[Product Name]],Sales!A:A,Sales!D:D)</f>
        <v>0.2</v>
      </c>
      <c r="T937">
        <f>_xlfn.XLOOKUP(Table3[[#This Row],[Product Name]],Sales!A:A,Sales!E:E)</f>
        <v>1.6761999999999999</v>
      </c>
    </row>
    <row r="938" spans="1:20" x14ac:dyDescent="0.3">
      <c r="A938">
        <v>933</v>
      </c>
      <c r="B938" t="s">
        <v>2283</v>
      </c>
      <c r="C938">
        <v>2</v>
      </c>
      <c r="D938">
        <v>9</v>
      </c>
      <c r="E938">
        <v>2021</v>
      </c>
      <c r="F938" t="s">
        <v>37</v>
      </c>
      <c r="G938" t="s">
        <v>2284</v>
      </c>
      <c r="H938" t="s">
        <v>2953</v>
      </c>
      <c r="I938" t="s">
        <v>19</v>
      </c>
      <c r="J938" t="s">
        <v>2424</v>
      </c>
      <c r="K938" t="s">
        <v>108</v>
      </c>
      <c r="L938">
        <v>19140</v>
      </c>
      <c r="M938" t="s">
        <v>2285</v>
      </c>
      <c r="N938" t="s">
        <v>33</v>
      </c>
      <c r="O938" t="s">
        <v>70</v>
      </c>
      <c r="P938" t="s">
        <v>2286</v>
      </c>
      <c r="Q938">
        <f>_xlfn.XLOOKUP(Table3[[#This Row],[Product Name]],Sales!A:A,Sales!B:B)</f>
        <v>12.192</v>
      </c>
      <c r="R938">
        <f>_xlfn.XLOOKUP(Table3[[#This Row],[Product Name]],Sales!A:A,Sales!C:C)</f>
        <v>3</v>
      </c>
      <c r="S938">
        <f>_xlfn.XLOOKUP(Table3[[#This Row],[Product Name]],Sales!A:A,Sales!D:D)</f>
        <v>0.2</v>
      </c>
      <c r="T938">
        <f>_xlfn.XLOOKUP(Table3[[#This Row],[Product Name]],Sales!A:A,Sales!E:E)</f>
        <v>4.1147999999999998</v>
      </c>
    </row>
    <row r="939" spans="1:20" x14ac:dyDescent="0.3">
      <c r="A939">
        <v>934</v>
      </c>
      <c r="B939" t="s">
        <v>2287</v>
      </c>
      <c r="C939">
        <v>20</v>
      </c>
      <c r="D939">
        <v>6</v>
      </c>
      <c r="E939">
        <v>2020</v>
      </c>
      <c r="F939" t="s">
        <v>37</v>
      </c>
      <c r="G939" t="s">
        <v>2288</v>
      </c>
      <c r="H939" t="s">
        <v>2954</v>
      </c>
      <c r="I939" t="s">
        <v>78</v>
      </c>
      <c r="J939" t="s">
        <v>2424</v>
      </c>
      <c r="K939" t="s">
        <v>108</v>
      </c>
      <c r="L939">
        <v>19120</v>
      </c>
      <c r="M939" t="s">
        <v>2289</v>
      </c>
      <c r="N939" t="s">
        <v>33</v>
      </c>
      <c r="O939" t="s">
        <v>70</v>
      </c>
      <c r="P939" t="s">
        <v>2290</v>
      </c>
      <c r="Q939">
        <f>_xlfn.XLOOKUP(Table3[[#This Row],[Product Name]],Sales!A:A,Sales!B:B)</f>
        <v>45.055999999999997</v>
      </c>
      <c r="R939">
        <f>_xlfn.XLOOKUP(Table3[[#This Row],[Product Name]],Sales!A:A,Sales!C:C)</f>
        <v>8</v>
      </c>
      <c r="S939">
        <f>_xlfn.XLOOKUP(Table3[[#This Row],[Product Name]],Sales!A:A,Sales!D:D)</f>
        <v>0.2</v>
      </c>
      <c r="T939">
        <f>_xlfn.XLOOKUP(Table3[[#This Row],[Product Name]],Sales!A:A,Sales!E:E)</f>
        <v>15.2064</v>
      </c>
    </row>
    <row r="940" spans="1:20" x14ac:dyDescent="0.3">
      <c r="A940">
        <v>935</v>
      </c>
      <c r="B940" t="s">
        <v>2287</v>
      </c>
      <c r="C940">
        <v>20</v>
      </c>
      <c r="D940">
        <v>6</v>
      </c>
      <c r="E940">
        <v>2020</v>
      </c>
      <c r="F940" t="s">
        <v>37</v>
      </c>
      <c r="G940" t="s">
        <v>2288</v>
      </c>
      <c r="H940" t="s">
        <v>2954</v>
      </c>
      <c r="I940" t="s">
        <v>78</v>
      </c>
      <c r="J940" t="s">
        <v>2424</v>
      </c>
      <c r="K940" t="s">
        <v>108</v>
      </c>
      <c r="L940">
        <v>19120</v>
      </c>
      <c r="M940" t="s">
        <v>2291</v>
      </c>
      <c r="N940" t="s">
        <v>33</v>
      </c>
      <c r="O940" t="s">
        <v>58</v>
      </c>
      <c r="P940" t="s">
        <v>2292</v>
      </c>
      <c r="Q940">
        <f>_xlfn.XLOOKUP(Table3[[#This Row],[Product Name]],Sales!A:A,Sales!B:B)</f>
        <v>29.718</v>
      </c>
      <c r="R940">
        <f>_xlfn.XLOOKUP(Table3[[#This Row],[Product Name]],Sales!A:A,Sales!C:C)</f>
        <v>6</v>
      </c>
      <c r="S940">
        <f>_xlfn.XLOOKUP(Table3[[#This Row],[Product Name]],Sales!A:A,Sales!D:D)</f>
        <v>0.7</v>
      </c>
      <c r="T940">
        <f>_xlfn.XLOOKUP(Table3[[#This Row],[Product Name]],Sales!A:A,Sales!E:E)</f>
        <v>-21.793199999999999</v>
      </c>
    </row>
    <row r="941" spans="1:20" x14ac:dyDescent="0.3">
      <c r="A941">
        <v>936</v>
      </c>
      <c r="B941" t="s">
        <v>2287</v>
      </c>
      <c r="C941">
        <v>20</v>
      </c>
      <c r="D941">
        <v>6</v>
      </c>
      <c r="E941">
        <v>2020</v>
      </c>
      <c r="F941" t="s">
        <v>37</v>
      </c>
      <c r="G941" t="s">
        <v>2288</v>
      </c>
      <c r="H941" t="s">
        <v>2954</v>
      </c>
      <c r="I941" t="s">
        <v>78</v>
      </c>
      <c r="J941" t="s">
        <v>2424</v>
      </c>
      <c r="K941" t="s">
        <v>108</v>
      </c>
      <c r="L941">
        <v>19120</v>
      </c>
      <c r="M941" t="s">
        <v>2119</v>
      </c>
      <c r="N941" t="s">
        <v>33</v>
      </c>
      <c r="O941" t="s">
        <v>70</v>
      </c>
      <c r="P941" t="s">
        <v>2120</v>
      </c>
      <c r="Q941">
        <f>_xlfn.XLOOKUP(Table3[[#This Row],[Product Name]],Sales!A:A,Sales!B:B)</f>
        <v>38.880000000000003</v>
      </c>
      <c r="R941">
        <f>_xlfn.XLOOKUP(Table3[[#This Row],[Product Name]],Sales!A:A,Sales!C:C)</f>
        <v>6</v>
      </c>
      <c r="S941">
        <f>_xlfn.XLOOKUP(Table3[[#This Row],[Product Name]],Sales!A:A,Sales!D:D)</f>
        <v>0</v>
      </c>
      <c r="T941">
        <f>_xlfn.XLOOKUP(Table3[[#This Row],[Product Name]],Sales!A:A,Sales!E:E)</f>
        <v>18.662400000000002</v>
      </c>
    </row>
    <row r="942" spans="1:20" x14ac:dyDescent="0.3">
      <c r="A942">
        <v>937</v>
      </c>
      <c r="B942" t="s">
        <v>2287</v>
      </c>
      <c r="C942">
        <v>20</v>
      </c>
      <c r="D942">
        <v>6</v>
      </c>
      <c r="E942">
        <v>2020</v>
      </c>
      <c r="F942" t="s">
        <v>37</v>
      </c>
      <c r="G942" t="s">
        <v>2288</v>
      </c>
      <c r="H942" t="s">
        <v>2954</v>
      </c>
      <c r="I942" t="s">
        <v>78</v>
      </c>
      <c r="J942" t="s">
        <v>2424</v>
      </c>
      <c r="K942" t="s">
        <v>108</v>
      </c>
      <c r="L942">
        <v>19120</v>
      </c>
      <c r="M942" t="s">
        <v>452</v>
      </c>
      <c r="N942" t="s">
        <v>33</v>
      </c>
      <c r="O942" t="s">
        <v>61</v>
      </c>
      <c r="P942" t="s">
        <v>453</v>
      </c>
      <c r="Q942">
        <f>_xlfn.XLOOKUP(Table3[[#This Row],[Product Name]],Sales!A:A,Sales!B:B)</f>
        <v>839.43</v>
      </c>
      <c r="R942">
        <f>_xlfn.XLOOKUP(Table3[[#This Row],[Product Name]],Sales!A:A,Sales!C:C)</f>
        <v>3</v>
      </c>
      <c r="S942">
        <f>_xlfn.XLOOKUP(Table3[[#This Row],[Product Name]],Sales!A:A,Sales!D:D)</f>
        <v>0</v>
      </c>
      <c r="T942">
        <f>_xlfn.XLOOKUP(Table3[[#This Row],[Product Name]],Sales!A:A,Sales!E:E)</f>
        <v>218.2518</v>
      </c>
    </row>
    <row r="943" spans="1:20" x14ac:dyDescent="0.3">
      <c r="A943">
        <v>938</v>
      </c>
      <c r="B943" t="s">
        <v>2293</v>
      </c>
      <c r="C943">
        <v>5</v>
      </c>
      <c r="D943">
        <v>11</v>
      </c>
      <c r="E943">
        <v>2021</v>
      </c>
      <c r="F943" t="s">
        <v>142</v>
      </c>
      <c r="G943" t="s">
        <v>163</v>
      </c>
      <c r="H943" t="s">
        <v>2628</v>
      </c>
      <c r="I943" t="s">
        <v>30</v>
      </c>
      <c r="J943" t="s">
        <v>2602</v>
      </c>
      <c r="K943" t="s">
        <v>31</v>
      </c>
      <c r="L943">
        <v>87401</v>
      </c>
      <c r="M943" t="s">
        <v>1026</v>
      </c>
      <c r="N943" t="s">
        <v>54</v>
      </c>
      <c r="O943" t="s">
        <v>118</v>
      </c>
      <c r="P943" t="s">
        <v>1027</v>
      </c>
      <c r="Q943">
        <f>_xlfn.XLOOKUP(Table3[[#This Row],[Product Name]],Sales!A:A,Sales!B:B)</f>
        <v>1023.936</v>
      </c>
      <c r="R943">
        <f>_xlfn.XLOOKUP(Table3[[#This Row],[Product Name]],Sales!A:A,Sales!C:C)</f>
        <v>8</v>
      </c>
      <c r="S943">
        <f>_xlfn.XLOOKUP(Table3[[#This Row],[Product Name]],Sales!A:A,Sales!D:D)</f>
        <v>0.2</v>
      </c>
      <c r="T943">
        <f>_xlfn.XLOOKUP(Table3[[#This Row],[Product Name]],Sales!A:A,Sales!E:E)</f>
        <v>179.18879999999999</v>
      </c>
    </row>
    <row r="944" spans="1:20" x14ac:dyDescent="0.3">
      <c r="A944">
        <v>939</v>
      </c>
      <c r="B944" t="s">
        <v>2294</v>
      </c>
      <c r="C944">
        <v>13</v>
      </c>
      <c r="D944">
        <v>12</v>
      </c>
      <c r="E944">
        <v>2019</v>
      </c>
      <c r="F944" t="s">
        <v>37</v>
      </c>
      <c r="G944" t="s">
        <v>2295</v>
      </c>
      <c r="H944" t="s">
        <v>2955</v>
      </c>
      <c r="I944" t="s">
        <v>30</v>
      </c>
      <c r="J944" t="s">
        <v>2603</v>
      </c>
      <c r="K944" t="s">
        <v>31</v>
      </c>
      <c r="L944">
        <v>92503</v>
      </c>
      <c r="M944" t="s">
        <v>2296</v>
      </c>
      <c r="N944" t="s">
        <v>33</v>
      </c>
      <c r="O944" t="s">
        <v>70</v>
      </c>
      <c r="P944" t="s">
        <v>2297</v>
      </c>
      <c r="Q944">
        <f>_xlfn.XLOOKUP(Table3[[#This Row],[Product Name]],Sales!A:A,Sales!B:B)</f>
        <v>12.96</v>
      </c>
      <c r="R944">
        <f>_xlfn.XLOOKUP(Table3[[#This Row],[Product Name]],Sales!A:A,Sales!C:C)</f>
        <v>2</v>
      </c>
      <c r="S944">
        <f>_xlfn.XLOOKUP(Table3[[#This Row],[Product Name]],Sales!A:A,Sales!D:D)</f>
        <v>0</v>
      </c>
      <c r="T944">
        <f>_xlfn.XLOOKUP(Table3[[#This Row],[Product Name]],Sales!A:A,Sales!E:E)</f>
        <v>6.2207999999999997</v>
      </c>
    </row>
    <row r="945" spans="1:20" x14ac:dyDescent="0.3">
      <c r="A945">
        <v>940</v>
      </c>
      <c r="B945" t="s">
        <v>2294</v>
      </c>
      <c r="C945">
        <v>13</v>
      </c>
      <c r="D945">
        <v>12</v>
      </c>
      <c r="E945">
        <v>2019</v>
      </c>
      <c r="F945" t="s">
        <v>37</v>
      </c>
      <c r="G945" t="s">
        <v>2295</v>
      </c>
      <c r="H945" t="s">
        <v>2955</v>
      </c>
      <c r="I945" t="s">
        <v>30</v>
      </c>
      <c r="J945" t="s">
        <v>2603</v>
      </c>
      <c r="K945" t="s">
        <v>31</v>
      </c>
      <c r="L945">
        <v>92503</v>
      </c>
      <c r="M945" t="s">
        <v>2298</v>
      </c>
      <c r="N945" t="s">
        <v>33</v>
      </c>
      <c r="O945" t="s">
        <v>61</v>
      </c>
      <c r="P945" t="s">
        <v>2299</v>
      </c>
      <c r="Q945">
        <f>_xlfn.XLOOKUP(Table3[[#This Row],[Product Name]],Sales!A:A,Sales!B:B)</f>
        <v>134.47999999999999</v>
      </c>
      <c r="R945">
        <f>_xlfn.XLOOKUP(Table3[[#This Row],[Product Name]],Sales!A:A,Sales!C:C)</f>
        <v>4</v>
      </c>
      <c r="S945">
        <f>_xlfn.XLOOKUP(Table3[[#This Row],[Product Name]],Sales!A:A,Sales!D:D)</f>
        <v>0</v>
      </c>
      <c r="T945">
        <f>_xlfn.XLOOKUP(Table3[[#This Row],[Product Name]],Sales!A:A,Sales!E:E)</f>
        <v>34.964799999999997</v>
      </c>
    </row>
    <row r="946" spans="1:20" x14ac:dyDescent="0.3">
      <c r="A946">
        <v>941</v>
      </c>
      <c r="B946" t="s">
        <v>2300</v>
      </c>
      <c r="C946">
        <v>19</v>
      </c>
      <c r="D946">
        <v>6</v>
      </c>
      <c r="E946">
        <v>2020</v>
      </c>
      <c r="F946" t="s">
        <v>142</v>
      </c>
      <c r="G946" t="s">
        <v>2301</v>
      </c>
      <c r="H946" t="s">
        <v>2956</v>
      </c>
      <c r="I946" t="s">
        <v>30</v>
      </c>
      <c r="J946" t="s">
        <v>2422</v>
      </c>
      <c r="K946" t="s">
        <v>31</v>
      </c>
      <c r="L946">
        <v>94110</v>
      </c>
      <c r="M946" t="s">
        <v>2302</v>
      </c>
      <c r="N946" t="s">
        <v>33</v>
      </c>
      <c r="O946" t="s">
        <v>70</v>
      </c>
      <c r="P946" t="s">
        <v>2303</v>
      </c>
      <c r="Q946">
        <f>_xlfn.XLOOKUP(Table3[[#This Row],[Product Name]],Sales!A:A,Sales!B:B)</f>
        <v>17.12</v>
      </c>
      <c r="R946">
        <f>_xlfn.XLOOKUP(Table3[[#This Row],[Product Name]],Sales!A:A,Sales!C:C)</f>
        <v>2</v>
      </c>
      <c r="S946">
        <f>_xlfn.XLOOKUP(Table3[[#This Row],[Product Name]],Sales!A:A,Sales!D:D)</f>
        <v>0</v>
      </c>
      <c r="T946">
        <f>_xlfn.XLOOKUP(Table3[[#This Row],[Product Name]],Sales!A:A,Sales!E:E)</f>
        <v>8.0464000000000002</v>
      </c>
    </row>
    <row r="947" spans="1:20" x14ac:dyDescent="0.3">
      <c r="A947">
        <v>942</v>
      </c>
      <c r="B947" t="s">
        <v>2304</v>
      </c>
      <c r="C947">
        <v>13</v>
      </c>
      <c r="D947">
        <v>12</v>
      </c>
      <c r="E947">
        <v>2020</v>
      </c>
      <c r="F947" t="s">
        <v>37</v>
      </c>
      <c r="G947" t="s">
        <v>2258</v>
      </c>
      <c r="H947" t="s">
        <v>2948</v>
      </c>
      <c r="I947" t="s">
        <v>30</v>
      </c>
      <c r="J947" t="s">
        <v>2604</v>
      </c>
      <c r="K947" t="s">
        <v>31</v>
      </c>
      <c r="L947">
        <v>90503</v>
      </c>
      <c r="M947" t="s">
        <v>2305</v>
      </c>
      <c r="N947" t="s">
        <v>33</v>
      </c>
      <c r="O947" t="s">
        <v>58</v>
      </c>
      <c r="P947" t="s">
        <v>2306</v>
      </c>
      <c r="Q947">
        <f>_xlfn.XLOOKUP(Table3[[#This Row],[Product Name]],Sales!A:A,Sales!B:B)</f>
        <v>6.0960000000000001</v>
      </c>
      <c r="R947">
        <f>_xlfn.XLOOKUP(Table3[[#This Row],[Product Name]],Sales!A:A,Sales!C:C)</f>
        <v>2</v>
      </c>
      <c r="S947">
        <f>_xlfn.XLOOKUP(Table3[[#This Row],[Product Name]],Sales!A:A,Sales!D:D)</f>
        <v>0.2</v>
      </c>
      <c r="T947">
        <f>_xlfn.XLOOKUP(Table3[[#This Row],[Product Name]],Sales!A:A,Sales!E:E)</f>
        <v>2.2098</v>
      </c>
    </row>
    <row r="948" spans="1:20" x14ac:dyDescent="0.3">
      <c r="A948">
        <v>943</v>
      </c>
      <c r="B948" t="s">
        <v>2304</v>
      </c>
      <c r="C948">
        <v>13</v>
      </c>
      <c r="D948">
        <v>12</v>
      </c>
      <c r="E948">
        <v>2020</v>
      </c>
      <c r="F948" t="s">
        <v>37</v>
      </c>
      <c r="G948" t="s">
        <v>2258</v>
      </c>
      <c r="H948" t="s">
        <v>2948</v>
      </c>
      <c r="I948" t="s">
        <v>30</v>
      </c>
      <c r="J948" t="s">
        <v>2604</v>
      </c>
      <c r="K948" t="s">
        <v>31</v>
      </c>
      <c r="L948">
        <v>90503</v>
      </c>
      <c r="M948" t="s">
        <v>39</v>
      </c>
      <c r="N948" t="s">
        <v>22</v>
      </c>
      <c r="O948" t="s">
        <v>40</v>
      </c>
      <c r="P948" t="s">
        <v>41</v>
      </c>
      <c r="Q948">
        <f>_xlfn.XLOOKUP(Table3[[#This Row],[Product Name]],Sales!A:A,Sales!B:B)</f>
        <v>957.57749999999999</v>
      </c>
      <c r="R948">
        <f>_xlfn.XLOOKUP(Table3[[#This Row],[Product Name]],Sales!A:A,Sales!C:C)</f>
        <v>5</v>
      </c>
      <c r="S948">
        <f>_xlfn.XLOOKUP(Table3[[#This Row],[Product Name]],Sales!A:A,Sales!D:D)</f>
        <v>0.45</v>
      </c>
      <c r="T948">
        <f>_xlfn.XLOOKUP(Table3[[#This Row],[Product Name]],Sales!A:A,Sales!E:E)</f>
        <v>-383.03100000000001</v>
      </c>
    </row>
    <row r="949" spans="1:20" x14ac:dyDescent="0.3">
      <c r="A949">
        <v>944</v>
      </c>
      <c r="B949" t="s">
        <v>2307</v>
      </c>
      <c r="C949">
        <v>29</v>
      </c>
      <c r="D949">
        <v>5</v>
      </c>
      <c r="E949">
        <v>2019</v>
      </c>
      <c r="F949" t="s">
        <v>37</v>
      </c>
      <c r="G949" t="s">
        <v>937</v>
      </c>
      <c r="H949" t="s">
        <v>2749</v>
      </c>
      <c r="I949" t="s">
        <v>19</v>
      </c>
      <c r="J949" t="s">
        <v>2418</v>
      </c>
      <c r="K949" t="s">
        <v>31</v>
      </c>
      <c r="L949">
        <v>98105</v>
      </c>
      <c r="M949" t="s">
        <v>1575</v>
      </c>
      <c r="N949" t="s">
        <v>33</v>
      </c>
      <c r="O949" t="s">
        <v>70</v>
      </c>
      <c r="P949" t="s">
        <v>1576</v>
      </c>
      <c r="Q949">
        <f>_xlfn.XLOOKUP(Table3[[#This Row],[Product Name]],Sales!A:A,Sales!B:B)</f>
        <v>10.368</v>
      </c>
      <c r="R949">
        <f>_xlfn.XLOOKUP(Table3[[#This Row],[Product Name]],Sales!A:A,Sales!C:C)</f>
        <v>2</v>
      </c>
      <c r="S949">
        <f>_xlfn.XLOOKUP(Table3[[#This Row],[Product Name]],Sales!A:A,Sales!D:D)</f>
        <v>0.2</v>
      </c>
      <c r="T949">
        <f>_xlfn.XLOOKUP(Table3[[#This Row],[Product Name]],Sales!A:A,Sales!E:E)</f>
        <v>3.6288</v>
      </c>
    </row>
    <row r="950" spans="1:20" x14ac:dyDescent="0.3">
      <c r="A950">
        <v>945</v>
      </c>
      <c r="B950" t="s">
        <v>2307</v>
      </c>
      <c r="C950">
        <v>29</v>
      </c>
      <c r="D950">
        <v>5</v>
      </c>
      <c r="E950">
        <v>2019</v>
      </c>
      <c r="F950" t="s">
        <v>37</v>
      </c>
      <c r="G950" t="s">
        <v>937</v>
      </c>
      <c r="H950" t="s">
        <v>2749</v>
      </c>
      <c r="I950" t="s">
        <v>19</v>
      </c>
      <c r="J950" t="s">
        <v>2418</v>
      </c>
      <c r="K950" t="s">
        <v>31</v>
      </c>
      <c r="L950">
        <v>98105</v>
      </c>
      <c r="M950" t="s">
        <v>2308</v>
      </c>
      <c r="N950" t="s">
        <v>33</v>
      </c>
      <c r="O950" t="s">
        <v>43</v>
      </c>
      <c r="P950" t="s">
        <v>2309</v>
      </c>
      <c r="Q950">
        <f>_xlfn.XLOOKUP(Table3[[#This Row],[Product Name]],Sales!A:A,Sales!B:B)</f>
        <v>540.57000000000005</v>
      </c>
      <c r="R950">
        <f>_xlfn.XLOOKUP(Table3[[#This Row],[Product Name]],Sales!A:A,Sales!C:C)</f>
        <v>3</v>
      </c>
      <c r="S950">
        <f>_xlfn.XLOOKUP(Table3[[#This Row],[Product Name]],Sales!A:A,Sales!D:D)</f>
        <v>0</v>
      </c>
      <c r="T950">
        <f>_xlfn.XLOOKUP(Table3[[#This Row],[Product Name]],Sales!A:A,Sales!E:E)</f>
        <v>140.54820000000001</v>
      </c>
    </row>
    <row r="951" spans="1:20" x14ac:dyDescent="0.3">
      <c r="A951">
        <v>946</v>
      </c>
      <c r="B951" t="s">
        <v>2307</v>
      </c>
      <c r="C951">
        <v>29</v>
      </c>
      <c r="D951">
        <v>5</v>
      </c>
      <c r="E951">
        <v>2019</v>
      </c>
      <c r="F951" t="s">
        <v>37</v>
      </c>
      <c r="G951" t="s">
        <v>937</v>
      </c>
      <c r="H951" t="s">
        <v>2749</v>
      </c>
      <c r="I951" t="s">
        <v>19</v>
      </c>
      <c r="J951" t="s">
        <v>2418</v>
      </c>
      <c r="K951" t="s">
        <v>31</v>
      </c>
      <c r="L951">
        <v>98105</v>
      </c>
      <c r="M951" t="s">
        <v>2310</v>
      </c>
      <c r="N951" t="s">
        <v>33</v>
      </c>
      <c r="O951" t="s">
        <v>58</v>
      </c>
      <c r="P951" t="s">
        <v>2311</v>
      </c>
      <c r="Q951">
        <f>_xlfn.XLOOKUP(Table3[[#This Row],[Product Name]],Sales!A:A,Sales!B:B)</f>
        <v>167.76</v>
      </c>
      <c r="R951">
        <f>_xlfn.XLOOKUP(Table3[[#This Row],[Product Name]],Sales!A:A,Sales!C:C)</f>
        <v>5</v>
      </c>
      <c r="S951">
        <f>_xlfn.XLOOKUP(Table3[[#This Row],[Product Name]],Sales!A:A,Sales!D:D)</f>
        <v>0.2</v>
      </c>
      <c r="T951">
        <f>_xlfn.XLOOKUP(Table3[[#This Row],[Product Name]],Sales!A:A,Sales!E:E)</f>
        <v>62.91</v>
      </c>
    </row>
    <row r="952" spans="1:20" x14ac:dyDescent="0.3">
      <c r="A952">
        <v>947</v>
      </c>
      <c r="B952" t="s">
        <v>2312</v>
      </c>
      <c r="C952">
        <v>26</v>
      </c>
      <c r="D952">
        <v>7</v>
      </c>
      <c r="E952">
        <v>2019</v>
      </c>
      <c r="F952" t="s">
        <v>142</v>
      </c>
      <c r="G952" t="s">
        <v>1514</v>
      </c>
      <c r="H952" t="s">
        <v>2832</v>
      </c>
      <c r="I952" t="s">
        <v>19</v>
      </c>
      <c r="J952" t="s">
        <v>2548</v>
      </c>
      <c r="K952" t="s">
        <v>31</v>
      </c>
      <c r="L952">
        <v>85204</v>
      </c>
      <c r="M952" t="s">
        <v>2313</v>
      </c>
      <c r="N952" t="s">
        <v>22</v>
      </c>
      <c r="O952" t="s">
        <v>40</v>
      </c>
      <c r="P952" t="s">
        <v>2314</v>
      </c>
      <c r="Q952">
        <f>_xlfn.XLOOKUP(Table3[[#This Row],[Product Name]],Sales!A:A,Sales!B:B)</f>
        <v>393.16500000000002</v>
      </c>
      <c r="R952">
        <f>_xlfn.XLOOKUP(Table3[[#This Row],[Product Name]],Sales!A:A,Sales!C:C)</f>
        <v>3</v>
      </c>
      <c r="S952">
        <f>_xlfn.XLOOKUP(Table3[[#This Row],[Product Name]],Sales!A:A,Sales!D:D)</f>
        <v>0.5</v>
      </c>
      <c r="T952">
        <f>_xlfn.XLOOKUP(Table3[[#This Row],[Product Name]],Sales!A:A,Sales!E:E)</f>
        <v>-204.44579999999999</v>
      </c>
    </row>
    <row r="953" spans="1:20" x14ac:dyDescent="0.3">
      <c r="A953">
        <v>948</v>
      </c>
      <c r="B953" t="s">
        <v>2315</v>
      </c>
      <c r="C953">
        <v>28</v>
      </c>
      <c r="D953">
        <v>11</v>
      </c>
      <c r="E953">
        <v>2021</v>
      </c>
      <c r="F953" t="s">
        <v>37</v>
      </c>
      <c r="G953" t="s">
        <v>1184</v>
      </c>
      <c r="H953" t="s">
        <v>2786</v>
      </c>
      <c r="I953" t="s">
        <v>78</v>
      </c>
      <c r="J953" t="s">
        <v>2424</v>
      </c>
      <c r="K953" t="s">
        <v>108</v>
      </c>
      <c r="L953">
        <v>19120</v>
      </c>
      <c r="M953" t="s">
        <v>2316</v>
      </c>
      <c r="N953" t="s">
        <v>22</v>
      </c>
      <c r="O953" t="s">
        <v>48</v>
      </c>
      <c r="P953" t="s">
        <v>2317</v>
      </c>
      <c r="Q953">
        <f>_xlfn.XLOOKUP(Table3[[#This Row],[Product Name]],Sales!A:A,Sales!B:B)</f>
        <v>516.48800000000006</v>
      </c>
      <c r="R953">
        <f>_xlfn.XLOOKUP(Table3[[#This Row],[Product Name]],Sales!A:A,Sales!C:C)</f>
        <v>7</v>
      </c>
      <c r="S953">
        <f>_xlfn.XLOOKUP(Table3[[#This Row],[Product Name]],Sales!A:A,Sales!D:D)</f>
        <v>0.2</v>
      </c>
      <c r="T953">
        <f>_xlfn.XLOOKUP(Table3[[#This Row],[Product Name]],Sales!A:A,Sales!E:E)</f>
        <v>-12.9122</v>
      </c>
    </row>
    <row r="954" spans="1:20" x14ac:dyDescent="0.3">
      <c r="A954">
        <v>949</v>
      </c>
      <c r="B954" t="s">
        <v>2315</v>
      </c>
      <c r="C954">
        <v>28</v>
      </c>
      <c r="D954">
        <v>11</v>
      </c>
      <c r="E954">
        <v>2021</v>
      </c>
      <c r="F954" t="s">
        <v>37</v>
      </c>
      <c r="G954" t="s">
        <v>1184</v>
      </c>
      <c r="H954" t="s">
        <v>2786</v>
      </c>
      <c r="I954" t="s">
        <v>78</v>
      </c>
      <c r="J954" t="s">
        <v>2424</v>
      </c>
      <c r="K954" t="s">
        <v>108</v>
      </c>
      <c r="L954">
        <v>19120</v>
      </c>
      <c r="M954" t="s">
        <v>704</v>
      </c>
      <c r="N954" t="s">
        <v>22</v>
      </c>
      <c r="O954" t="s">
        <v>48</v>
      </c>
      <c r="P954" t="s">
        <v>705</v>
      </c>
      <c r="Q954">
        <f>_xlfn.XLOOKUP(Table3[[#This Row],[Product Name]],Sales!A:A,Sales!B:B)</f>
        <v>419.68</v>
      </c>
      <c r="R954">
        <f>_xlfn.XLOOKUP(Table3[[#This Row],[Product Name]],Sales!A:A,Sales!C:C)</f>
        <v>5</v>
      </c>
      <c r="S954">
        <f>_xlfn.XLOOKUP(Table3[[#This Row],[Product Name]],Sales!A:A,Sales!D:D)</f>
        <v>0.6</v>
      </c>
      <c r="T954">
        <f>_xlfn.XLOOKUP(Table3[[#This Row],[Product Name]],Sales!A:A,Sales!E:E)</f>
        <v>-356.72800000000001</v>
      </c>
    </row>
    <row r="955" spans="1:20" x14ac:dyDescent="0.3">
      <c r="A955">
        <v>950</v>
      </c>
      <c r="B955" t="s">
        <v>2315</v>
      </c>
      <c r="C955">
        <v>28</v>
      </c>
      <c r="D955">
        <v>11</v>
      </c>
      <c r="E955">
        <v>2021</v>
      </c>
      <c r="F955" t="s">
        <v>37</v>
      </c>
      <c r="G955" t="s">
        <v>1184</v>
      </c>
      <c r="H955" t="s">
        <v>2786</v>
      </c>
      <c r="I955" t="s">
        <v>78</v>
      </c>
      <c r="J955" t="s">
        <v>2424</v>
      </c>
      <c r="K955" t="s">
        <v>108</v>
      </c>
      <c r="L955">
        <v>19120</v>
      </c>
      <c r="M955" t="s">
        <v>2318</v>
      </c>
      <c r="N955" t="s">
        <v>22</v>
      </c>
      <c r="O955" t="s">
        <v>40</v>
      </c>
      <c r="P955" t="s">
        <v>2319</v>
      </c>
      <c r="Q955">
        <f>_xlfn.XLOOKUP(Table3[[#This Row],[Product Name]],Sales!A:A,Sales!B:B)</f>
        <v>2065.3200000000002</v>
      </c>
      <c r="R955">
        <f>_xlfn.XLOOKUP(Table3[[#This Row],[Product Name]],Sales!A:A,Sales!C:C)</f>
        <v>12</v>
      </c>
      <c r="S955">
        <f>_xlfn.XLOOKUP(Table3[[#This Row],[Product Name]],Sales!A:A,Sales!D:D)</f>
        <v>0.4</v>
      </c>
      <c r="T955">
        <f>_xlfn.XLOOKUP(Table3[[#This Row],[Product Name]],Sales!A:A,Sales!E:E)</f>
        <v>-619.596</v>
      </c>
    </row>
    <row r="956" spans="1:20" x14ac:dyDescent="0.3">
      <c r="A956">
        <v>951</v>
      </c>
      <c r="B956" t="s">
        <v>2315</v>
      </c>
      <c r="C956">
        <v>28</v>
      </c>
      <c r="D956">
        <v>11</v>
      </c>
      <c r="E956">
        <v>2021</v>
      </c>
      <c r="F956" t="s">
        <v>37</v>
      </c>
      <c r="G956" t="s">
        <v>1184</v>
      </c>
      <c r="H956" t="s">
        <v>2786</v>
      </c>
      <c r="I956" t="s">
        <v>78</v>
      </c>
      <c r="J956" t="s">
        <v>2424</v>
      </c>
      <c r="K956" t="s">
        <v>108</v>
      </c>
      <c r="L956">
        <v>19120</v>
      </c>
      <c r="M956" t="s">
        <v>2320</v>
      </c>
      <c r="N956" t="s">
        <v>33</v>
      </c>
      <c r="O956" t="s">
        <v>70</v>
      </c>
      <c r="P956" t="s">
        <v>2321</v>
      </c>
      <c r="Q956">
        <f>_xlfn.XLOOKUP(Table3[[#This Row],[Product Name]],Sales!A:A,Sales!B:B)</f>
        <v>15.552</v>
      </c>
      <c r="R956">
        <f>_xlfn.XLOOKUP(Table3[[#This Row],[Product Name]],Sales!A:A,Sales!C:C)</f>
        <v>3</v>
      </c>
      <c r="S956">
        <f>_xlfn.XLOOKUP(Table3[[#This Row],[Product Name]],Sales!A:A,Sales!D:D)</f>
        <v>0.2</v>
      </c>
      <c r="T956">
        <f>_xlfn.XLOOKUP(Table3[[#This Row],[Product Name]],Sales!A:A,Sales!E:E)</f>
        <v>5.4432</v>
      </c>
    </row>
    <row r="957" spans="1:20" x14ac:dyDescent="0.3">
      <c r="A957">
        <v>952</v>
      </c>
      <c r="B957" t="s">
        <v>2315</v>
      </c>
      <c r="C957">
        <v>28</v>
      </c>
      <c r="D957">
        <v>11</v>
      </c>
      <c r="E957">
        <v>2021</v>
      </c>
      <c r="F957" t="s">
        <v>37</v>
      </c>
      <c r="G957" t="s">
        <v>1184</v>
      </c>
      <c r="H957" t="s">
        <v>2786</v>
      </c>
      <c r="I957" t="s">
        <v>78</v>
      </c>
      <c r="J957" t="s">
        <v>2424</v>
      </c>
      <c r="K957" t="s">
        <v>108</v>
      </c>
      <c r="L957">
        <v>19120</v>
      </c>
      <c r="M957" t="s">
        <v>698</v>
      </c>
      <c r="N957" t="s">
        <v>33</v>
      </c>
      <c r="O957" t="s">
        <v>70</v>
      </c>
      <c r="P957" t="s">
        <v>699</v>
      </c>
      <c r="Q957">
        <f>_xlfn.XLOOKUP(Table3[[#This Row],[Product Name]],Sales!A:A,Sales!B:B)</f>
        <v>10.56</v>
      </c>
      <c r="R957">
        <f>_xlfn.XLOOKUP(Table3[[#This Row],[Product Name]],Sales!A:A,Sales!C:C)</f>
        <v>2</v>
      </c>
      <c r="S957">
        <f>_xlfn.XLOOKUP(Table3[[#This Row],[Product Name]],Sales!A:A,Sales!D:D)</f>
        <v>0</v>
      </c>
      <c r="T957">
        <f>_xlfn.XLOOKUP(Table3[[#This Row],[Product Name]],Sales!A:A,Sales!E:E)</f>
        <v>4.7519999999999998</v>
      </c>
    </row>
    <row r="958" spans="1:20" x14ac:dyDescent="0.3">
      <c r="A958">
        <v>953</v>
      </c>
      <c r="B958" t="s">
        <v>2322</v>
      </c>
      <c r="C958">
        <v>3</v>
      </c>
      <c r="D958">
        <v>4</v>
      </c>
      <c r="E958">
        <v>2021</v>
      </c>
      <c r="F958" t="s">
        <v>37</v>
      </c>
      <c r="G958" t="s">
        <v>2323</v>
      </c>
      <c r="H958" t="s">
        <v>2957</v>
      </c>
      <c r="I958" t="s">
        <v>19</v>
      </c>
      <c r="J958" t="s">
        <v>2424</v>
      </c>
      <c r="K958" t="s">
        <v>108</v>
      </c>
      <c r="L958">
        <v>19143</v>
      </c>
      <c r="M958" t="s">
        <v>2324</v>
      </c>
      <c r="N958" t="s">
        <v>22</v>
      </c>
      <c r="O958" t="s">
        <v>48</v>
      </c>
      <c r="P958" t="s">
        <v>707</v>
      </c>
      <c r="Q958">
        <f>_xlfn.XLOOKUP(Table3[[#This Row],[Product Name]],Sales!A:A,Sales!B:B)</f>
        <v>11.688000000000001</v>
      </c>
      <c r="R958">
        <f>_xlfn.XLOOKUP(Table3[[#This Row],[Product Name]],Sales!A:A,Sales!C:C)</f>
        <v>3</v>
      </c>
      <c r="S958">
        <f>_xlfn.XLOOKUP(Table3[[#This Row],[Product Name]],Sales!A:A,Sales!D:D)</f>
        <v>0.6</v>
      </c>
      <c r="T958">
        <f>_xlfn.XLOOKUP(Table3[[#This Row],[Product Name]],Sales!A:A,Sales!E:E)</f>
        <v>-4.6752000000000002</v>
      </c>
    </row>
    <row r="959" spans="1:20" x14ac:dyDescent="0.3">
      <c r="A959">
        <v>954</v>
      </c>
      <c r="B959" t="s">
        <v>2325</v>
      </c>
      <c r="C959">
        <v>28</v>
      </c>
      <c r="D959">
        <v>12</v>
      </c>
      <c r="E959">
        <v>2021</v>
      </c>
      <c r="F959" t="s">
        <v>37</v>
      </c>
      <c r="G959" t="s">
        <v>2326</v>
      </c>
      <c r="H959" t="s">
        <v>2958</v>
      </c>
      <c r="I959" t="s">
        <v>19</v>
      </c>
      <c r="J959" t="s">
        <v>2605</v>
      </c>
      <c r="K959" t="s">
        <v>79</v>
      </c>
      <c r="L959">
        <v>78664</v>
      </c>
      <c r="M959" t="s">
        <v>667</v>
      </c>
      <c r="N959" t="s">
        <v>33</v>
      </c>
      <c r="O959" t="s">
        <v>51</v>
      </c>
      <c r="P959" t="s">
        <v>668</v>
      </c>
      <c r="Q959">
        <f>_xlfn.XLOOKUP(Table3[[#This Row],[Product Name]],Sales!A:A,Sales!B:B)</f>
        <v>27.167999999999999</v>
      </c>
      <c r="R959">
        <f>_xlfn.XLOOKUP(Table3[[#This Row],[Product Name]],Sales!A:A,Sales!C:C)</f>
        <v>2</v>
      </c>
      <c r="S959">
        <f>_xlfn.XLOOKUP(Table3[[#This Row],[Product Name]],Sales!A:A,Sales!D:D)</f>
        <v>0.2</v>
      </c>
      <c r="T959">
        <f>_xlfn.XLOOKUP(Table3[[#This Row],[Product Name]],Sales!A:A,Sales!E:E)</f>
        <v>2.7168000000000001</v>
      </c>
    </row>
    <row r="960" spans="1:20" x14ac:dyDescent="0.3">
      <c r="A960">
        <v>955</v>
      </c>
      <c r="B960" t="s">
        <v>2325</v>
      </c>
      <c r="C960">
        <v>28</v>
      </c>
      <c r="D960">
        <v>12</v>
      </c>
      <c r="E960">
        <v>2021</v>
      </c>
      <c r="F960" t="s">
        <v>37</v>
      </c>
      <c r="G960" t="s">
        <v>2326</v>
      </c>
      <c r="H960" t="s">
        <v>2958</v>
      </c>
      <c r="I960" t="s">
        <v>19</v>
      </c>
      <c r="J960" t="s">
        <v>2605</v>
      </c>
      <c r="K960" t="s">
        <v>79</v>
      </c>
      <c r="L960">
        <v>78664</v>
      </c>
      <c r="M960" t="s">
        <v>835</v>
      </c>
      <c r="N960" t="s">
        <v>22</v>
      </c>
      <c r="O960" t="s">
        <v>23</v>
      </c>
      <c r="P960" t="s">
        <v>836</v>
      </c>
      <c r="Q960">
        <f>_xlfn.XLOOKUP(Table3[[#This Row],[Product Name]],Sales!A:A,Sales!B:B)</f>
        <v>86.97</v>
      </c>
      <c r="R960">
        <f>_xlfn.XLOOKUP(Table3[[#This Row],[Product Name]],Sales!A:A,Sales!C:C)</f>
        <v>3</v>
      </c>
      <c r="S960">
        <f>_xlfn.XLOOKUP(Table3[[#This Row],[Product Name]],Sales!A:A,Sales!D:D)</f>
        <v>0.5</v>
      </c>
      <c r="T960">
        <f>_xlfn.XLOOKUP(Table3[[#This Row],[Product Name]],Sales!A:A,Sales!E:E)</f>
        <v>-48.703200000000002</v>
      </c>
    </row>
    <row r="961" spans="1:20" x14ac:dyDescent="0.3">
      <c r="A961">
        <v>956</v>
      </c>
      <c r="B961" t="s">
        <v>2327</v>
      </c>
      <c r="C961">
        <v>30</v>
      </c>
      <c r="D961">
        <v>11</v>
      </c>
      <c r="E961">
        <v>2021</v>
      </c>
      <c r="F961" t="s">
        <v>37</v>
      </c>
      <c r="G961" t="s">
        <v>2328</v>
      </c>
      <c r="H961" t="s">
        <v>2959</v>
      </c>
      <c r="I961" t="s">
        <v>19</v>
      </c>
      <c r="J961" t="s">
        <v>2526</v>
      </c>
      <c r="K961" t="s">
        <v>20</v>
      </c>
      <c r="L961">
        <v>39212</v>
      </c>
      <c r="M961" t="s">
        <v>205</v>
      </c>
      <c r="N961" t="s">
        <v>33</v>
      </c>
      <c r="O961" t="s">
        <v>43</v>
      </c>
      <c r="P961" t="s">
        <v>206</v>
      </c>
      <c r="Q961">
        <f>_xlfn.XLOOKUP(Table3[[#This Row],[Product Name]],Sales!A:A,Sales!B:B)</f>
        <v>208.56</v>
      </c>
      <c r="R961">
        <f>_xlfn.XLOOKUP(Table3[[#This Row],[Product Name]],Sales!A:A,Sales!C:C)</f>
        <v>6</v>
      </c>
      <c r="S961">
        <f>_xlfn.XLOOKUP(Table3[[#This Row],[Product Name]],Sales!A:A,Sales!D:D)</f>
        <v>0</v>
      </c>
      <c r="T961">
        <f>_xlfn.XLOOKUP(Table3[[#This Row],[Product Name]],Sales!A:A,Sales!E:E)</f>
        <v>52.14</v>
      </c>
    </row>
    <row r="962" spans="1:20" x14ac:dyDescent="0.3">
      <c r="A962">
        <v>957</v>
      </c>
      <c r="B962" t="s">
        <v>2329</v>
      </c>
      <c r="C962">
        <v>15</v>
      </c>
      <c r="D962">
        <v>5</v>
      </c>
      <c r="E962">
        <v>2021</v>
      </c>
      <c r="F962" t="s">
        <v>17</v>
      </c>
      <c r="G962" t="s">
        <v>2330</v>
      </c>
      <c r="H962" t="s">
        <v>2960</v>
      </c>
      <c r="I962" t="s">
        <v>19</v>
      </c>
      <c r="J962" t="s">
        <v>2456</v>
      </c>
      <c r="K962" t="s">
        <v>31</v>
      </c>
      <c r="L962">
        <v>85023</v>
      </c>
      <c r="M962" t="s">
        <v>2142</v>
      </c>
      <c r="N962" t="s">
        <v>54</v>
      </c>
      <c r="O962" t="s">
        <v>55</v>
      </c>
      <c r="P962" t="s">
        <v>2143</v>
      </c>
      <c r="Q962">
        <f>_xlfn.XLOOKUP(Table3[[#This Row],[Product Name]],Sales!A:A,Sales!B:B)</f>
        <v>59.183999999999997</v>
      </c>
      <c r="R962">
        <f>_xlfn.XLOOKUP(Table3[[#This Row],[Product Name]],Sales!A:A,Sales!C:C)</f>
        <v>2</v>
      </c>
      <c r="S962">
        <f>_xlfn.XLOOKUP(Table3[[#This Row],[Product Name]],Sales!A:A,Sales!D:D)</f>
        <v>0.2</v>
      </c>
      <c r="T962">
        <f>_xlfn.XLOOKUP(Table3[[#This Row],[Product Name]],Sales!A:A,Sales!E:E)</f>
        <v>5.1786000000000003</v>
      </c>
    </row>
    <row r="963" spans="1:20" x14ac:dyDescent="0.3">
      <c r="A963">
        <v>958</v>
      </c>
      <c r="B963" t="s">
        <v>2329</v>
      </c>
      <c r="C963">
        <v>15</v>
      </c>
      <c r="D963">
        <v>5</v>
      </c>
      <c r="E963">
        <v>2021</v>
      </c>
      <c r="F963" t="s">
        <v>17</v>
      </c>
      <c r="G963" t="s">
        <v>2330</v>
      </c>
      <c r="H963" t="s">
        <v>2960</v>
      </c>
      <c r="I963" t="s">
        <v>19</v>
      </c>
      <c r="J963" t="s">
        <v>2456</v>
      </c>
      <c r="K963" t="s">
        <v>31</v>
      </c>
      <c r="L963">
        <v>85023</v>
      </c>
      <c r="M963" t="s">
        <v>2331</v>
      </c>
      <c r="N963" t="s">
        <v>33</v>
      </c>
      <c r="O963" t="s">
        <v>58</v>
      </c>
      <c r="P963" t="s">
        <v>2332</v>
      </c>
      <c r="Q963">
        <f>_xlfn.XLOOKUP(Table3[[#This Row],[Product Name]],Sales!A:A,Sales!B:B)</f>
        <v>4.7519999999999998</v>
      </c>
      <c r="R963">
        <f>_xlfn.XLOOKUP(Table3[[#This Row],[Product Name]],Sales!A:A,Sales!C:C)</f>
        <v>2</v>
      </c>
      <c r="S963">
        <f>_xlfn.XLOOKUP(Table3[[#This Row],[Product Name]],Sales!A:A,Sales!D:D)</f>
        <v>0.7</v>
      </c>
      <c r="T963">
        <f>_xlfn.XLOOKUP(Table3[[#This Row],[Product Name]],Sales!A:A,Sales!E:E)</f>
        <v>-3.1680000000000001</v>
      </c>
    </row>
    <row r="964" spans="1:20" x14ac:dyDescent="0.3">
      <c r="A964">
        <v>959</v>
      </c>
      <c r="B964" t="s">
        <v>2329</v>
      </c>
      <c r="C964">
        <v>15</v>
      </c>
      <c r="D964">
        <v>5</v>
      </c>
      <c r="E964">
        <v>2021</v>
      </c>
      <c r="F964" t="s">
        <v>17</v>
      </c>
      <c r="G964" t="s">
        <v>2330</v>
      </c>
      <c r="H964" t="s">
        <v>2960</v>
      </c>
      <c r="I964" t="s">
        <v>19</v>
      </c>
      <c r="J964" t="s">
        <v>2456</v>
      </c>
      <c r="K964" t="s">
        <v>31</v>
      </c>
      <c r="L964">
        <v>85023</v>
      </c>
      <c r="M964" t="s">
        <v>2333</v>
      </c>
      <c r="N964" t="s">
        <v>33</v>
      </c>
      <c r="O964" t="s">
        <v>70</v>
      </c>
      <c r="P964" t="s">
        <v>2334</v>
      </c>
      <c r="Q964">
        <f>_xlfn.XLOOKUP(Table3[[#This Row],[Product Name]],Sales!A:A,Sales!B:B)</f>
        <v>15.552</v>
      </c>
      <c r="R964">
        <f>_xlfn.XLOOKUP(Table3[[#This Row],[Product Name]],Sales!A:A,Sales!C:C)</f>
        <v>3</v>
      </c>
      <c r="S964">
        <f>_xlfn.XLOOKUP(Table3[[#This Row],[Product Name]],Sales!A:A,Sales!D:D)</f>
        <v>0.2</v>
      </c>
      <c r="T964">
        <f>_xlfn.XLOOKUP(Table3[[#This Row],[Product Name]],Sales!A:A,Sales!E:E)</f>
        <v>5.6375999999999999</v>
      </c>
    </row>
    <row r="965" spans="1:20" x14ac:dyDescent="0.3">
      <c r="A965">
        <v>960</v>
      </c>
      <c r="B965" t="s">
        <v>2335</v>
      </c>
      <c r="C965">
        <v>22</v>
      </c>
      <c r="D965">
        <v>9</v>
      </c>
      <c r="E965">
        <v>2019</v>
      </c>
      <c r="F965" t="s">
        <v>1010</v>
      </c>
      <c r="G965" t="s">
        <v>2336</v>
      </c>
      <c r="H965" t="s">
        <v>2961</v>
      </c>
      <c r="I965" t="s">
        <v>19</v>
      </c>
      <c r="J965" t="s">
        <v>2606</v>
      </c>
      <c r="K965" t="s">
        <v>31</v>
      </c>
      <c r="L965">
        <v>92054</v>
      </c>
      <c r="M965" t="s">
        <v>2337</v>
      </c>
      <c r="N965" t="s">
        <v>22</v>
      </c>
      <c r="O965" t="s">
        <v>48</v>
      </c>
      <c r="P965" t="s">
        <v>2338</v>
      </c>
      <c r="Q965">
        <f>_xlfn.XLOOKUP(Table3[[#This Row],[Product Name]],Sales!A:A,Sales!B:B)</f>
        <v>204.6</v>
      </c>
      <c r="R965">
        <f>_xlfn.XLOOKUP(Table3[[#This Row],[Product Name]],Sales!A:A,Sales!C:C)</f>
        <v>2</v>
      </c>
      <c r="S965">
        <f>_xlfn.XLOOKUP(Table3[[#This Row],[Product Name]],Sales!A:A,Sales!D:D)</f>
        <v>0</v>
      </c>
      <c r="T965">
        <f>_xlfn.XLOOKUP(Table3[[#This Row],[Product Name]],Sales!A:A,Sales!E:E)</f>
        <v>53.195999999999998</v>
      </c>
    </row>
    <row r="966" spans="1:20" x14ac:dyDescent="0.3">
      <c r="A966">
        <v>961</v>
      </c>
      <c r="B966" t="s">
        <v>2339</v>
      </c>
      <c r="C966">
        <v>14</v>
      </c>
      <c r="D966">
        <v>11</v>
      </c>
      <c r="E966">
        <v>2021</v>
      </c>
      <c r="F966" t="s">
        <v>37</v>
      </c>
      <c r="G966" t="s">
        <v>2340</v>
      </c>
      <c r="H966" t="s">
        <v>2962</v>
      </c>
      <c r="I966" t="s">
        <v>30</v>
      </c>
      <c r="J966" t="s">
        <v>2422</v>
      </c>
      <c r="K966" t="s">
        <v>31</v>
      </c>
      <c r="L966">
        <v>94110</v>
      </c>
      <c r="M966" t="s">
        <v>724</v>
      </c>
      <c r="N966" t="s">
        <v>22</v>
      </c>
      <c r="O966" t="s">
        <v>26</v>
      </c>
      <c r="P966" t="s">
        <v>725</v>
      </c>
      <c r="Q966">
        <f>_xlfn.XLOOKUP(Table3[[#This Row],[Product Name]],Sales!A:A,Sales!B:B)</f>
        <v>321.56799999999998</v>
      </c>
      <c r="R966">
        <f>_xlfn.XLOOKUP(Table3[[#This Row],[Product Name]],Sales!A:A,Sales!C:C)</f>
        <v>2</v>
      </c>
      <c r="S966">
        <f>_xlfn.XLOOKUP(Table3[[#This Row],[Product Name]],Sales!A:A,Sales!D:D)</f>
        <v>0.2</v>
      </c>
      <c r="T966">
        <f>_xlfn.XLOOKUP(Table3[[#This Row],[Product Name]],Sales!A:A,Sales!E:E)</f>
        <v>28.1372</v>
      </c>
    </row>
    <row r="967" spans="1:20" x14ac:dyDescent="0.3">
      <c r="A967">
        <v>962</v>
      </c>
      <c r="B967" t="s">
        <v>2341</v>
      </c>
      <c r="C967">
        <v>27</v>
      </c>
      <c r="D967">
        <v>11</v>
      </c>
      <c r="E967">
        <v>2019</v>
      </c>
      <c r="F967" t="s">
        <v>37</v>
      </c>
      <c r="G967" t="s">
        <v>2342</v>
      </c>
      <c r="H967" t="s">
        <v>2963</v>
      </c>
      <c r="I967" t="s">
        <v>78</v>
      </c>
      <c r="J967" t="s">
        <v>2540</v>
      </c>
      <c r="K967" t="s">
        <v>20</v>
      </c>
      <c r="L967">
        <v>72701</v>
      </c>
      <c r="M967" t="s">
        <v>2343</v>
      </c>
      <c r="N967" t="s">
        <v>33</v>
      </c>
      <c r="O967" t="s">
        <v>58</v>
      </c>
      <c r="P967" t="s">
        <v>2344</v>
      </c>
      <c r="Q967">
        <f>_xlfn.XLOOKUP(Table3[[#This Row],[Product Name]],Sales!A:A,Sales!B:B)</f>
        <v>6.24</v>
      </c>
      <c r="R967">
        <f>_xlfn.XLOOKUP(Table3[[#This Row],[Product Name]],Sales!A:A,Sales!C:C)</f>
        <v>2</v>
      </c>
      <c r="S967">
        <f>_xlfn.XLOOKUP(Table3[[#This Row],[Product Name]],Sales!A:A,Sales!D:D)</f>
        <v>0</v>
      </c>
      <c r="T967">
        <f>_xlfn.XLOOKUP(Table3[[#This Row],[Product Name]],Sales!A:A,Sales!E:E)</f>
        <v>3.0575999999999999</v>
      </c>
    </row>
    <row r="968" spans="1:20" x14ac:dyDescent="0.3">
      <c r="A968">
        <v>963</v>
      </c>
      <c r="B968" t="s">
        <v>2345</v>
      </c>
      <c r="C968">
        <v>1</v>
      </c>
      <c r="D968">
        <v>9</v>
      </c>
      <c r="E968">
        <v>2020</v>
      </c>
      <c r="F968" t="s">
        <v>142</v>
      </c>
      <c r="G968" t="s">
        <v>362</v>
      </c>
      <c r="H968" t="s">
        <v>2661</v>
      </c>
      <c r="I968" t="s">
        <v>30</v>
      </c>
      <c r="J968" t="s">
        <v>2422</v>
      </c>
      <c r="K968" t="s">
        <v>31</v>
      </c>
      <c r="L968">
        <v>94110</v>
      </c>
      <c r="M968" t="s">
        <v>1428</v>
      </c>
      <c r="N968" t="s">
        <v>33</v>
      </c>
      <c r="O968" t="s">
        <v>129</v>
      </c>
      <c r="P968" t="s">
        <v>1429</v>
      </c>
      <c r="Q968">
        <f>_xlfn.XLOOKUP(Table3[[#This Row],[Product Name]],Sales!A:A,Sales!B:B)</f>
        <v>52.512</v>
      </c>
      <c r="R968">
        <f>_xlfn.XLOOKUP(Table3[[#This Row],[Product Name]],Sales!A:A,Sales!C:C)</f>
        <v>6</v>
      </c>
      <c r="S968">
        <f>_xlfn.XLOOKUP(Table3[[#This Row],[Product Name]],Sales!A:A,Sales!D:D)</f>
        <v>0.2</v>
      </c>
      <c r="T968">
        <f>_xlfn.XLOOKUP(Table3[[#This Row],[Product Name]],Sales!A:A,Sales!E:E)</f>
        <v>19.692</v>
      </c>
    </row>
    <row r="969" spans="1:20" x14ac:dyDescent="0.3">
      <c r="A969">
        <v>964</v>
      </c>
      <c r="B969" t="s">
        <v>2346</v>
      </c>
      <c r="C969">
        <v>22</v>
      </c>
      <c r="D969">
        <v>9</v>
      </c>
      <c r="E969">
        <v>2018</v>
      </c>
      <c r="F969" t="s">
        <v>17</v>
      </c>
      <c r="G969" t="s">
        <v>2216</v>
      </c>
      <c r="H969" t="s">
        <v>2943</v>
      </c>
      <c r="I969" t="s">
        <v>19</v>
      </c>
      <c r="J969" t="s">
        <v>2607</v>
      </c>
      <c r="K969" t="s">
        <v>20</v>
      </c>
      <c r="L969">
        <v>33433</v>
      </c>
      <c r="M969" t="s">
        <v>2347</v>
      </c>
      <c r="N969" t="s">
        <v>33</v>
      </c>
      <c r="O969" t="s">
        <v>34</v>
      </c>
      <c r="P969" t="s">
        <v>2348</v>
      </c>
      <c r="Q969">
        <f>_xlfn.XLOOKUP(Table3[[#This Row],[Product Name]],Sales!A:A,Sales!B:B)</f>
        <v>4.6079999999999997</v>
      </c>
      <c r="R969">
        <f>_xlfn.XLOOKUP(Table3[[#This Row],[Product Name]],Sales!A:A,Sales!C:C)</f>
        <v>2</v>
      </c>
      <c r="S969">
        <f>_xlfn.XLOOKUP(Table3[[#This Row],[Product Name]],Sales!A:A,Sales!D:D)</f>
        <v>0.2</v>
      </c>
      <c r="T969">
        <f>_xlfn.XLOOKUP(Table3[[#This Row],[Product Name]],Sales!A:A,Sales!E:E)</f>
        <v>1.6704000000000001</v>
      </c>
    </row>
    <row r="970" spans="1:20" x14ac:dyDescent="0.3">
      <c r="A970">
        <v>965</v>
      </c>
      <c r="B970" t="s">
        <v>2349</v>
      </c>
      <c r="C970">
        <v>9</v>
      </c>
      <c r="D970">
        <v>4</v>
      </c>
      <c r="E970">
        <v>2021</v>
      </c>
      <c r="F970" t="s">
        <v>142</v>
      </c>
      <c r="G970" t="s">
        <v>2350</v>
      </c>
      <c r="H970" t="s">
        <v>2964</v>
      </c>
      <c r="I970" t="s">
        <v>78</v>
      </c>
      <c r="J970" t="s">
        <v>2434</v>
      </c>
      <c r="K970" t="s">
        <v>108</v>
      </c>
      <c r="L970">
        <v>10011</v>
      </c>
      <c r="M970" t="s">
        <v>2351</v>
      </c>
      <c r="N970" t="s">
        <v>33</v>
      </c>
      <c r="O970" t="s">
        <v>34</v>
      </c>
      <c r="P970" t="s">
        <v>2352</v>
      </c>
      <c r="Q970">
        <f>_xlfn.XLOOKUP(Table3[[#This Row],[Product Name]],Sales!A:A,Sales!B:B)</f>
        <v>9.82</v>
      </c>
      <c r="R970">
        <f>_xlfn.XLOOKUP(Table3[[#This Row],[Product Name]],Sales!A:A,Sales!C:C)</f>
        <v>2</v>
      </c>
      <c r="S970">
        <f>_xlfn.XLOOKUP(Table3[[#This Row],[Product Name]],Sales!A:A,Sales!D:D)</f>
        <v>0</v>
      </c>
      <c r="T970">
        <f>_xlfn.XLOOKUP(Table3[[#This Row],[Product Name]],Sales!A:A,Sales!E:E)</f>
        <v>4.8117999999999999</v>
      </c>
    </row>
    <row r="971" spans="1:20" x14ac:dyDescent="0.3">
      <c r="A971">
        <v>966</v>
      </c>
      <c r="B971" t="s">
        <v>2349</v>
      </c>
      <c r="C971">
        <v>9</v>
      </c>
      <c r="D971">
        <v>4</v>
      </c>
      <c r="E971">
        <v>2021</v>
      </c>
      <c r="F971" t="s">
        <v>142</v>
      </c>
      <c r="G971" t="s">
        <v>2350</v>
      </c>
      <c r="H971" t="s">
        <v>2964</v>
      </c>
      <c r="I971" t="s">
        <v>78</v>
      </c>
      <c r="J971" t="s">
        <v>2434</v>
      </c>
      <c r="K971" t="s">
        <v>108</v>
      </c>
      <c r="L971">
        <v>10011</v>
      </c>
      <c r="M971" t="s">
        <v>1143</v>
      </c>
      <c r="N971" t="s">
        <v>33</v>
      </c>
      <c r="O971" t="s">
        <v>51</v>
      </c>
      <c r="P971" t="s">
        <v>1144</v>
      </c>
      <c r="Q971">
        <f>_xlfn.XLOOKUP(Table3[[#This Row],[Product Name]],Sales!A:A,Sales!B:B)</f>
        <v>95.92</v>
      </c>
      <c r="R971">
        <f>_xlfn.XLOOKUP(Table3[[#This Row],[Product Name]],Sales!A:A,Sales!C:C)</f>
        <v>8</v>
      </c>
      <c r="S971">
        <f>_xlfn.XLOOKUP(Table3[[#This Row],[Product Name]],Sales!A:A,Sales!D:D)</f>
        <v>0</v>
      </c>
      <c r="T971">
        <f>_xlfn.XLOOKUP(Table3[[#This Row],[Product Name]],Sales!A:A,Sales!E:E)</f>
        <v>25.898399999999999</v>
      </c>
    </row>
    <row r="972" spans="1:20" x14ac:dyDescent="0.3">
      <c r="A972">
        <v>967</v>
      </c>
      <c r="B972" t="s">
        <v>2349</v>
      </c>
      <c r="C972">
        <v>9</v>
      </c>
      <c r="D972">
        <v>4</v>
      </c>
      <c r="E972">
        <v>2021</v>
      </c>
      <c r="F972" t="s">
        <v>142</v>
      </c>
      <c r="G972" t="s">
        <v>2350</v>
      </c>
      <c r="H972" t="s">
        <v>2964</v>
      </c>
      <c r="I972" t="s">
        <v>78</v>
      </c>
      <c r="J972" t="s">
        <v>2434</v>
      </c>
      <c r="K972" t="s">
        <v>108</v>
      </c>
      <c r="L972">
        <v>10011</v>
      </c>
      <c r="M972" t="s">
        <v>2353</v>
      </c>
      <c r="N972" t="s">
        <v>33</v>
      </c>
      <c r="O972" t="s">
        <v>70</v>
      </c>
      <c r="P972" t="s">
        <v>2354</v>
      </c>
      <c r="Q972">
        <f>_xlfn.XLOOKUP(Table3[[#This Row],[Product Name]],Sales!A:A,Sales!B:B)</f>
        <v>12.96</v>
      </c>
      <c r="R972">
        <f>_xlfn.XLOOKUP(Table3[[#This Row],[Product Name]],Sales!A:A,Sales!C:C)</f>
        <v>2</v>
      </c>
      <c r="S972">
        <f>_xlfn.XLOOKUP(Table3[[#This Row],[Product Name]],Sales!A:A,Sales!D:D)</f>
        <v>0</v>
      </c>
      <c r="T972">
        <f>_xlfn.XLOOKUP(Table3[[#This Row],[Product Name]],Sales!A:A,Sales!E:E)</f>
        <v>6.2207999999999997</v>
      </c>
    </row>
    <row r="973" spans="1:20" x14ac:dyDescent="0.3">
      <c r="A973">
        <v>968</v>
      </c>
      <c r="B973" t="s">
        <v>2349</v>
      </c>
      <c r="C973">
        <v>9</v>
      </c>
      <c r="D973">
        <v>4</v>
      </c>
      <c r="E973">
        <v>2021</v>
      </c>
      <c r="F973" t="s">
        <v>142</v>
      </c>
      <c r="G973" t="s">
        <v>2350</v>
      </c>
      <c r="H973" t="s">
        <v>2964</v>
      </c>
      <c r="I973" t="s">
        <v>78</v>
      </c>
      <c r="J973" t="s">
        <v>2434</v>
      </c>
      <c r="K973" t="s">
        <v>108</v>
      </c>
      <c r="L973">
        <v>10011</v>
      </c>
      <c r="M973" t="s">
        <v>2355</v>
      </c>
      <c r="N973" t="s">
        <v>33</v>
      </c>
      <c r="O973" t="s">
        <v>70</v>
      </c>
      <c r="P973" t="s">
        <v>2356</v>
      </c>
      <c r="Q973">
        <f>_xlfn.XLOOKUP(Table3[[#This Row],[Product Name]],Sales!A:A,Sales!B:B)</f>
        <v>191.6</v>
      </c>
      <c r="R973">
        <f>_xlfn.XLOOKUP(Table3[[#This Row],[Product Name]],Sales!A:A,Sales!C:C)</f>
        <v>4</v>
      </c>
      <c r="S973">
        <f>_xlfn.XLOOKUP(Table3[[#This Row],[Product Name]],Sales!A:A,Sales!D:D)</f>
        <v>0</v>
      </c>
      <c r="T973">
        <f>_xlfn.XLOOKUP(Table3[[#This Row],[Product Name]],Sales!A:A,Sales!E:E)</f>
        <v>91.968000000000004</v>
      </c>
    </row>
    <row r="974" spans="1:20" x14ac:dyDescent="0.3">
      <c r="A974">
        <v>969</v>
      </c>
      <c r="B974" t="s">
        <v>2349</v>
      </c>
      <c r="C974">
        <v>9</v>
      </c>
      <c r="D974">
        <v>4</v>
      </c>
      <c r="E974">
        <v>2021</v>
      </c>
      <c r="F974" t="s">
        <v>142</v>
      </c>
      <c r="G974" t="s">
        <v>2350</v>
      </c>
      <c r="H974" t="s">
        <v>2964</v>
      </c>
      <c r="I974" t="s">
        <v>78</v>
      </c>
      <c r="J974" t="s">
        <v>2434</v>
      </c>
      <c r="K974" t="s">
        <v>108</v>
      </c>
      <c r="L974">
        <v>10011</v>
      </c>
      <c r="M974" t="s">
        <v>2347</v>
      </c>
      <c r="N974" t="s">
        <v>33</v>
      </c>
      <c r="O974" t="s">
        <v>34</v>
      </c>
      <c r="P974" t="s">
        <v>2348</v>
      </c>
      <c r="Q974">
        <f>_xlfn.XLOOKUP(Table3[[#This Row],[Product Name]],Sales!A:A,Sales!B:B)</f>
        <v>4.6079999999999997</v>
      </c>
      <c r="R974">
        <f>_xlfn.XLOOKUP(Table3[[#This Row],[Product Name]],Sales!A:A,Sales!C:C)</f>
        <v>2</v>
      </c>
      <c r="S974">
        <f>_xlfn.XLOOKUP(Table3[[#This Row],[Product Name]],Sales!A:A,Sales!D:D)</f>
        <v>0.2</v>
      </c>
      <c r="T974">
        <f>_xlfn.XLOOKUP(Table3[[#This Row],[Product Name]],Sales!A:A,Sales!E:E)</f>
        <v>1.6704000000000001</v>
      </c>
    </row>
    <row r="975" spans="1:20" x14ac:dyDescent="0.3">
      <c r="A975">
        <v>970</v>
      </c>
      <c r="B975" t="s">
        <v>2349</v>
      </c>
      <c r="C975">
        <v>9</v>
      </c>
      <c r="D975">
        <v>4</v>
      </c>
      <c r="E975">
        <v>2021</v>
      </c>
      <c r="F975" t="s">
        <v>142</v>
      </c>
      <c r="G975" t="s">
        <v>2350</v>
      </c>
      <c r="H975" t="s">
        <v>2964</v>
      </c>
      <c r="I975" t="s">
        <v>78</v>
      </c>
      <c r="J975" t="s">
        <v>2434</v>
      </c>
      <c r="K975" t="s">
        <v>108</v>
      </c>
      <c r="L975">
        <v>10011</v>
      </c>
      <c r="M975" t="s">
        <v>2357</v>
      </c>
      <c r="N975" t="s">
        <v>33</v>
      </c>
      <c r="O975" t="s">
        <v>43</v>
      </c>
      <c r="P975" t="s">
        <v>2358</v>
      </c>
      <c r="Q975">
        <f>_xlfn.XLOOKUP(Table3[[#This Row],[Product Name]],Sales!A:A,Sales!B:B)</f>
        <v>501.81</v>
      </c>
      <c r="R975">
        <f>_xlfn.XLOOKUP(Table3[[#This Row],[Product Name]],Sales!A:A,Sales!C:C)</f>
        <v>3</v>
      </c>
      <c r="S975">
        <f>_xlfn.XLOOKUP(Table3[[#This Row],[Product Name]],Sales!A:A,Sales!D:D)</f>
        <v>0</v>
      </c>
      <c r="T975">
        <f>_xlfn.XLOOKUP(Table3[[#This Row],[Product Name]],Sales!A:A,Sales!E:E)</f>
        <v>0</v>
      </c>
    </row>
    <row r="976" spans="1:20" x14ac:dyDescent="0.3">
      <c r="A976">
        <v>971</v>
      </c>
      <c r="B976" t="s">
        <v>2359</v>
      </c>
      <c r="C976">
        <v>16</v>
      </c>
      <c r="D976">
        <v>1</v>
      </c>
      <c r="E976">
        <v>2018</v>
      </c>
      <c r="F976" t="s">
        <v>17</v>
      </c>
      <c r="G976" t="s">
        <v>731</v>
      </c>
      <c r="H976" t="s">
        <v>2721</v>
      </c>
      <c r="I976" t="s">
        <v>19</v>
      </c>
      <c r="J976" t="s">
        <v>2424</v>
      </c>
      <c r="K976" t="s">
        <v>108</v>
      </c>
      <c r="L976">
        <v>19134</v>
      </c>
      <c r="M976" t="s">
        <v>2360</v>
      </c>
      <c r="N976" t="s">
        <v>22</v>
      </c>
      <c r="O976" t="s">
        <v>48</v>
      </c>
      <c r="P976" t="s">
        <v>2361</v>
      </c>
      <c r="Q976">
        <f>_xlfn.XLOOKUP(Table3[[#This Row],[Product Name]],Sales!A:A,Sales!B:B)</f>
        <v>127.104</v>
      </c>
      <c r="R976">
        <f>_xlfn.XLOOKUP(Table3[[#This Row],[Product Name]],Sales!A:A,Sales!C:C)</f>
        <v>6</v>
      </c>
      <c r="S976">
        <f>_xlfn.XLOOKUP(Table3[[#This Row],[Product Name]],Sales!A:A,Sales!D:D)</f>
        <v>0.2</v>
      </c>
      <c r="T976">
        <f>_xlfn.XLOOKUP(Table3[[#This Row],[Product Name]],Sales!A:A,Sales!E:E)</f>
        <v>28.598400000000002</v>
      </c>
    </row>
    <row r="977" spans="1:20" x14ac:dyDescent="0.3">
      <c r="A977">
        <v>972</v>
      </c>
      <c r="B977" t="s">
        <v>2359</v>
      </c>
      <c r="C977">
        <v>16</v>
      </c>
      <c r="D977">
        <v>1</v>
      </c>
      <c r="E977">
        <v>2018</v>
      </c>
      <c r="F977" t="s">
        <v>17</v>
      </c>
      <c r="G977" t="s">
        <v>731</v>
      </c>
      <c r="H977" t="s">
        <v>2721</v>
      </c>
      <c r="I977" t="s">
        <v>19</v>
      </c>
      <c r="J977" t="s">
        <v>2424</v>
      </c>
      <c r="K977" t="s">
        <v>108</v>
      </c>
      <c r="L977">
        <v>19134</v>
      </c>
      <c r="M977" t="s">
        <v>938</v>
      </c>
      <c r="N977" t="s">
        <v>54</v>
      </c>
      <c r="O977" t="s">
        <v>55</v>
      </c>
      <c r="P977" t="s">
        <v>939</v>
      </c>
      <c r="Q977">
        <f>_xlfn.XLOOKUP(Table3[[#This Row],[Product Name]],Sales!A:A,Sales!B:B)</f>
        <v>82.8</v>
      </c>
      <c r="R977">
        <f>_xlfn.XLOOKUP(Table3[[#This Row],[Product Name]],Sales!A:A,Sales!C:C)</f>
        <v>2</v>
      </c>
      <c r="S977">
        <f>_xlfn.XLOOKUP(Table3[[#This Row],[Product Name]],Sales!A:A,Sales!D:D)</f>
        <v>0.4</v>
      </c>
      <c r="T977">
        <f>_xlfn.XLOOKUP(Table3[[#This Row],[Product Name]],Sales!A:A,Sales!E:E)</f>
        <v>-20.7</v>
      </c>
    </row>
    <row r="978" spans="1:20" x14ac:dyDescent="0.3">
      <c r="A978">
        <v>973</v>
      </c>
      <c r="B978" t="s">
        <v>2359</v>
      </c>
      <c r="C978">
        <v>16</v>
      </c>
      <c r="D978">
        <v>1</v>
      </c>
      <c r="E978">
        <v>2018</v>
      </c>
      <c r="F978" t="s">
        <v>17</v>
      </c>
      <c r="G978" t="s">
        <v>731</v>
      </c>
      <c r="H978" t="s">
        <v>2721</v>
      </c>
      <c r="I978" t="s">
        <v>19</v>
      </c>
      <c r="J978" t="s">
        <v>2424</v>
      </c>
      <c r="K978" t="s">
        <v>108</v>
      </c>
      <c r="L978">
        <v>19134</v>
      </c>
      <c r="M978" t="s">
        <v>1801</v>
      </c>
      <c r="N978" t="s">
        <v>33</v>
      </c>
      <c r="O978" t="s">
        <v>58</v>
      </c>
      <c r="P978" t="s">
        <v>1802</v>
      </c>
      <c r="Q978">
        <f>_xlfn.XLOOKUP(Table3[[#This Row],[Product Name]],Sales!A:A,Sales!B:B)</f>
        <v>18.588000000000001</v>
      </c>
      <c r="R978">
        <f>_xlfn.XLOOKUP(Table3[[#This Row],[Product Name]],Sales!A:A,Sales!C:C)</f>
        <v>2</v>
      </c>
      <c r="S978">
        <f>_xlfn.XLOOKUP(Table3[[#This Row],[Product Name]],Sales!A:A,Sales!D:D)</f>
        <v>0.7</v>
      </c>
      <c r="T978">
        <f>_xlfn.XLOOKUP(Table3[[#This Row],[Product Name]],Sales!A:A,Sales!E:E)</f>
        <v>-13.6312</v>
      </c>
    </row>
    <row r="979" spans="1:20" x14ac:dyDescent="0.3">
      <c r="A979">
        <v>974</v>
      </c>
      <c r="B979" t="s">
        <v>2359</v>
      </c>
      <c r="C979">
        <v>16</v>
      </c>
      <c r="D979">
        <v>1</v>
      </c>
      <c r="E979">
        <v>2018</v>
      </c>
      <c r="F979" t="s">
        <v>17</v>
      </c>
      <c r="G979" t="s">
        <v>731</v>
      </c>
      <c r="H979" t="s">
        <v>2721</v>
      </c>
      <c r="I979" t="s">
        <v>19</v>
      </c>
      <c r="J979" t="s">
        <v>2424</v>
      </c>
      <c r="K979" t="s">
        <v>108</v>
      </c>
      <c r="L979">
        <v>19134</v>
      </c>
      <c r="M979" t="s">
        <v>932</v>
      </c>
      <c r="N979" t="s">
        <v>33</v>
      </c>
      <c r="O979" t="s">
        <v>34</v>
      </c>
      <c r="P979" t="s">
        <v>933</v>
      </c>
      <c r="Q979">
        <f>_xlfn.XLOOKUP(Table3[[#This Row],[Product Name]],Sales!A:A,Sales!B:B)</f>
        <v>100.24</v>
      </c>
      <c r="R979">
        <f>_xlfn.XLOOKUP(Table3[[#This Row],[Product Name]],Sales!A:A,Sales!C:C)</f>
        <v>10</v>
      </c>
      <c r="S979">
        <f>_xlfn.XLOOKUP(Table3[[#This Row],[Product Name]],Sales!A:A,Sales!D:D)</f>
        <v>0.2</v>
      </c>
      <c r="T979">
        <f>_xlfn.XLOOKUP(Table3[[#This Row],[Product Name]],Sales!A:A,Sales!E:E)</f>
        <v>33.831000000000003</v>
      </c>
    </row>
    <row r="980" spans="1:20" x14ac:dyDescent="0.3">
      <c r="A980">
        <v>975</v>
      </c>
      <c r="B980" t="s">
        <v>2362</v>
      </c>
      <c r="C980">
        <v>5</v>
      </c>
      <c r="D980">
        <v>10</v>
      </c>
      <c r="E980">
        <v>2021</v>
      </c>
      <c r="F980" t="s">
        <v>17</v>
      </c>
      <c r="G980" t="s">
        <v>1886</v>
      </c>
      <c r="H980" t="s">
        <v>2895</v>
      </c>
      <c r="I980" t="s">
        <v>78</v>
      </c>
      <c r="J980" t="s">
        <v>2434</v>
      </c>
      <c r="K980" t="s">
        <v>108</v>
      </c>
      <c r="L980">
        <v>10011</v>
      </c>
      <c r="M980" t="s">
        <v>1412</v>
      </c>
      <c r="N980" t="s">
        <v>54</v>
      </c>
      <c r="O980" t="s">
        <v>55</v>
      </c>
      <c r="P980" t="s">
        <v>1413</v>
      </c>
      <c r="Q980">
        <f>_xlfn.XLOOKUP(Table3[[#This Row],[Product Name]],Sales!A:A,Sales!B:B)</f>
        <v>55.176000000000002</v>
      </c>
      <c r="R980">
        <f>_xlfn.XLOOKUP(Table3[[#This Row],[Product Name]],Sales!A:A,Sales!C:C)</f>
        <v>3</v>
      </c>
      <c r="S980">
        <f>_xlfn.XLOOKUP(Table3[[#This Row],[Product Name]],Sales!A:A,Sales!D:D)</f>
        <v>0.2</v>
      </c>
      <c r="T980">
        <f>_xlfn.XLOOKUP(Table3[[#This Row],[Product Name]],Sales!A:A,Sales!E:E)</f>
        <v>-12.4146</v>
      </c>
    </row>
    <row r="981" spans="1:20" x14ac:dyDescent="0.3">
      <c r="A981">
        <v>976</v>
      </c>
      <c r="B981" t="s">
        <v>2362</v>
      </c>
      <c r="C981">
        <v>5</v>
      </c>
      <c r="D981">
        <v>10</v>
      </c>
      <c r="E981">
        <v>2021</v>
      </c>
      <c r="F981" t="s">
        <v>17</v>
      </c>
      <c r="G981" t="s">
        <v>1886</v>
      </c>
      <c r="H981" t="s">
        <v>2895</v>
      </c>
      <c r="I981" t="s">
        <v>78</v>
      </c>
      <c r="J981" t="s">
        <v>2434</v>
      </c>
      <c r="K981" t="s">
        <v>108</v>
      </c>
      <c r="L981">
        <v>10011</v>
      </c>
      <c r="M981" t="s">
        <v>1090</v>
      </c>
      <c r="N981" t="s">
        <v>33</v>
      </c>
      <c r="O981" t="s">
        <v>58</v>
      </c>
      <c r="P981" t="s">
        <v>1091</v>
      </c>
      <c r="Q981">
        <f>_xlfn.XLOOKUP(Table3[[#This Row],[Product Name]],Sales!A:A,Sales!B:B)</f>
        <v>75.792000000000002</v>
      </c>
      <c r="R981">
        <f>_xlfn.XLOOKUP(Table3[[#This Row],[Product Name]],Sales!A:A,Sales!C:C)</f>
        <v>3</v>
      </c>
      <c r="S981">
        <f>_xlfn.XLOOKUP(Table3[[#This Row],[Product Name]],Sales!A:A,Sales!D:D)</f>
        <v>0.2</v>
      </c>
      <c r="T981">
        <f>_xlfn.XLOOKUP(Table3[[#This Row],[Product Name]],Sales!A:A,Sales!E:E)</f>
        <v>25.579799999999999</v>
      </c>
    </row>
    <row r="982" spans="1:20" x14ac:dyDescent="0.3">
      <c r="A982">
        <v>977</v>
      </c>
      <c r="B982" t="s">
        <v>2363</v>
      </c>
      <c r="C982">
        <v>9</v>
      </c>
      <c r="D982">
        <v>7</v>
      </c>
      <c r="E982">
        <v>2021</v>
      </c>
      <c r="F982" t="s">
        <v>37</v>
      </c>
      <c r="G982" t="s">
        <v>971</v>
      </c>
      <c r="H982" t="s">
        <v>2753</v>
      </c>
      <c r="I982" t="s">
        <v>19</v>
      </c>
      <c r="J982" t="s">
        <v>2446</v>
      </c>
      <c r="K982" t="s">
        <v>31</v>
      </c>
      <c r="L982">
        <v>97206</v>
      </c>
      <c r="M982" t="s">
        <v>2364</v>
      </c>
      <c r="N982" t="s">
        <v>33</v>
      </c>
      <c r="O982" t="s">
        <v>58</v>
      </c>
      <c r="P982" t="s">
        <v>2365</v>
      </c>
      <c r="Q982">
        <f>_xlfn.XLOOKUP(Table3[[#This Row],[Product Name]],Sales!A:A,Sales!B:B)</f>
        <v>1.08</v>
      </c>
      <c r="R982">
        <f>_xlfn.XLOOKUP(Table3[[#This Row],[Product Name]],Sales!A:A,Sales!C:C)</f>
        <v>2</v>
      </c>
      <c r="S982">
        <f>_xlfn.XLOOKUP(Table3[[#This Row],[Product Name]],Sales!A:A,Sales!D:D)</f>
        <v>0.7</v>
      </c>
      <c r="T982">
        <f>_xlfn.XLOOKUP(Table3[[#This Row],[Product Name]],Sales!A:A,Sales!E:E)</f>
        <v>-0.79200000000000004</v>
      </c>
    </row>
    <row r="983" spans="1:20" x14ac:dyDescent="0.3">
      <c r="A983">
        <v>978</v>
      </c>
      <c r="B983" t="s">
        <v>2366</v>
      </c>
      <c r="C983">
        <v>7</v>
      </c>
      <c r="D983">
        <v>1</v>
      </c>
      <c r="E983">
        <v>2021</v>
      </c>
      <c r="F983" t="s">
        <v>142</v>
      </c>
      <c r="G983" t="s">
        <v>2037</v>
      </c>
      <c r="H983" t="s">
        <v>2918</v>
      </c>
      <c r="I983" t="s">
        <v>30</v>
      </c>
      <c r="J983" t="s">
        <v>2482</v>
      </c>
      <c r="K983" t="s">
        <v>79</v>
      </c>
      <c r="L983">
        <v>48205</v>
      </c>
      <c r="M983" t="s">
        <v>514</v>
      </c>
      <c r="N983" t="s">
        <v>54</v>
      </c>
      <c r="O983" t="s">
        <v>515</v>
      </c>
      <c r="P983" t="s">
        <v>516</v>
      </c>
      <c r="Q983">
        <f>_xlfn.XLOOKUP(Table3[[#This Row],[Product Name]],Sales!A:A,Sales!B:B)</f>
        <v>8159.9520000000002</v>
      </c>
      <c r="R983">
        <f>_xlfn.XLOOKUP(Table3[[#This Row],[Product Name]],Sales!A:A,Sales!C:C)</f>
        <v>8</v>
      </c>
      <c r="S983">
        <f>_xlfn.XLOOKUP(Table3[[#This Row],[Product Name]],Sales!A:A,Sales!D:D)</f>
        <v>0.4</v>
      </c>
      <c r="T983">
        <f>_xlfn.XLOOKUP(Table3[[#This Row],[Product Name]],Sales!A:A,Sales!E:E)</f>
        <v>-1359.992</v>
      </c>
    </row>
    <row r="984" spans="1:20" x14ac:dyDescent="0.3">
      <c r="A984">
        <v>979</v>
      </c>
      <c r="B984" t="s">
        <v>2367</v>
      </c>
      <c r="C984">
        <v>30</v>
      </c>
      <c r="D984">
        <v>5</v>
      </c>
      <c r="E984">
        <v>2020</v>
      </c>
      <c r="F984" t="s">
        <v>142</v>
      </c>
      <c r="G984" t="s">
        <v>2368</v>
      </c>
      <c r="H984" t="s">
        <v>2965</v>
      </c>
      <c r="I984" t="s">
        <v>19</v>
      </c>
      <c r="J984" t="s">
        <v>2521</v>
      </c>
      <c r="K984" t="s">
        <v>20</v>
      </c>
      <c r="L984">
        <v>28403</v>
      </c>
      <c r="M984" t="s">
        <v>1605</v>
      </c>
      <c r="N984" t="s">
        <v>33</v>
      </c>
      <c r="O984" t="s">
        <v>58</v>
      </c>
      <c r="P984" t="s">
        <v>1606</v>
      </c>
      <c r="Q984">
        <f>_xlfn.XLOOKUP(Table3[[#This Row],[Product Name]],Sales!A:A,Sales!B:B)</f>
        <v>3.282</v>
      </c>
      <c r="R984">
        <f>_xlfn.XLOOKUP(Table3[[#This Row],[Product Name]],Sales!A:A,Sales!C:C)</f>
        <v>2</v>
      </c>
      <c r="S984">
        <f>_xlfn.XLOOKUP(Table3[[#This Row],[Product Name]],Sales!A:A,Sales!D:D)</f>
        <v>0.7</v>
      </c>
      <c r="T984">
        <f>_xlfn.XLOOKUP(Table3[[#This Row],[Product Name]],Sales!A:A,Sales!E:E)</f>
        <v>-2.6255999999999999</v>
      </c>
    </row>
    <row r="985" spans="1:20" x14ac:dyDescent="0.3">
      <c r="A985">
        <v>980</v>
      </c>
      <c r="B985" t="s">
        <v>2369</v>
      </c>
      <c r="C985">
        <v>9</v>
      </c>
      <c r="D985">
        <v>12</v>
      </c>
      <c r="E985">
        <v>2019</v>
      </c>
      <c r="F985" t="s">
        <v>142</v>
      </c>
      <c r="G985" t="s">
        <v>257</v>
      </c>
      <c r="H985" t="s">
        <v>2642</v>
      </c>
      <c r="I985" t="s">
        <v>30</v>
      </c>
      <c r="J985" t="s">
        <v>2531</v>
      </c>
      <c r="K985" t="s">
        <v>79</v>
      </c>
      <c r="L985">
        <v>47201</v>
      </c>
      <c r="M985" t="s">
        <v>2370</v>
      </c>
      <c r="N985" t="s">
        <v>33</v>
      </c>
      <c r="O985" t="s">
        <v>70</v>
      </c>
      <c r="P985" t="s">
        <v>2371</v>
      </c>
      <c r="Q985">
        <f>_xlfn.XLOOKUP(Table3[[#This Row],[Product Name]],Sales!A:A,Sales!B:B)</f>
        <v>34.020000000000003</v>
      </c>
      <c r="R985">
        <f>_xlfn.XLOOKUP(Table3[[#This Row],[Product Name]],Sales!A:A,Sales!C:C)</f>
        <v>3</v>
      </c>
      <c r="S985">
        <f>_xlfn.XLOOKUP(Table3[[#This Row],[Product Name]],Sales!A:A,Sales!D:D)</f>
        <v>0</v>
      </c>
      <c r="T985">
        <f>_xlfn.XLOOKUP(Table3[[#This Row],[Product Name]],Sales!A:A,Sales!E:E)</f>
        <v>16.669799999999999</v>
      </c>
    </row>
    <row r="986" spans="1:20" x14ac:dyDescent="0.3">
      <c r="A986">
        <v>981</v>
      </c>
      <c r="B986" t="s">
        <v>2372</v>
      </c>
      <c r="C986">
        <v>3</v>
      </c>
      <c r="D986">
        <v>10</v>
      </c>
      <c r="E986">
        <v>2020</v>
      </c>
      <c r="F986" t="s">
        <v>37</v>
      </c>
      <c r="G986" t="s">
        <v>112</v>
      </c>
      <c r="H986" t="s">
        <v>2621</v>
      </c>
      <c r="I986" t="s">
        <v>19</v>
      </c>
      <c r="J986" t="s">
        <v>2434</v>
      </c>
      <c r="K986" t="s">
        <v>108</v>
      </c>
      <c r="L986">
        <v>10035</v>
      </c>
      <c r="M986" t="s">
        <v>1985</v>
      </c>
      <c r="N986" t="s">
        <v>22</v>
      </c>
      <c r="O986" t="s">
        <v>26</v>
      </c>
      <c r="P986" t="s">
        <v>1986</v>
      </c>
      <c r="Q986">
        <f>_xlfn.XLOOKUP(Table3[[#This Row],[Product Name]],Sales!A:A,Sales!B:B)</f>
        <v>332.94</v>
      </c>
      <c r="R986">
        <f>_xlfn.XLOOKUP(Table3[[#This Row],[Product Name]],Sales!A:A,Sales!C:C)</f>
        <v>3</v>
      </c>
      <c r="S986">
        <f>_xlfn.XLOOKUP(Table3[[#This Row],[Product Name]],Sales!A:A,Sales!D:D)</f>
        <v>0</v>
      </c>
      <c r="T986">
        <f>_xlfn.XLOOKUP(Table3[[#This Row],[Product Name]],Sales!A:A,Sales!E:E)</f>
        <v>79.905600000000007</v>
      </c>
    </row>
    <row r="987" spans="1:20" x14ac:dyDescent="0.3">
      <c r="A987">
        <v>982</v>
      </c>
      <c r="B987" t="s">
        <v>2373</v>
      </c>
      <c r="C987">
        <v>11</v>
      </c>
      <c r="D987">
        <v>11</v>
      </c>
      <c r="E987">
        <v>2018</v>
      </c>
      <c r="F987" t="s">
        <v>17</v>
      </c>
      <c r="G987" t="s">
        <v>2374</v>
      </c>
      <c r="H987" t="s">
        <v>2966</v>
      </c>
      <c r="I987" t="s">
        <v>19</v>
      </c>
      <c r="J987" t="s">
        <v>2524</v>
      </c>
      <c r="K987" t="s">
        <v>31</v>
      </c>
      <c r="L987">
        <v>80027</v>
      </c>
      <c r="M987" t="s">
        <v>2375</v>
      </c>
      <c r="N987" t="s">
        <v>33</v>
      </c>
      <c r="O987" t="s">
        <v>51</v>
      </c>
      <c r="P987" t="s">
        <v>2376</v>
      </c>
      <c r="Q987">
        <f>_xlfn.XLOOKUP(Table3[[#This Row],[Product Name]],Sales!A:A,Sales!B:B)</f>
        <v>3.3919999999999999</v>
      </c>
      <c r="R987">
        <f>_xlfn.XLOOKUP(Table3[[#This Row],[Product Name]],Sales!A:A,Sales!C:C)</f>
        <v>1</v>
      </c>
      <c r="S987">
        <f>_xlfn.XLOOKUP(Table3[[#This Row],[Product Name]],Sales!A:A,Sales!D:D)</f>
        <v>0.2</v>
      </c>
      <c r="T987">
        <f>_xlfn.XLOOKUP(Table3[[#This Row],[Product Name]],Sales!A:A,Sales!E:E)</f>
        <v>0.80559999999999998</v>
      </c>
    </row>
    <row r="988" spans="1:20" x14ac:dyDescent="0.3">
      <c r="A988">
        <v>983</v>
      </c>
      <c r="B988" t="s">
        <v>2373</v>
      </c>
      <c r="C988">
        <v>11</v>
      </c>
      <c r="D988">
        <v>11</v>
      </c>
      <c r="E988">
        <v>2018</v>
      </c>
      <c r="F988" t="s">
        <v>17</v>
      </c>
      <c r="G988" t="s">
        <v>2374</v>
      </c>
      <c r="H988" t="s">
        <v>2966</v>
      </c>
      <c r="I988" t="s">
        <v>19</v>
      </c>
      <c r="J988" t="s">
        <v>2524</v>
      </c>
      <c r="K988" t="s">
        <v>31</v>
      </c>
      <c r="L988">
        <v>80027</v>
      </c>
      <c r="M988" t="s">
        <v>2377</v>
      </c>
      <c r="N988" t="s">
        <v>54</v>
      </c>
      <c r="O988" t="s">
        <v>55</v>
      </c>
      <c r="P988" t="s">
        <v>2378</v>
      </c>
      <c r="Q988">
        <f>_xlfn.XLOOKUP(Table3[[#This Row],[Product Name]],Sales!A:A,Sales!B:B)</f>
        <v>559.98400000000004</v>
      </c>
      <c r="R988">
        <f>_xlfn.XLOOKUP(Table3[[#This Row],[Product Name]],Sales!A:A,Sales!C:C)</f>
        <v>2</v>
      </c>
      <c r="S988">
        <f>_xlfn.XLOOKUP(Table3[[#This Row],[Product Name]],Sales!A:A,Sales!D:D)</f>
        <v>0.2</v>
      </c>
      <c r="T988">
        <f>_xlfn.XLOOKUP(Table3[[#This Row],[Product Name]],Sales!A:A,Sales!E:E)</f>
        <v>55.998399999999997</v>
      </c>
    </row>
    <row r="989" spans="1:20" x14ac:dyDescent="0.3">
      <c r="A989">
        <v>984</v>
      </c>
      <c r="B989" t="s">
        <v>2373</v>
      </c>
      <c r="C989">
        <v>11</v>
      </c>
      <c r="D989">
        <v>11</v>
      </c>
      <c r="E989">
        <v>2018</v>
      </c>
      <c r="F989" t="s">
        <v>17</v>
      </c>
      <c r="G989" t="s">
        <v>2374</v>
      </c>
      <c r="H989" t="s">
        <v>2966</v>
      </c>
      <c r="I989" t="s">
        <v>19</v>
      </c>
      <c r="J989" t="s">
        <v>2524</v>
      </c>
      <c r="K989" t="s">
        <v>31</v>
      </c>
      <c r="L989">
        <v>80027</v>
      </c>
      <c r="M989" t="s">
        <v>2066</v>
      </c>
      <c r="N989" t="s">
        <v>22</v>
      </c>
      <c r="O989" t="s">
        <v>26</v>
      </c>
      <c r="P989" t="s">
        <v>2067</v>
      </c>
      <c r="Q989">
        <f>_xlfn.XLOOKUP(Table3[[#This Row],[Product Name]],Sales!A:A,Sales!B:B)</f>
        <v>301.95999999999998</v>
      </c>
      <c r="R989">
        <f>_xlfn.XLOOKUP(Table3[[#This Row],[Product Name]],Sales!A:A,Sales!C:C)</f>
        <v>2</v>
      </c>
      <c r="S989">
        <f>_xlfn.XLOOKUP(Table3[[#This Row],[Product Name]],Sales!A:A,Sales!D:D)</f>
        <v>0</v>
      </c>
      <c r="T989">
        <f>_xlfn.XLOOKUP(Table3[[#This Row],[Product Name]],Sales!A:A,Sales!E:E)</f>
        <v>90.587999999999994</v>
      </c>
    </row>
    <row r="990" spans="1:20" x14ac:dyDescent="0.3">
      <c r="A990">
        <v>985</v>
      </c>
      <c r="B990" t="s">
        <v>2379</v>
      </c>
      <c r="C990">
        <v>29</v>
      </c>
      <c r="D990">
        <v>9</v>
      </c>
      <c r="E990">
        <v>2021</v>
      </c>
      <c r="F990" t="s">
        <v>37</v>
      </c>
      <c r="G990" t="s">
        <v>2380</v>
      </c>
      <c r="H990" t="s">
        <v>2967</v>
      </c>
      <c r="I990" t="s">
        <v>78</v>
      </c>
      <c r="J990" t="s">
        <v>2488</v>
      </c>
      <c r="K990" t="s">
        <v>79</v>
      </c>
      <c r="L990">
        <v>77506</v>
      </c>
      <c r="M990" t="s">
        <v>1993</v>
      </c>
      <c r="N990" t="s">
        <v>33</v>
      </c>
      <c r="O990" t="s">
        <v>34</v>
      </c>
      <c r="P990" t="s">
        <v>1994</v>
      </c>
      <c r="Q990">
        <f>_xlfn.XLOOKUP(Table3[[#This Row],[Product Name]],Sales!A:A,Sales!B:B)</f>
        <v>9.9600000000000009</v>
      </c>
      <c r="R990">
        <f>_xlfn.XLOOKUP(Table3[[#This Row],[Product Name]],Sales!A:A,Sales!C:C)</f>
        <v>2</v>
      </c>
      <c r="S990">
        <f>_xlfn.XLOOKUP(Table3[[#This Row],[Product Name]],Sales!A:A,Sales!D:D)</f>
        <v>0</v>
      </c>
      <c r="T990">
        <f>_xlfn.XLOOKUP(Table3[[#This Row],[Product Name]],Sales!A:A,Sales!E:E)</f>
        <v>4.5815999999999999</v>
      </c>
    </row>
    <row r="991" spans="1:20" x14ac:dyDescent="0.3">
      <c r="A991">
        <v>986</v>
      </c>
      <c r="B991" t="s">
        <v>2379</v>
      </c>
      <c r="C991">
        <v>29</v>
      </c>
      <c r="D991">
        <v>9</v>
      </c>
      <c r="E991">
        <v>2021</v>
      </c>
      <c r="F991" t="s">
        <v>37</v>
      </c>
      <c r="G991" t="s">
        <v>2380</v>
      </c>
      <c r="H991" t="s">
        <v>2967</v>
      </c>
      <c r="I991" t="s">
        <v>78</v>
      </c>
      <c r="J991" t="s">
        <v>2488</v>
      </c>
      <c r="K991" t="s">
        <v>79</v>
      </c>
      <c r="L991">
        <v>77506</v>
      </c>
      <c r="M991" t="s">
        <v>2381</v>
      </c>
      <c r="N991" t="s">
        <v>33</v>
      </c>
      <c r="O991" t="s">
        <v>129</v>
      </c>
      <c r="P991" t="s">
        <v>2382</v>
      </c>
      <c r="Q991">
        <f>_xlfn.XLOOKUP(Table3[[#This Row],[Product Name]],Sales!A:A,Sales!B:B)</f>
        <v>27.968</v>
      </c>
      <c r="R991">
        <f>_xlfn.XLOOKUP(Table3[[#This Row],[Product Name]],Sales!A:A,Sales!C:C)</f>
        <v>4</v>
      </c>
      <c r="S991">
        <f>_xlfn.XLOOKUP(Table3[[#This Row],[Product Name]],Sales!A:A,Sales!D:D)</f>
        <v>0.2</v>
      </c>
      <c r="T991">
        <f>_xlfn.XLOOKUP(Table3[[#This Row],[Product Name]],Sales!A:A,Sales!E:E)</f>
        <v>9.4391999999999996</v>
      </c>
    </row>
    <row r="992" spans="1:20" x14ac:dyDescent="0.3">
      <c r="A992">
        <v>987</v>
      </c>
      <c r="B992" t="s">
        <v>2379</v>
      </c>
      <c r="C992">
        <v>29</v>
      </c>
      <c r="D992">
        <v>9</v>
      </c>
      <c r="E992">
        <v>2021</v>
      </c>
      <c r="F992" t="s">
        <v>37</v>
      </c>
      <c r="G992" t="s">
        <v>2380</v>
      </c>
      <c r="H992" t="s">
        <v>2967</v>
      </c>
      <c r="I992" t="s">
        <v>78</v>
      </c>
      <c r="J992" t="s">
        <v>2488</v>
      </c>
      <c r="K992" t="s">
        <v>79</v>
      </c>
      <c r="L992">
        <v>77506</v>
      </c>
      <c r="M992" t="s">
        <v>2383</v>
      </c>
      <c r="N992" t="s">
        <v>54</v>
      </c>
      <c r="O992" t="s">
        <v>515</v>
      </c>
      <c r="P992" t="s">
        <v>2384</v>
      </c>
      <c r="Q992">
        <f>_xlfn.XLOOKUP(Table3[[#This Row],[Product Name]],Sales!A:A,Sales!B:B)</f>
        <v>336.51</v>
      </c>
      <c r="R992">
        <f>_xlfn.XLOOKUP(Table3[[#This Row],[Product Name]],Sales!A:A,Sales!C:C)</f>
        <v>3</v>
      </c>
      <c r="S992">
        <f>_xlfn.XLOOKUP(Table3[[#This Row],[Product Name]],Sales!A:A,Sales!D:D)</f>
        <v>0.4</v>
      </c>
      <c r="T992">
        <f>_xlfn.XLOOKUP(Table3[[#This Row],[Product Name]],Sales!A:A,Sales!E:E)</f>
        <v>44.868000000000002</v>
      </c>
    </row>
    <row r="993" spans="1:20" x14ac:dyDescent="0.3">
      <c r="A993">
        <v>988</v>
      </c>
      <c r="B993" t="s">
        <v>2385</v>
      </c>
      <c r="C993">
        <v>10</v>
      </c>
      <c r="D993">
        <v>3</v>
      </c>
      <c r="E993">
        <v>2019</v>
      </c>
      <c r="F993" t="s">
        <v>1010</v>
      </c>
      <c r="G993" t="s">
        <v>2386</v>
      </c>
      <c r="H993" t="s">
        <v>2968</v>
      </c>
      <c r="I993" t="s">
        <v>19</v>
      </c>
      <c r="J993" t="s">
        <v>2426</v>
      </c>
      <c r="K993" t="s">
        <v>79</v>
      </c>
      <c r="L993">
        <v>77041</v>
      </c>
      <c r="M993" t="s">
        <v>2387</v>
      </c>
      <c r="N993" t="s">
        <v>33</v>
      </c>
      <c r="O993" t="s">
        <v>58</v>
      </c>
      <c r="P993" t="s">
        <v>2388</v>
      </c>
      <c r="Q993">
        <f>_xlfn.XLOOKUP(Table3[[#This Row],[Product Name]],Sales!A:A,Sales!B:B)</f>
        <v>1.1120000000000001</v>
      </c>
      <c r="R993">
        <f>_xlfn.XLOOKUP(Table3[[#This Row],[Product Name]],Sales!A:A,Sales!C:C)</f>
        <v>2</v>
      </c>
      <c r="S993">
        <f>_xlfn.XLOOKUP(Table3[[#This Row],[Product Name]],Sales!A:A,Sales!D:D)</f>
        <v>0.8</v>
      </c>
      <c r="T993">
        <f>_xlfn.XLOOKUP(Table3[[#This Row],[Product Name]],Sales!A:A,Sales!E:E)</f>
        <v>-1.8904000000000001</v>
      </c>
    </row>
    <row r="994" spans="1:20" x14ac:dyDescent="0.3">
      <c r="A994">
        <v>989</v>
      </c>
      <c r="B994" t="s">
        <v>2389</v>
      </c>
      <c r="C994">
        <v>21</v>
      </c>
      <c r="D994">
        <v>5</v>
      </c>
      <c r="E994">
        <v>2021</v>
      </c>
      <c r="F994" t="s">
        <v>37</v>
      </c>
      <c r="G994" t="s">
        <v>1303</v>
      </c>
      <c r="H994" t="s">
        <v>2799</v>
      </c>
      <c r="I994" t="s">
        <v>30</v>
      </c>
      <c r="J994" t="s">
        <v>2532</v>
      </c>
      <c r="K994" t="s">
        <v>108</v>
      </c>
      <c r="L994">
        <v>13021</v>
      </c>
      <c r="M994" t="s">
        <v>1783</v>
      </c>
      <c r="N994" t="s">
        <v>22</v>
      </c>
      <c r="O994" t="s">
        <v>48</v>
      </c>
      <c r="P994" t="s">
        <v>1784</v>
      </c>
      <c r="Q994">
        <f>_xlfn.XLOOKUP(Table3[[#This Row],[Product Name]],Sales!A:A,Sales!B:B)</f>
        <v>104.01</v>
      </c>
      <c r="R994">
        <f>_xlfn.XLOOKUP(Table3[[#This Row],[Product Name]],Sales!A:A,Sales!C:C)</f>
        <v>1</v>
      </c>
      <c r="S994">
        <f>_xlfn.XLOOKUP(Table3[[#This Row],[Product Name]],Sales!A:A,Sales!D:D)</f>
        <v>0</v>
      </c>
      <c r="T994">
        <f>_xlfn.XLOOKUP(Table3[[#This Row],[Product Name]],Sales!A:A,Sales!E:E)</f>
        <v>14.561400000000001</v>
      </c>
    </row>
    <row r="995" spans="1:20" x14ac:dyDescent="0.3">
      <c r="A995">
        <v>990</v>
      </c>
      <c r="B995" t="s">
        <v>2389</v>
      </c>
      <c r="C995">
        <v>21</v>
      </c>
      <c r="D995">
        <v>5</v>
      </c>
      <c r="E995">
        <v>2021</v>
      </c>
      <c r="F995" t="s">
        <v>37</v>
      </c>
      <c r="G995" t="s">
        <v>1303</v>
      </c>
      <c r="H995" t="s">
        <v>2799</v>
      </c>
      <c r="I995" t="s">
        <v>30</v>
      </c>
      <c r="J995" t="s">
        <v>2532</v>
      </c>
      <c r="K995" t="s">
        <v>108</v>
      </c>
      <c r="L995">
        <v>13021</v>
      </c>
      <c r="M995" t="s">
        <v>2390</v>
      </c>
      <c r="N995" t="s">
        <v>33</v>
      </c>
      <c r="O995" t="s">
        <v>51</v>
      </c>
      <c r="P995" t="s">
        <v>2391</v>
      </c>
      <c r="Q995">
        <f>_xlfn.XLOOKUP(Table3[[#This Row],[Product Name]],Sales!A:A,Sales!B:B)</f>
        <v>17.97</v>
      </c>
      <c r="R995">
        <f>_xlfn.XLOOKUP(Table3[[#This Row],[Product Name]],Sales!A:A,Sales!C:C)</f>
        <v>3</v>
      </c>
      <c r="S995">
        <f>_xlfn.XLOOKUP(Table3[[#This Row],[Product Name]],Sales!A:A,Sales!D:D)</f>
        <v>0</v>
      </c>
      <c r="T995">
        <f>_xlfn.XLOOKUP(Table3[[#This Row],[Product Name]],Sales!A:A,Sales!E:E)</f>
        <v>5.2112999999999996</v>
      </c>
    </row>
    <row r="996" spans="1:20" x14ac:dyDescent="0.3">
      <c r="A996">
        <v>991</v>
      </c>
      <c r="B996" t="s">
        <v>2392</v>
      </c>
      <c r="C996">
        <v>29</v>
      </c>
      <c r="D996">
        <v>3</v>
      </c>
      <c r="E996">
        <v>2019</v>
      </c>
      <c r="F996" t="s">
        <v>17</v>
      </c>
      <c r="G996" t="s">
        <v>2393</v>
      </c>
      <c r="H996" t="s">
        <v>2969</v>
      </c>
      <c r="I996" t="s">
        <v>78</v>
      </c>
      <c r="J996" t="s">
        <v>2530</v>
      </c>
      <c r="K996" t="s">
        <v>20</v>
      </c>
      <c r="L996">
        <v>32216</v>
      </c>
      <c r="M996" t="s">
        <v>884</v>
      </c>
      <c r="N996" t="s">
        <v>22</v>
      </c>
      <c r="O996" t="s">
        <v>26</v>
      </c>
      <c r="P996" t="s">
        <v>885</v>
      </c>
      <c r="Q996">
        <f>_xlfn.XLOOKUP(Table3[[#This Row],[Product Name]],Sales!A:A,Sales!B:B)</f>
        <v>466.76799999999997</v>
      </c>
      <c r="R996">
        <f>_xlfn.XLOOKUP(Table3[[#This Row],[Product Name]],Sales!A:A,Sales!C:C)</f>
        <v>2</v>
      </c>
      <c r="S996">
        <f>_xlfn.XLOOKUP(Table3[[#This Row],[Product Name]],Sales!A:A,Sales!D:D)</f>
        <v>0.2</v>
      </c>
      <c r="T996">
        <f>_xlfn.XLOOKUP(Table3[[#This Row],[Product Name]],Sales!A:A,Sales!E:E)</f>
        <v>52.511400000000002</v>
      </c>
    </row>
    <row r="997" spans="1:20" x14ac:dyDescent="0.3">
      <c r="A997">
        <v>992</v>
      </c>
      <c r="B997" t="s">
        <v>2394</v>
      </c>
      <c r="C997">
        <v>9</v>
      </c>
      <c r="D997">
        <v>9</v>
      </c>
      <c r="E997">
        <v>2020</v>
      </c>
      <c r="F997" t="s">
        <v>142</v>
      </c>
      <c r="G997" t="s">
        <v>407</v>
      </c>
      <c r="H997" t="s">
        <v>2669</v>
      </c>
      <c r="I997" t="s">
        <v>19</v>
      </c>
      <c r="J997" t="s">
        <v>2434</v>
      </c>
      <c r="K997" t="s">
        <v>108</v>
      </c>
      <c r="L997">
        <v>10024</v>
      </c>
      <c r="M997" t="s">
        <v>1949</v>
      </c>
      <c r="N997" t="s">
        <v>33</v>
      </c>
      <c r="O997" t="s">
        <v>58</v>
      </c>
      <c r="P997" t="s">
        <v>1950</v>
      </c>
      <c r="Q997">
        <f>_xlfn.XLOOKUP(Table3[[#This Row],[Product Name]],Sales!A:A,Sales!B:B)</f>
        <v>18.28</v>
      </c>
      <c r="R997">
        <f>_xlfn.XLOOKUP(Table3[[#This Row],[Product Name]],Sales!A:A,Sales!C:C)</f>
        <v>2</v>
      </c>
      <c r="S997">
        <f>_xlfn.XLOOKUP(Table3[[#This Row],[Product Name]],Sales!A:A,Sales!D:D)</f>
        <v>0</v>
      </c>
      <c r="T997">
        <f>_xlfn.XLOOKUP(Table3[[#This Row],[Product Name]],Sales!A:A,Sales!E:E)</f>
        <v>9.14</v>
      </c>
    </row>
    <row r="998" spans="1:20" x14ac:dyDescent="0.3">
      <c r="A998">
        <v>993</v>
      </c>
      <c r="B998" t="s">
        <v>2395</v>
      </c>
      <c r="C998">
        <v>26</v>
      </c>
      <c r="D998">
        <v>8</v>
      </c>
      <c r="E998">
        <v>2020</v>
      </c>
      <c r="F998" t="s">
        <v>142</v>
      </c>
      <c r="G998" t="s">
        <v>1903</v>
      </c>
      <c r="H998" t="s">
        <v>2898</v>
      </c>
      <c r="I998" t="s">
        <v>19</v>
      </c>
      <c r="J998" t="s">
        <v>2463</v>
      </c>
      <c r="K998" t="s">
        <v>31</v>
      </c>
      <c r="L998">
        <v>95123</v>
      </c>
      <c r="M998" t="s">
        <v>829</v>
      </c>
      <c r="N998" t="s">
        <v>33</v>
      </c>
      <c r="O998" t="s">
        <v>199</v>
      </c>
      <c r="P998" t="s">
        <v>830</v>
      </c>
      <c r="Q998">
        <f>_xlfn.XLOOKUP(Table3[[#This Row],[Product Name]],Sales!A:A,Sales!B:B)</f>
        <v>19.096</v>
      </c>
      <c r="R998">
        <f>_xlfn.XLOOKUP(Table3[[#This Row],[Product Name]],Sales!A:A,Sales!C:C)</f>
        <v>7</v>
      </c>
      <c r="S998">
        <f>_xlfn.XLOOKUP(Table3[[#This Row],[Product Name]],Sales!A:A,Sales!D:D)</f>
        <v>0.2</v>
      </c>
      <c r="T998">
        <f>_xlfn.XLOOKUP(Table3[[#This Row],[Product Name]],Sales!A:A,Sales!E:E)</f>
        <v>6.6836000000000002</v>
      </c>
    </row>
    <row r="999" spans="1:20" x14ac:dyDescent="0.3">
      <c r="A999">
        <v>994</v>
      </c>
      <c r="B999" t="s">
        <v>2395</v>
      </c>
      <c r="C999">
        <v>26</v>
      </c>
      <c r="D999">
        <v>8</v>
      </c>
      <c r="E999">
        <v>2020</v>
      </c>
      <c r="F999" t="s">
        <v>142</v>
      </c>
      <c r="G999" t="s">
        <v>1903</v>
      </c>
      <c r="H999" t="s">
        <v>2898</v>
      </c>
      <c r="I999" t="s">
        <v>19</v>
      </c>
      <c r="J999" t="s">
        <v>2463</v>
      </c>
      <c r="K999" t="s">
        <v>31</v>
      </c>
      <c r="L999">
        <v>95123</v>
      </c>
      <c r="M999" t="s">
        <v>2396</v>
      </c>
      <c r="N999" t="s">
        <v>33</v>
      </c>
      <c r="O999" t="s">
        <v>70</v>
      </c>
      <c r="P999" t="s">
        <v>2397</v>
      </c>
      <c r="Q999">
        <f>_xlfn.XLOOKUP(Table3[[#This Row],[Product Name]],Sales!A:A,Sales!B:B)</f>
        <v>154.9</v>
      </c>
      <c r="R999">
        <f>_xlfn.XLOOKUP(Table3[[#This Row],[Product Name]],Sales!A:A,Sales!C:C)</f>
        <v>5</v>
      </c>
      <c r="S999">
        <f>_xlfn.XLOOKUP(Table3[[#This Row],[Product Name]],Sales!A:A,Sales!D:D)</f>
        <v>0</v>
      </c>
      <c r="T999">
        <f>_xlfn.XLOOKUP(Table3[[#This Row],[Product Name]],Sales!A:A,Sales!E:E)</f>
        <v>69.704999999999998</v>
      </c>
    </row>
    <row r="1000" spans="1:20" x14ac:dyDescent="0.3">
      <c r="A1000">
        <v>995</v>
      </c>
      <c r="B1000" t="s">
        <v>2398</v>
      </c>
      <c r="C1000">
        <v>21</v>
      </c>
      <c r="D1000">
        <v>5</v>
      </c>
      <c r="E1000">
        <v>2018</v>
      </c>
      <c r="F1000" t="s">
        <v>37</v>
      </c>
      <c r="G1000" t="s">
        <v>2399</v>
      </c>
      <c r="H1000" t="s">
        <v>2970</v>
      </c>
      <c r="I1000" t="s">
        <v>30</v>
      </c>
      <c r="J1000" t="s">
        <v>2608</v>
      </c>
      <c r="K1000" t="s">
        <v>20</v>
      </c>
      <c r="L1000">
        <v>23464</v>
      </c>
      <c r="M1000" t="s">
        <v>2400</v>
      </c>
      <c r="N1000" t="s">
        <v>33</v>
      </c>
      <c r="O1000" t="s">
        <v>58</v>
      </c>
      <c r="P1000" t="s">
        <v>2401</v>
      </c>
      <c r="Q1000">
        <f>_xlfn.XLOOKUP(Table3[[#This Row],[Product Name]],Sales!A:A,Sales!B:B)</f>
        <v>2715.93</v>
      </c>
      <c r="R1000">
        <f>_xlfn.XLOOKUP(Table3[[#This Row],[Product Name]],Sales!A:A,Sales!C:C)</f>
        <v>7</v>
      </c>
      <c r="S1000">
        <f>_xlfn.XLOOKUP(Table3[[#This Row],[Product Name]],Sales!A:A,Sales!D:D)</f>
        <v>0</v>
      </c>
      <c r="T1000">
        <f>_xlfn.XLOOKUP(Table3[[#This Row],[Product Name]],Sales!A:A,Sales!E:E)</f>
        <v>1276.4871000000001</v>
      </c>
    </row>
    <row r="1001" spans="1:20" x14ac:dyDescent="0.3">
      <c r="A1001">
        <v>996</v>
      </c>
      <c r="B1001" t="s">
        <v>2398</v>
      </c>
      <c r="C1001">
        <v>21</v>
      </c>
      <c r="D1001">
        <v>5</v>
      </c>
      <c r="E1001">
        <v>2018</v>
      </c>
      <c r="F1001" t="s">
        <v>37</v>
      </c>
      <c r="G1001" t="s">
        <v>2399</v>
      </c>
      <c r="H1001" t="s">
        <v>2970</v>
      </c>
      <c r="I1001" t="s">
        <v>30</v>
      </c>
      <c r="J1001" t="s">
        <v>2608</v>
      </c>
      <c r="K1001" t="s">
        <v>20</v>
      </c>
      <c r="L1001">
        <v>23464</v>
      </c>
      <c r="M1001" t="s">
        <v>1989</v>
      </c>
      <c r="N1001" t="s">
        <v>54</v>
      </c>
      <c r="O1001" t="s">
        <v>55</v>
      </c>
      <c r="P1001" t="s">
        <v>2402</v>
      </c>
      <c r="Q1001">
        <f>_xlfn.XLOOKUP(Table3[[#This Row],[Product Name]],Sales!A:A,Sales!B:B)</f>
        <v>617.97</v>
      </c>
      <c r="R1001">
        <f>_xlfn.XLOOKUP(Table3[[#This Row],[Product Name]],Sales!A:A,Sales!C:C)</f>
        <v>3</v>
      </c>
      <c r="S1001">
        <f>_xlfn.XLOOKUP(Table3[[#This Row],[Product Name]],Sales!A:A,Sales!D:D)</f>
        <v>0</v>
      </c>
      <c r="T1001">
        <f>_xlfn.XLOOKUP(Table3[[#This Row],[Product Name]],Sales!A:A,Sales!E:E)</f>
        <v>173.0316</v>
      </c>
    </row>
    <row r="1002" spans="1:20" x14ac:dyDescent="0.3">
      <c r="A1002">
        <v>997</v>
      </c>
      <c r="B1002" t="s">
        <v>2403</v>
      </c>
      <c r="C1002">
        <v>28</v>
      </c>
      <c r="D1002">
        <v>10</v>
      </c>
      <c r="E1002">
        <v>2019</v>
      </c>
      <c r="F1002" t="s">
        <v>37</v>
      </c>
      <c r="G1002" t="s">
        <v>2404</v>
      </c>
      <c r="H1002" t="s">
        <v>2971</v>
      </c>
      <c r="I1002" t="s">
        <v>19</v>
      </c>
      <c r="J1002" t="s">
        <v>2414</v>
      </c>
      <c r="K1002" t="s">
        <v>20</v>
      </c>
      <c r="L1002">
        <v>42420</v>
      </c>
      <c r="M1002" t="s">
        <v>2405</v>
      </c>
      <c r="N1002" t="s">
        <v>33</v>
      </c>
      <c r="O1002" t="s">
        <v>129</v>
      </c>
      <c r="P1002" t="s">
        <v>2406</v>
      </c>
      <c r="Q1002">
        <f>_xlfn.XLOOKUP(Table3[[#This Row],[Product Name]],Sales!A:A,Sales!B:B)</f>
        <v>10.67</v>
      </c>
      <c r="R1002">
        <f>_xlfn.XLOOKUP(Table3[[#This Row],[Product Name]],Sales!A:A,Sales!C:C)</f>
        <v>1</v>
      </c>
      <c r="S1002">
        <f>_xlfn.XLOOKUP(Table3[[#This Row],[Product Name]],Sales!A:A,Sales!D:D)</f>
        <v>0</v>
      </c>
      <c r="T1002">
        <f>_xlfn.XLOOKUP(Table3[[#This Row],[Product Name]],Sales!A:A,Sales!E:E)</f>
        <v>4.9081999999999999</v>
      </c>
    </row>
    <row r="1003" spans="1:20" x14ac:dyDescent="0.3">
      <c r="A1003">
        <v>998</v>
      </c>
      <c r="B1003" t="s">
        <v>2403</v>
      </c>
      <c r="C1003">
        <v>28</v>
      </c>
      <c r="D1003">
        <v>10</v>
      </c>
      <c r="E1003">
        <v>2019</v>
      </c>
      <c r="F1003" t="s">
        <v>37</v>
      </c>
      <c r="G1003" t="s">
        <v>2404</v>
      </c>
      <c r="H1003" t="s">
        <v>2971</v>
      </c>
      <c r="I1003" t="s">
        <v>19</v>
      </c>
      <c r="J1003" t="s">
        <v>2414</v>
      </c>
      <c r="K1003" t="s">
        <v>20</v>
      </c>
      <c r="L1003">
        <v>42420</v>
      </c>
      <c r="M1003" t="s">
        <v>2407</v>
      </c>
      <c r="N1003" t="s">
        <v>33</v>
      </c>
      <c r="O1003" t="s">
        <v>43</v>
      </c>
      <c r="P1003" t="s">
        <v>2408</v>
      </c>
      <c r="Q1003">
        <f>_xlfn.XLOOKUP(Table3[[#This Row],[Product Name]],Sales!A:A,Sales!B:B)</f>
        <v>36.630000000000003</v>
      </c>
      <c r="R1003">
        <f>_xlfn.XLOOKUP(Table3[[#This Row],[Product Name]],Sales!A:A,Sales!C:C)</f>
        <v>3</v>
      </c>
      <c r="S1003">
        <f>_xlfn.XLOOKUP(Table3[[#This Row],[Product Name]],Sales!A:A,Sales!D:D)</f>
        <v>0</v>
      </c>
      <c r="T1003">
        <f>_xlfn.XLOOKUP(Table3[[#This Row],[Product Name]],Sales!A:A,Sales!E:E)</f>
        <v>9.8901000000000003</v>
      </c>
    </row>
    <row r="1004" spans="1:20" x14ac:dyDescent="0.3">
      <c r="A1004">
        <v>999</v>
      </c>
      <c r="B1004" t="s">
        <v>2403</v>
      </c>
      <c r="C1004">
        <v>28</v>
      </c>
      <c r="D1004">
        <v>10</v>
      </c>
      <c r="E1004">
        <v>2019</v>
      </c>
      <c r="F1004" t="s">
        <v>37</v>
      </c>
      <c r="G1004" t="s">
        <v>2404</v>
      </c>
      <c r="H1004" t="s">
        <v>2971</v>
      </c>
      <c r="I1004" t="s">
        <v>19</v>
      </c>
      <c r="J1004" t="s">
        <v>2414</v>
      </c>
      <c r="K1004" t="s">
        <v>20</v>
      </c>
      <c r="L1004">
        <v>42420</v>
      </c>
      <c r="M1004" t="s">
        <v>2409</v>
      </c>
      <c r="N1004" t="s">
        <v>22</v>
      </c>
      <c r="O1004" t="s">
        <v>48</v>
      </c>
      <c r="P1004" t="s">
        <v>2410</v>
      </c>
      <c r="Q1004">
        <f>_xlfn.XLOOKUP(Table3[[#This Row],[Product Name]],Sales!A:A,Sales!B:B)</f>
        <v>24.1</v>
      </c>
      <c r="R1004">
        <f>_xlfn.XLOOKUP(Table3[[#This Row],[Product Name]],Sales!A:A,Sales!C:C)</f>
        <v>5</v>
      </c>
      <c r="S1004">
        <f>_xlfn.XLOOKUP(Table3[[#This Row],[Product Name]],Sales!A:A,Sales!D:D)</f>
        <v>0</v>
      </c>
      <c r="T1004">
        <f>_xlfn.XLOOKUP(Table3[[#This Row],[Product Name]],Sales!A:A,Sales!E:E)</f>
        <v>9.1579999999999995</v>
      </c>
    </row>
    <row r="1005" spans="1:20" x14ac:dyDescent="0.3">
      <c r="A1005">
        <v>1000</v>
      </c>
      <c r="B1005" t="s">
        <v>2403</v>
      </c>
      <c r="C1005">
        <v>28</v>
      </c>
      <c r="D1005">
        <v>10</v>
      </c>
      <c r="E1005">
        <v>2019</v>
      </c>
      <c r="F1005" t="s">
        <v>37</v>
      </c>
      <c r="G1005" t="s">
        <v>2404</v>
      </c>
      <c r="H1005" t="s">
        <v>2971</v>
      </c>
      <c r="I1005" t="s">
        <v>19</v>
      </c>
      <c r="J1005" t="s">
        <v>2414</v>
      </c>
      <c r="K1005" t="s">
        <v>20</v>
      </c>
      <c r="L1005">
        <v>42420</v>
      </c>
      <c r="M1005" t="s">
        <v>882</v>
      </c>
      <c r="N1005" t="s">
        <v>22</v>
      </c>
      <c r="O1005" t="s">
        <v>48</v>
      </c>
      <c r="P1005" t="s">
        <v>883</v>
      </c>
      <c r="Q1005">
        <f>_xlfn.XLOOKUP(Table3[[#This Row],[Product Name]],Sales!A:A,Sales!B:B)</f>
        <v>15.135999999999999</v>
      </c>
      <c r="R1005">
        <f>_xlfn.XLOOKUP(Table3[[#This Row],[Product Name]],Sales!A:A,Sales!C:C)</f>
        <v>4</v>
      </c>
      <c r="S1005">
        <f>_xlfn.XLOOKUP(Table3[[#This Row],[Product Name]],Sales!A:A,Sales!D:D)</f>
        <v>0.2</v>
      </c>
      <c r="T1005">
        <f>_xlfn.XLOOKUP(Table3[[#This Row],[Product Name]],Sales!A:A,Sales!E:E)</f>
        <v>3.5948000000000002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EC87C-47DB-489D-8004-C503B2FF8BA1}">
  <dimension ref="A1:E1005"/>
  <sheetViews>
    <sheetView workbookViewId="0"/>
  </sheetViews>
  <sheetFormatPr defaultRowHeight="13" x14ac:dyDescent="0.3"/>
  <cols>
    <col min="1" max="1" width="96" bestFit="1" customWidth="1"/>
    <col min="3" max="3" width="11.26953125" customWidth="1"/>
    <col min="4" max="4" width="11.81640625" customWidth="1"/>
  </cols>
  <sheetData>
    <row r="1" spans="1:5" x14ac:dyDescent="0.3">
      <c r="A1" t="s">
        <v>11</v>
      </c>
      <c r="B1" t="s">
        <v>12</v>
      </c>
      <c r="C1" t="s">
        <v>13</v>
      </c>
      <c r="D1" t="s">
        <v>14</v>
      </c>
      <c r="E1" t="s">
        <v>15</v>
      </c>
    </row>
    <row r="2" spans="1:5" x14ac:dyDescent="0.3">
      <c r="A2" t="s">
        <v>24</v>
      </c>
      <c r="B2">
        <v>261.95999999999998</v>
      </c>
      <c r="C2">
        <v>2</v>
      </c>
      <c r="D2">
        <v>0</v>
      </c>
      <c r="E2">
        <v>41.913600000000002</v>
      </c>
    </row>
    <row r="3" spans="1:5" x14ac:dyDescent="0.3">
      <c r="A3" t="s">
        <v>27</v>
      </c>
      <c r="B3">
        <v>731.94</v>
      </c>
      <c r="C3">
        <v>3</v>
      </c>
      <c r="D3">
        <v>0</v>
      </c>
      <c r="E3">
        <v>219.58199999999999</v>
      </c>
    </row>
    <row r="4" spans="1:5" x14ac:dyDescent="0.3">
      <c r="A4" t="s">
        <v>35</v>
      </c>
      <c r="B4">
        <v>14.62</v>
      </c>
      <c r="C4">
        <v>2</v>
      </c>
      <c r="D4">
        <v>0</v>
      </c>
      <c r="E4">
        <v>6.8714000000000004</v>
      </c>
    </row>
    <row r="5" spans="1:5" x14ac:dyDescent="0.3">
      <c r="A5" t="s">
        <v>41</v>
      </c>
      <c r="B5">
        <v>957.57749999999999</v>
      </c>
      <c r="C5">
        <v>5</v>
      </c>
      <c r="D5">
        <v>0.45</v>
      </c>
      <c r="E5">
        <v>-383.03100000000001</v>
      </c>
    </row>
    <row r="6" spans="1:5" x14ac:dyDescent="0.3">
      <c r="A6" t="s">
        <v>44</v>
      </c>
      <c r="B6">
        <v>22.367999999999999</v>
      </c>
      <c r="C6">
        <v>2</v>
      </c>
      <c r="D6">
        <v>0.2</v>
      </c>
      <c r="E6">
        <v>2.5164</v>
      </c>
    </row>
    <row r="7" spans="1:5" x14ac:dyDescent="0.3">
      <c r="A7" t="s">
        <v>49</v>
      </c>
      <c r="B7">
        <v>48.86</v>
      </c>
      <c r="C7">
        <v>7</v>
      </c>
      <c r="D7">
        <v>0</v>
      </c>
      <c r="E7">
        <v>14.1694</v>
      </c>
    </row>
    <row r="8" spans="1:5" x14ac:dyDescent="0.3">
      <c r="A8" t="s">
        <v>52</v>
      </c>
      <c r="B8">
        <v>7.28</v>
      </c>
      <c r="C8">
        <v>4</v>
      </c>
      <c r="D8">
        <v>0</v>
      </c>
      <c r="E8">
        <v>1.9656</v>
      </c>
    </row>
    <row r="9" spans="1:5" x14ac:dyDescent="0.3">
      <c r="A9" t="s">
        <v>56</v>
      </c>
      <c r="B9">
        <v>907.15200000000004</v>
      </c>
      <c r="C9">
        <v>6</v>
      </c>
      <c r="D9">
        <v>0.2</v>
      </c>
      <c r="E9">
        <v>90.715199999999996</v>
      </c>
    </row>
    <row r="10" spans="1:5" x14ac:dyDescent="0.3">
      <c r="A10" t="s">
        <v>59</v>
      </c>
      <c r="B10">
        <v>18.504000000000001</v>
      </c>
      <c r="C10">
        <v>3</v>
      </c>
      <c r="D10">
        <v>0.2</v>
      </c>
      <c r="E10">
        <v>5.7824999999999998</v>
      </c>
    </row>
    <row r="11" spans="1:5" x14ac:dyDescent="0.3">
      <c r="A11" t="s">
        <v>62</v>
      </c>
      <c r="B11">
        <v>114.9</v>
      </c>
      <c r="C11">
        <v>5</v>
      </c>
      <c r="D11">
        <v>0</v>
      </c>
      <c r="E11">
        <v>34.47</v>
      </c>
    </row>
    <row r="12" spans="1:5" x14ac:dyDescent="0.3">
      <c r="A12" t="s">
        <v>64</v>
      </c>
      <c r="B12">
        <v>1706.184</v>
      </c>
      <c r="C12">
        <v>9</v>
      </c>
      <c r="D12">
        <v>0.2</v>
      </c>
      <c r="E12">
        <v>85.309200000000004</v>
      </c>
    </row>
    <row r="13" spans="1:5" x14ac:dyDescent="0.3">
      <c r="A13" t="s">
        <v>66</v>
      </c>
      <c r="B13">
        <v>911.42399999999998</v>
      </c>
      <c r="C13">
        <v>4</v>
      </c>
      <c r="D13">
        <v>0.2</v>
      </c>
      <c r="E13">
        <v>68.356800000000007</v>
      </c>
    </row>
    <row r="14" spans="1:5" x14ac:dyDescent="0.3">
      <c r="A14" t="s">
        <v>71</v>
      </c>
      <c r="B14">
        <v>15.552</v>
      </c>
      <c r="C14">
        <v>3</v>
      </c>
      <c r="D14">
        <v>0.2</v>
      </c>
      <c r="E14">
        <v>5.4432</v>
      </c>
    </row>
    <row r="15" spans="1:5" x14ac:dyDescent="0.3">
      <c r="A15" t="s">
        <v>75</v>
      </c>
      <c r="B15">
        <v>407.976</v>
      </c>
      <c r="C15">
        <v>3</v>
      </c>
      <c r="D15">
        <v>0.2</v>
      </c>
      <c r="E15">
        <v>132.59219999999999</v>
      </c>
    </row>
    <row r="16" spans="1:5" x14ac:dyDescent="0.3">
      <c r="A16" t="s">
        <v>81</v>
      </c>
      <c r="B16">
        <v>68.81</v>
      </c>
      <c r="C16">
        <v>5</v>
      </c>
      <c r="D16">
        <v>0.8</v>
      </c>
      <c r="E16">
        <v>-123.858</v>
      </c>
    </row>
    <row r="17" spans="1:5" x14ac:dyDescent="0.3">
      <c r="A17" t="s">
        <v>83</v>
      </c>
      <c r="B17">
        <v>2.544</v>
      </c>
      <c r="C17">
        <v>3</v>
      </c>
      <c r="D17">
        <v>0.8</v>
      </c>
      <c r="E17">
        <v>-3.8159999999999998</v>
      </c>
    </row>
    <row r="18" spans="1:5" x14ac:dyDescent="0.3">
      <c r="A18" t="s">
        <v>87</v>
      </c>
      <c r="B18">
        <v>665.88</v>
      </c>
      <c r="C18">
        <v>6</v>
      </c>
      <c r="D18">
        <v>0</v>
      </c>
      <c r="E18">
        <v>13.317600000000001</v>
      </c>
    </row>
    <row r="19" spans="1:5" x14ac:dyDescent="0.3">
      <c r="A19" t="s">
        <v>91</v>
      </c>
      <c r="B19">
        <v>55.5</v>
      </c>
      <c r="C19">
        <v>2</v>
      </c>
      <c r="D19">
        <v>0</v>
      </c>
      <c r="E19">
        <v>9.99</v>
      </c>
    </row>
    <row r="20" spans="1:5" x14ac:dyDescent="0.3">
      <c r="A20" t="s">
        <v>95</v>
      </c>
      <c r="B20">
        <v>8.56</v>
      </c>
      <c r="C20">
        <v>2</v>
      </c>
      <c r="D20">
        <v>0</v>
      </c>
      <c r="E20">
        <v>2.4824000000000002</v>
      </c>
    </row>
    <row r="21" spans="1:5" x14ac:dyDescent="0.3">
      <c r="A21" t="s">
        <v>97</v>
      </c>
      <c r="B21">
        <v>213.48</v>
      </c>
      <c r="C21">
        <v>3</v>
      </c>
      <c r="D21">
        <v>0.2</v>
      </c>
      <c r="E21">
        <v>16.010999999999999</v>
      </c>
    </row>
    <row r="22" spans="1:5" x14ac:dyDescent="0.3">
      <c r="A22" t="s">
        <v>99</v>
      </c>
      <c r="B22">
        <v>22.72</v>
      </c>
      <c r="C22">
        <v>4</v>
      </c>
      <c r="D22">
        <v>0.2</v>
      </c>
      <c r="E22">
        <v>7.3840000000000003</v>
      </c>
    </row>
    <row r="23" spans="1:5" x14ac:dyDescent="0.3">
      <c r="A23" t="s">
        <v>103</v>
      </c>
      <c r="B23">
        <v>19.46</v>
      </c>
      <c r="C23">
        <v>7</v>
      </c>
      <c r="D23">
        <v>0</v>
      </c>
      <c r="E23">
        <v>5.0595999999999997</v>
      </c>
    </row>
    <row r="24" spans="1:5" x14ac:dyDescent="0.3">
      <c r="A24" t="s">
        <v>105</v>
      </c>
      <c r="B24">
        <v>60.34</v>
      </c>
      <c r="C24">
        <v>7</v>
      </c>
      <c r="D24">
        <v>0</v>
      </c>
      <c r="E24">
        <v>15.6884</v>
      </c>
    </row>
    <row r="25" spans="1:5" x14ac:dyDescent="0.3">
      <c r="A25" t="s">
        <v>110</v>
      </c>
      <c r="B25">
        <v>71.372</v>
      </c>
      <c r="C25">
        <v>2</v>
      </c>
      <c r="D25">
        <v>0.3</v>
      </c>
      <c r="E25">
        <v>-1.0196000000000001</v>
      </c>
    </row>
    <row r="26" spans="1:5" x14ac:dyDescent="0.3">
      <c r="A26" t="s">
        <v>41</v>
      </c>
      <c r="B26">
        <v>1044.6300000000001</v>
      </c>
      <c r="C26">
        <v>3</v>
      </c>
      <c r="D26">
        <v>0</v>
      </c>
      <c r="E26">
        <v>240.26490000000001</v>
      </c>
    </row>
    <row r="27" spans="1:5" x14ac:dyDescent="0.3">
      <c r="A27" t="s">
        <v>116</v>
      </c>
      <c r="B27">
        <v>11.648</v>
      </c>
      <c r="C27">
        <v>2</v>
      </c>
      <c r="D27">
        <v>0.2</v>
      </c>
      <c r="E27">
        <v>4.2224000000000004</v>
      </c>
    </row>
    <row r="28" spans="1:5" x14ac:dyDescent="0.3">
      <c r="A28" t="s">
        <v>119</v>
      </c>
      <c r="B28">
        <v>90.57</v>
      </c>
      <c r="C28">
        <v>3</v>
      </c>
      <c r="D28">
        <v>0</v>
      </c>
      <c r="E28">
        <v>11.774100000000001</v>
      </c>
    </row>
    <row r="29" spans="1:5" x14ac:dyDescent="0.3">
      <c r="A29" t="s">
        <v>123</v>
      </c>
      <c r="B29">
        <v>3083.43</v>
      </c>
      <c r="C29">
        <v>7</v>
      </c>
      <c r="D29">
        <v>0.5</v>
      </c>
      <c r="E29">
        <v>-1665.0522000000001</v>
      </c>
    </row>
    <row r="30" spans="1:5" x14ac:dyDescent="0.3">
      <c r="A30" t="s">
        <v>125</v>
      </c>
      <c r="B30">
        <v>9.6180000000000003</v>
      </c>
      <c r="C30">
        <v>2</v>
      </c>
      <c r="D30">
        <v>0.7</v>
      </c>
      <c r="E30">
        <v>-7.0532000000000004</v>
      </c>
    </row>
    <row r="31" spans="1:5" x14ac:dyDescent="0.3">
      <c r="A31" t="s">
        <v>127</v>
      </c>
      <c r="B31">
        <v>124.2</v>
      </c>
      <c r="C31">
        <v>3</v>
      </c>
      <c r="D31">
        <v>0.2</v>
      </c>
      <c r="E31">
        <v>15.525</v>
      </c>
    </row>
    <row r="32" spans="1:5" x14ac:dyDescent="0.3">
      <c r="A32" t="s">
        <v>130</v>
      </c>
      <c r="B32">
        <v>3.2639999999999998</v>
      </c>
      <c r="C32">
        <v>2</v>
      </c>
      <c r="D32">
        <v>0.2</v>
      </c>
      <c r="E32">
        <v>1.1015999999999999</v>
      </c>
    </row>
    <row r="33" spans="1:5" x14ac:dyDescent="0.3">
      <c r="A33" t="s">
        <v>132</v>
      </c>
      <c r="B33">
        <v>86.304000000000002</v>
      </c>
      <c r="C33">
        <v>6</v>
      </c>
      <c r="D33">
        <v>0.2</v>
      </c>
      <c r="E33">
        <v>9.7091999999999992</v>
      </c>
    </row>
    <row r="34" spans="1:5" x14ac:dyDescent="0.3">
      <c r="A34" t="s">
        <v>134</v>
      </c>
      <c r="B34">
        <v>6.8579999999999997</v>
      </c>
      <c r="C34">
        <v>6</v>
      </c>
      <c r="D34">
        <v>0.7</v>
      </c>
      <c r="E34">
        <v>-5.7149999999999999</v>
      </c>
    </row>
    <row r="35" spans="1:5" x14ac:dyDescent="0.3">
      <c r="A35" t="s">
        <v>136</v>
      </c>
      <c r="B35">
        <v>15.76</v>
      </c>
      <c r="C35">
        <v>2</v>
      </c>
      <c r="D35">
        <v>0.2</v>
      </c>
      <c r="E35">
        <v>3.5459999999999998</v>
      </c>
    </row>
    <row r="36" spans="1:5" x14ac:dyDescent="0.3">
      <c r="A36" t="s">
        <v>140</v>
      </c>
      <c r="B36">
        <v>29.472000000000001</v>
      </c>
      <c r="C36">
        <v>3</v>
      </c>
      <c r="D36">
        <v>0.2</v>
      </c>
      <c r="E36">
        <v>9.9467999999999996</v>
      </c>
    </row>
    <row r="37" spans="1:5" x14ac:dyDescent="0.3">
      <c r="A37" t="s">
        <v>145</v>
      </c>
      <c r="B37">
        <v>1097.5440000000001</v>
      </c>
      <c r="C37">
        <v>7</v>
      </c>
      <c r="D37">
        <v>0.2</v>
      </c>
      <c r="E37">
        <v>123.47369999999999</v>
      </c>
    </row>
    <row r="38" spans="1:5" x14ac:dyDescent="0.3">
      <c r="A38" t="s">
        <v>147</v>
      </c>
      <c r="B38">
        <v>190.92</v>
      </c>
      <c r="C38">
        <v>5</v>
      </c>
      <c r="D38">
        <v>0.6</v>
      </c>
      <c r="E38">
        <v>-147.96299999999999</v>
      </c>
    </row>
    <row r="39" spans="1:5" x14ac:dyDescent="0.3">
      <c r="A39" t="s">
        <v>151</v>
      </c>
      <c r="B39">
        <v>113.328</v>
      </c>
      <c r="C39">
        <v>9</v>
      </c>
      <c r="D39">
        <v>0.2</v>
      </c>
      <c r="E39">
        <v>35.414999999999999</v>
      </c>
    </row>
    <row r="40" spans="1:5" x14ac:dyDescent="0.3">
      <c r="A40" t="s">
        <v>153</v>
      </c>
      <c r="B40">
        <v>532.39919999999995</v>
      </c>
      <c r="C40">
        <v>3</v>
      </c>
      <c r="D40">
        <v>0.32</v>
      </c>
      <c r="E40">
        <v>-46.976399999999998</v>
      </c>
    </row>
    <row r="41" spans="1:5" x14ac:dyDescent="0.3">
      <c r="A41" t="s">
        <v>155</v>
      </c>
      <c r="B41">
        <v>212.05799999999999</v>
      </c>
      <c r="C41">
        <v>3</v>
      </c>
      <c r="D41">
        <v>0.3</v>
      </c>
      <c r="E41">
        <v>-15.147</v>
      </c>
    </row>
    <row r="42" spans="1:5" x14ac:dyDescent="0.3">
      <c r="A42" t="s">
        <v>157</v>
      </c>
      <c r="B42">
        <v>371.16800000000001</v>
      </c>
      <c r="C42">
        <v>4</v>
      </c>
      <c r="D42">
        <v>0.2</v>
      </c>
      <c r="E42">
        <v>41.756399999999999</v>
      </c>
    </row>
    <row r="43" spans="1:5" x14ac:dyDescent="0.3">
      <c r="A43" t="s">
        <v>161</v>
      </c>
      <c r="B43">
        <v>147.16800000000001</v>
      </c>
      <c r="C43">
        <v>4</v>
      </c>
      <c r="D43">
        <v>0.2</v>
      </c>
      <c r="E43">
        <v>16.5564</v>
      </c>
    </row>
    <row r="44" spans="1:5" x14ac:dyDescent="0.3">
      <c r="A44" t="s">
        <v>165</v>
      </c>
      <c r="B44">
        <v>77.88</v>
      </c>
      <c r="C44">
        <v>2</v>
      </c>
      <c r="D44">
        <v>0</v>
      </c>
      <c r="E44">
        <v>3.8940000000000001</v>
      </c>
    </row>
    <row r="45" spans="1:5" x14ac:dyDescent="0.3">
      <c r="A45" t="s">
        <v>169</v>
      </c>
      <c r="B45">
        <v>95.616</v>
      </c>
      <c r="C45">
        <v>2</v>
      </c>
      <c r="D45">
        <v>0.2</v>
      </c>
      <c r="E45">
        <v>9.5616000000000003</v>
      </c>
    </row>
    <row r="46" spans="1:5" x14ac:dyDescent="0.3">
      <c r="A46" t="s">
        <v>173</v>
      </c>
      <c r="B46">
        <v>45.98</v>
      </c>
      <c r="C46">
        <v>2</v>
      </c>
      <c r="D46">
        <v>0</v>
      </c>
      <c r="E46">
        <v>19.7714</v>
      </c>
    </row>
    <row r="47" spans="1:5" x14ac:dyDescent="0.3">
      <c r="A47" t="s">
        <v>175</v>
      </c>
      <c r="B47">
        <v>17.46</v>
      </c>
      <c r="C47">
        <v>2</v>
      </c>
      <c r="D47">
        <v>0</v>
      </c>
      <c r="E47">
        <v>8.2062000000000008</v>
      </c>
    </row>
    <row r="48" spans="1:5" x14ac:dyDescent="0.3">
      <c r="A48" t="s">
        <v>179</v>
      </c>
      <c r="B48">
        <v>211.96</v>
      </c>
      <c r="C48">
        <v>4</v>
      </c>
      <c r="D48">
        <v>0</v>
      </c>
      <c r="E48">
        <v>8.4784000000000006</v>
      </c>
    </row>
    <row r="49" spans="1:5" x14ac:dyDescent="0.3">
      <c r="A49" t="s">
        <v>183</v>
      </c>
      <c r="B49">
        <v>45</v>
      </c>
      <c r="C49">
        <v>3</v>
      </c>
      <c r="D49">
        <v>0</v>
      </c>
      <c r="E49">
        <v>4.95</v>
      </c>
    </row>
    <row r="50" spans="1:5" x14ac:dyDescent="0.3">
      <c r="A50" t="s">
        <v>185</v>
      </c>
      <c r="B50">
        <v>21.8</v>
      </c>
      <c r="C50">
        <v>2</v>
      </c>
      <c r="D50">
        <v>0</v>
      </c>
      <c r="E50">
        <v>6.1040000000000001</v>
      </c>
    </row>
    <row r="51" spans="1:5" x14ac:dyDescent="0.3">
      <c r="A51" t="s">
        <v>189</v>
      </c>
      <c r="B51">
        <v>38.22</v>
      </c>
      <c r="C51">
        <v>6</v>
      </c>
      <c r="D51">
        <v>0</v>
      </c>
      <c r="E51">
        <v>17.9634</v>
      </c>
    </row>
    <row r="52" spans="1:5" x14ac:dyDescent="0.3">
      <c r="A52" t="s">
        <v>191</v>
      </c>
      <c r="B52">
        <v>75.180000000000007</v>
      </c>
      <c r="C52">
        <v>6</v>
      </c>
      <c r="D52">
        <v>0</v>
      </c>
      <c r="E52">
        <v>35.334600000000002</v>
      </c>
    </row>
    <row r="53" spans="1:5" x14ac:dyDescent="0.3">
      <c r="A53" t="s">
        <v>193</v>
      </c>
      <c r="B53">
        <v>6.16</v>
      </c>
      <c r="C53">
        <v>2</v>
      </c>
      <c r="D53">
        <v>0</v>
      </c>
      <c r="E53">
        <v>2.9567999999999999</v>
      </c>
    </row>
    <row r="54" spans="1:5" x14ac:dyDescent="0.3">
      <c r="A54" t="s">
        <v>195</v>
      </c>
      <c r="B54">
        <v>89.99</v>
      </c>
      <c r="C54">
        <v>1</v>
      </c>
      <c r="D54">
        <v>0</v>
      </c>
      <c r="E54">
        <v>17.098099999999999</v>
      </c>
    </row>
    <row r="55" spans="1:5" x14ac:dyDescent="0.3">
      <c r="A55" t="s">
        <v>200</v>
      </c>
      <c r="B55">
        <v>15.26</v>
      </c>
      <c r="C55">
        <v>7</v>
      </c>
      <c r="D55">
        <v>0</v>
      </c>
      <c r="E55">
        <v>6.2565999999999997</v>
      </c>
    </row>
    <row r="56" spans="1:5" x14ac:dyDescent="0.3">
      <c r="A56" t="s">
        <v>202</v>
      </c>
      <c r="B56">
        <v>1029.95</v>
      </c>
      <c r="C56">
        <v>5</v>
      </c>
      <c r="D56">
        <v>0</v>
      </c>
      <c r="E56">
        <v>298.68549999999999</v>
      </c>
    </row>
    <row r="57" spans="1:5" x14ac:dyDescent="0.3">
      <c r="A57" t="s">
        <v>206</v>
      </c>
      <c r="B57">
        <v>208.56</v>
      </c>
      <c r="C57">
        <v>6</v>
      </c>
      <c r="D57">
        <v>0</v>
      </c>
      <c r="E57">
        <v>52.14</v>
      </c>
    </row>
    <row r="58" spans="1:5" x14ac:dyDescent="0.3">
      <c r="A58" t="s">
        <v>208</v>
      </c>
      <c r="B58">
        <v>32.4</v>
      </c>
      <c r="C58">
        <v>5</v>
      </c>
      <c r="D58">
        <v>0</v>
      </c>
      <c r="E58">
        <v>15.552</v>
      </c>
    </row>
    <row r="59" spans="1:5" x14ac:dyDescent="0.3">
      <c r="A59" t="s">
        <v>210</v>
      </c>
      <c r="B59">
        <v>319.41000000000003</v>
      </c>
      <c r="C59">
        <v>5</v>
      </c>
      <c r="D59">
        <v>0.1</v>
      </c>
      <c r="E59">
        <v>7.0979999999999999</v>
      </c>
    </row>
    <row r="60" spans="1:5" x14ac:dyDescent="0.3">
      <c r="A60" t="s">
        <v>212</v>
      </c>
      <c r="B60">
        <v>14.56</v>
      </c>
      <c r="C60">
        <v>2</v>
      </c>
      <c r="D60">
        <v>0</v>
      </c>
      <c r="E60">
        <v>6.9888000000000003</v>
      </c>
    </row>
    <row r="61" spans="1:5" x14ac:dyDescent="0.3">
      <c r="A61" t="s">
        <v>183</v>
      </c>
      <c r="B61">
        <v>30</v>
      </c>
      <c r="C61">
        <v>2</v>
      </c>
      <c r="D61">
        <v>0</v>
      </c>
      <c r="E61">
        <v>3.3</v>
      </c>
    </row>
    <row r="62" spans="1:5" x14ac:dyDescent="0.3">
      <c r="A62" t="s">
        <v>214</v>
      </c>
      <c r="B62">
        <v>48.48</v>
      </c>
      <c r="C62">
        <v>4</v>
      </c>
      <c r="D62">
        <v>0.2</v>
      </c>
      <c r="E62">
        <v>16.361999999999998</v>
      </c>
    </row>
    <row r="63" spans="1:5" x14ac:dyDescent="0.3">
      <c r="A63" t="s">
        <v>216</v>
      </c>
      <c r="B63">
        <v>1.68</v>
      </c>
      <c r="C63">
        <v>1</v>
      </c>
      <c r="D63">
        <v>0</v>
      </c>
      <c r="E63">
        <v>0.84</v>
      </c>
    </row>
    <row r="64" spans="1:5" x14ac:dyDescent="0.3">
      <c r="A64" t="s">
        <v>220</v>
      </c>
      <c r="B64">
        <v>13.98</v>
      </c>
      <c r="C64">
        <v>2</v>
      </c>
      <c r="D64">
        <v>0</v>
      </c>
      <c r="E64">
        <v>6.1512000000000002</v>
      </c>
    </row>
    <row r="65" spans="1:5" x14ac:dyDescent="0.3">
      <c r="A65" t="s">
        <v>222</v>
      </c>
      <c r="B65">
        <v>25.824000000000002</v>
      </c>
      <c r="C65">
        <v>6</v>
      </c>
      <c r="D65">
        <v>0.2</v>
      </c>
      <c r="E65">
        <v>9.3612000000000002</v>
      </c>
    </row>
    <row r="66" spans="1:5" x14ac:dyDescent="0.3">
      <c r="A66" t="s">
        <v>224</v>
      </c>
      <c r="B66">
        <v>146.72999999999999</v>
      </c>
      <c r="C66">
        <v>3</v>
      </c>
      <c r="D66">
        <v>0</v>
      </c>
      <c r="E66">
        <v>68.963099999999997</v>
      </c>
    </row>
    <row r="67" spans="1:5" x14ac:dyDescent="0.3">
      <c r="A67" t="s">
        <v>226</v>
      </c>
      <c r="B67">
        <v>79.760000000000005</v>
      </c>
      <c r="C67">
        <v>4</v>
      </c>
      <c r="D67">
        <v>0</v>
      </c>
      <c r="E67">
        <v>22.332799999999999</v>
      </c>
    </row>
    <row r="68" spans="1:5" x14ac:dyDescent="0.3">
      <c r="A68" t="s">
        <v>230</v>
      </c>
      <c r="B68">
        <v>213.11500000000001</v>
      </c>
      <c r="C68">
        <v>5</v>
      </c>
      <c r="D68">
        <v>0.3</v>
      </c>
      <c r="E68">
        <v>-15.2225</v>
      </c>
    </row>
    <row r="69" spans="1:5" x14ac:dyDescent="0.3">
      <c r="A69" t="s">
        <v>234</v>
      </c>
      <c r="B69">
        <v>1113.0239999999999</v>
      </c>
      <c r="C69">
        <v>8</v>
      </c>
      <c r="D69">
        <v>0.2</v>
      </c>
      <c r="E69">
        <v>111.30240000000001</v>
      </c>
    </row>
    <row r="70" spans="1:5" x14ac:dyDescent="0.3">
      <c r="A70" t="s">
        <v>236</v>
      </c>
      <c r="B70">
        <v>167.96799999999999</v>
      </c>
      <c r="C70">
        <v>4</v>
      </c>
      <c r="D70">
        <v>0.2</v>
      </c>
      <c r="E70">
        <v>62.988</v>
      </c>
    </row>
    <row r="71" spans="1:5" x14ac:dyDescent="0.3">
      <c r="A71" t="s">
        <v>240</v>
      </c>
      <c r="B71">
        <v>75.88</v>
      </c>
      <c r="C71">
        <v>2</v>
      </c>
      <c r="D71">
        <v>0</v>
      </c>
      <c r="E71">
        <v>35.663600000000002</v>
      </c>
    </row>
    <row r="72" spans="1:5" x14ac:dyDescent="0.3">
      <c r="A72" t="s">
        <v>244</v>
      </c>
      <c r="B72">
        <v>4.6159999999999997</v>
      </c>
      <c r="C72">
        <v>1</v>
      </c>
      <c r="D72">
        <v>0.2</v>
      </c>
      <c r="E72">
        <v>1.7310000000000001</v>
      </c>
    </row>
    <row r="73" spans="1:5" x14ac:dyDescent="0.3">
      <c r="A73" t="s">
        <v>247</v>
      </c>
      <c r="B73">
        <v>19.05</v>
      </c>
      <c r="C73">
        <v>3</v>
      </c>
      <c r="D73">
        <v>0</v>
      </c>
      <c r="E73">
        <v>8.7629999999999999</v>
      </c>
    </row>
    <row r="74" spans="1:5" x14ac:dyDescent="0.3">
      <c r="A74" t="s">
        <v>251</v>
      </c>
      <c r="B74">
        <v>831.93600000000004</v>
      </c>
      <c r="C74">
        <v>8</v>
      </c>
      <c r="D74">
        <v>0.2</v>
      </c>
      <c r="E74">
        <v>-114.3912</v>
      </c>
    </row>
    <row r="75" spans="1:5" x14ac:dyDescent="0.3">
      <c r="A75" t="s">
        <v>253</v>
      </c>
      <c r="B75">
        <v>97.04</v>
      </c>
      <c r="C75">
        <v>2</v>
      </c>
      <c r="D75">
        <v>0.2</v>
      </c>
      <c r="E75">
        <v>1.2130000000000001</v>
      </c>
    </row>
    <row r="76" spans="1:5" x14ac:dyDescent="0.3">
      <c r="A76" t="s">
        <v>255</v>
      </c>
      <c r="B76">
        <v>72.784000000000006</v>
      </c>
      <c r="C76">
        <v>1</v>
      </c>
      <c r="D76">
        <v>0.2</v>
      </c>
      <c r="E76">
        <v>-18.196000000000002</v>
      </c>
    </row>
    <row r="77" spans="1:5" x14ac:dyDescent="0.3">
      <c r="A77" t="s">
        <v>259</v>
      </c>
      <c r="B77">
        <v>1.248</v>
      </c>
      <c r="C77">
        <v>3</v>
      </c>
      <c r="D77">
        <v>0.8</v>
      </c>
      <c r="E77">
        <v>-1.9343999999999999</v>
      </c>
    </row>
    <row r="78" spans="1:5" x14ac:dyDescent="0.3">
      <c r="A78" t="s">
        <v>261</v>
      </c>
      <c r="B78">
        <v>9.7080000000000002</v>
      </c>
      <c r="C78">
        <v>3</v>
      </c>
      <c r="D78">
        <v>0.6</v>
      </c>
      <c r="E78">
        <v>-5.8247999999999998</v>
      </c>
    </row>
    <row r="79" spans="1:5" x14ac:dyDescent="0.3">
      <c r="A79" t="s">
        <v>263</v>
      </c>
      <c r="B79">
        <v>27.24</v>
      </c>
      <c r="C79">
        <v>3</v>
      </c>
      <c r="D79">
        <v>0.2</v>
      </c>
      <c r="E79">
        <v>2.7240000000000002</v>
      </c>
    </row>
    <row r="80" spans="1:5" x14ac:dyDescent="0.3">
      <c r="A80" t="s">
        <v>266</v>
      </c>
      <c r="B80">
        <v>19.3</v>
      </c>
      <c r="C80">
        <v>5</v>
      </c>
      <c r="D80">
        <v>0.6</v>
      </c>
      <c r="E80">
        <v>-14.475</v>
      </c>
    </row>
    <row r="81" spans="1:5" x14ac:dyDescent="0.3">
      <c r="A81" t="s">
        <v>270</v>
      </c>
      <c r="B81">
        <v>208.16</v>
      </c>
      <c r="C81">
        <v>1</v>
      </c>
      <c r="D81">
        <v>0</v>
      </c>
      <c r="E81">
        <v>56.203200000000002</v>
      </c>
    </row>
    <row r="82" spans="1:5" x14ac:dyDescent="0.3">
      <c r="A82" t="s">
        <v>2972</v>
      </c>
      <c r="B82">
        <v>16.739999999999998</v>
      </c>
      <c r="C82">
        <v>3</v>
      </c>
      <c r="D82">
        <v>0</v>
      </c>
      <c r="E82">
        <v>8.0351999999999997</v>
      </c>
    </row>
    <row r="83" spans="1:5" x14ac:dyDescent="0.3">
      <c r="A83" t="s">
        <v>275</v>
      </c>
      <c r="B83">
        <v>14.9</v>
      </c>
      <c r="C83">
        <v>5</v>
      </c>
      <c r="D83">
        <v>0</v>
      </c>
      <c r="E83">
        <v>4.1719999999999997</v>
      </c>
    </row>
    <row r="84" spans="1:5" x14ac:dyDescent="0.3">
      <c r="A84" t="s">
        <v>277</v>
      </c>
      <c r="B84">
        <v>21.39</v>
      </c>
      <c r="C84">
        <v>1</v>
      </c>
      <c r="D84">
        <v>0</v>
      </c>
      <c r="E84">
        <v>6.2031000000000001</v>
      </c>
    </row>
    <row r="85" spans="1:5" x14ac:dyDescent="0.3">
      <c r="A85" t="s">
        <v>281</v>
      </c>
      <c r="B85">
        <v>200.98400000000001</v>
      </c>
      <c r="C85">
        <v>7</v>
      </c>
      <c r="D85">
        <v>0.2</v>
      </c>
      <c r="E85">
        <v>62.807499999999997</v>
      </c>
    </row>
    <row r="86" spans="1:5" x14ac:dyDescent="0.3">
      <c r="A86" t="s">
        <v>285</v>
      </c>
      <c r="B86">
        <v>230.376</v>
      </c>
      <c r="C86">
        <v>3</v>
      </c>
      <c r="D86">
        <v>0.2</v>
      </c>
      <c r="E86">
        <v>-48.954900000000002</v>
      </c>
    </row>
    <row r="87" spans="1:5" x14ac:dyDescent="0.3">
      <c r="A87" t="s">
        <v>288</v>
      </c>
      <c r="B87">
        <v>301.95999999999998</v>
      </c>
      <c r="C87">
        <v>2</v>
      </c>
      <c r="D87">
        <v>0</v>
      </c>
      <c r="E87">
        <v>33.215600000000002</v>
      </c>
    </row>
    <row r="88" spans="1:5" x14ac:dyDescent="0.3">
      <c r="A88" t="s">
        <v>292</v>
      </c>
      <c r="B88">
        <v>19.989999999999998</v>
      </c>
      <c r="C88">
        <v>1</v>
      </c>
      <c r="D88">
        <v>0</v>
      </c>
      <c r="E88">
        <v>6.7965999999999998</v>
      </c>
    </row>
    <row r="89" spans="1:5" x14ac:dyDescent="0.3">
      <c r="A89" t="s">
        <v>294</v>
      </c>
      <c r="B89">
        <v>6.16</v>
      </c>
      <c r="C89">
        <v>2</v>
      </c>
      <c r="D89">
        <v>0</v>
      </c>
      <c r="E89">
        <v>2.9567999999999999</v>
      </c>
    </row>
    <row r="90" spans="1:5" x14ac:dyDescent="0.3">
      <c r="A90" t="s">
        <v>298</v>
      </c>
      <c r="B90">
        <v>158.36799999999999</v>
      </c>
      <c r="C90">
        <v>7</v>
      </c>
      <c r="D90">
        <v>0.2</v>
      </c>
      <c r="E90">
        <v>13.857200000000001</v>
      </c>
    </row>
    <row r="91" spans="1:5" x14ac:dyDescent="0.3">
      <c r="A91" t="s">
        <v>302</v>
      </c>
      <c r="B91">
        <v>20.100000000000001</v>
      </c>
      <c r="C91">
        <v>3</v>
      </c>
      <c r="D91">
        <v>0</v>
      </c>
      <c r="E91">
        <v>6.633</v>
      </c>
    </row>
    <row r="92" spans="1:5" x14ac:dyDescent="0.3">
      <c r="A92" t="s">
        <v>161</v>
      </c>
      <c r="B92">
        <v>73.584000000000003</v>
      </c>
      <c r="C92">
        <v>2</v>
      </c>
      <c r="D92">
        <v>0.2</v>
      </c>
      <c r="E92">
        <v>8.2782</v>
      </c>
    </row>
    <row r="93" spans="1:5" x14ac:dyDescent="0.3">
      <c r="A93" t="s">
        <v>304</v>
      </c>
      <c r="B93">
        <v>6.48</v>
      </c>
      <c r="C93">
        <v>1</v>
      </c>
      <c r="D93">
        <v>0</v>
      </c>
      <c r="E93">
        <v>3.1103999999999998</v>
      </c>
    </row>
    <row r="94" spans="1:5" x14ac:dyDescent="0.3">
      <c r="A94" t="s">
        <v>308</v>
      </c>
      <c r="B94">
        <v>12.96</v>
      </c>
      <c r="C94">
        <v>2</v>
      </c>
      <c r="D94">
        <v>0</v>
      </c>
      <c r="E94">
        <v>6.2207999999999997</v>
      </c>
    </row>
    <row r="95" spans="1:5" x14ac:dyDescent="0.3">
      <c r="A95" t="s">
        <v>310</v>
      </c>
      <c r="B95">
        <v>53.34</v>
      </c>
      <c r="C95">
        <v>3</v>
      </c>
      <c r="D95">
        <v>0</v>
      </c>
      <c r="E95">
        <v>16.535399999999999</v>
      </c>
    </row>
    <row r="96" spans="1:5" x14ac:dyDescent="0.3">
      <c r="A96" t="s">
        <v>312</v>
      </c>
      <c r="B96">
        <v>32.96</v>
      </c>
      <c r="C96">
        <v>2</v>
      </c>
      <c r="D96">
        <v>0</v>
      </c>
      <c r="E96">
        <v>16.150400000000001</v>
      </c>
    </row>
    <row r="97" spans="1:5" x14ac:dyDescent="0.3">
      <c r="A97" t="s">
        <v>316</v>
      </c>
      <c r="B97">
        <v>5.6820000000000004</v>
      </c>
      <c r="C97">
        <v>1</v>
      </c>
      <c r="D97">
        <v>0.7</v>
      </c>
      <c r="E97">
        <v>-3.7879999999999998</v>
      </c>
    </row>
    <row r="98" spans="1:5" x14ac:dyDescent="0.3">
      <c r="A98" t="s">
        <v>320</v>
      </c>
      <c r="B98">
        <v>96.53</v>
      </c>
      <c r="C98">
        <v>7</v>
      </c>
      <c r="D98">
        <v>0</v>
      </c>
      <c r="E98">
        <v>40.5426</v>
      </c>
    </row>
    <row r="99" spans="1:5" x14ac:dyDescent="0.3">
      <c r="A99" t="s">
        <v>324</v>
      </c>
      <c r="B99">
        <v>51.311999999999998</v>
      </c>
      <c r="C99">
        <v>3</v>
      </c>
      <c r="D99">
        <v>0.2</v>
      </c>
      <c r="E99">
        <v>17.959199999999999</v>
      </c>
    </row>
    <row r="100" spans="1:5" x14ac:dyDescent="0.3">
      <c r="A100" t="s">
        <v>328</v>
      </c>
      <c r="B100">
        <v>77.88</v>
      </c>
      <c r="C100">
        <v>6</v>
      </c>
      <c r="D100">
        <v>0</v>
      </c>
      <c r="E100">
        <v>22.5852</v>
      </c>
    </row>
    <row r="101" spans="1:5" x14ac:dyDescent="0.3">
      <c r="A101" t="s">
        <v>332</v>
      </c>
      <c r="B101">
        <v>64.623999999999995</v>
      </c>
      <c r="C101">
        <v>7</v>
      </c>
      <c r="D101">
        <v>0.2</v>
      </c>
      <c r="E101">
        <v>22.618400000000001</v>
      </c>
    </row>
    <row r="102" spans="1:5" x14ac:dyDescent="0.3">
      <c r="A102" t="s">
        <v>334</v>
      </c>
      <c r="B102">
        <v>95.975999999999999</v>
      </c>
      <c r="C102">
        <v>3</v>
      </c>
      <c r="D102">
        <v>0.2</v>
      </c>
      <c r="E102">
        <v>-10.7973</v>
      </c>
    </row>
    <row r="103" spans="1:5" x14ac:dyDescent="0.3">
      <c r="A103" t="s">
        <v>2656</v>
      </c>
      <c r="B103" t="s">
        <v>2656</v>
      </c>
      <c r="C103" t="s">
        <v>2656</v>
      </c>
      <c r="D103" t="s">
        <v>2656</v>
      </c>
      <c r="E103" t="s">
        <v>2656</v>
      </c>
    </row>
    <row r="104" spans="1:5" x14ac:dyDescent="0.3">
      <c r="A104" t="s">
        <v>336</v>
      </c>
      <c r="B104">
        <v>1.788</v>
      </c>
      <c r="C104">
        <v>3</v>
      </c>
      <c r="D104">
        <v>0.8</v>
      </c>
      <c r="E104">
        <v>-3.0396000000000001</v>
      </c>
    </row>
    <row r="105" spans="1:5" x14ac:dyDescent="0.3">
      <c r="A105" t="s">
        <v>340</v>
      </c>
      <c r="B105">
        <v>23.92</v>
      </c>
      <c r="C105">
        <v>4</v>
      </c>
      <c r="D105">
        <v>0</v>
      </c>
      <c r="E105">
        <v>11.720800000000001</v>
      </c>
    </row>
    <row r="106" spans="1:5" x14ac:dyDescent="0.3">
      <c r="A106" t="s">
        <v>344</v>
      </c>
      <c r="B106">
        <v>238.89599999999999</v>
      </c>
      <c r="C106">
        <v>6</v>
      </c>
      <c r="D106">
        <v>0.2</v>
      </c>
      <c r="E106">
        <v>-26.875800000000002</v>
      </c>
    </row>
    <row r="107" spans="1:5" x14ac:dyDescent="0.3">
      <c r="A107" t="s">
        <v>346</v>
      </c>
      <c r="B107">
        <v>102.36</v>
      </c>
      <c r="C107">
        <v>3</v>
      </c>
      <c r="D107">
        <v>0.2</v>
      </c>
      <c r="E107">
        <v>-3.8384999999999998</v>
      </c>
    </row>
    <row r="108" spans="1:5" x14ac:dyDescent="0.3">
      <c r="A108" t="s">
        <v>348</v>
      </c>
      <c r="B108">
        <v>36.881999999999998</v>
      </c>
      <c r="C108">
        <v>3</v>
      </c>
      <c r="D108">
        <v>0.7</v>
      </c>
      <c r="E108">
        <v>-25.817399999999999</v>
      </c>
    </row>
    <row r="109" spans="1:5" x14ac:dyDescent="0.3">
      <c r="A109" t="s">
        <v>352</v>
      </c>
      <c r="B109">
        <v>74.111999999999995</v>
      </c>
      <c r="C109">
        <v>8</v>
      </c>
      <c r="D109">
        <v>0.2</v>
      </c>
      <c r="E109">
        <v>17.601600000000001</v>
      </c>
    </row>
    <row r="110" spans="1:5" x14ac:dyDescent="0.3">
      <c r="A110" t="s">
        <v>354</v>
      </c>
      <c r="B110">
        <v>27.992000000000001</v>
      </c>
      <c r="C110">
        <v>1</v>
      </c>
      <c r="D110">
        <v>0.2</v>
      </c>
      <c r="E110">
        <v>2.0994000000000002</v>
      </c>
    </row>
    <row r="111" spans="1:5" x14ac:dyDescent="0.3">
      <c r="A111" t="s">
        <v>356</v>
      </c>
      <c r="B111">
        <v>3.3039999999999998</v>
      </c>
      <c r="C111">
        <v>1</v>
      </c>
      <c r="D111">
        <v>0.2</v>
      </c>
      <c r="E111">
        <v>1.0738000000000001</v>
      </c>
    </row>
    <row r="112" spans="1:5" x14ac:dyDescent="0.3">
      <c r="A112" t="s">
        <v>360</v>
      </c>
      <c r="B112">
        <v>339.96</v>
      </c>
      <c r="C112">
        <v>5</v>
      </c>
      <c r="D112">
        <v>0.2</v>
      </c>
      <c r="E112">
        <v>67.992000000000004</v>
      </c>
    </row>
    <row r="113" spans="1:5" x14ac:dyDescent="0.3">
      <c r="A113" t="s">
        <v>364</v>
      </c>
      <c r="B113">
        <v>41.96</v>
      </c>
      <c r="C113">
        <v>2</v>
      </c>
      <c r="D113">
        <v>0</v>
      </c>
      <c r="E113">
        <v>10.909599999999999</v>
      </c>
    </row>
    <row r="114" spans="1:5" x14ac:dyDescent="0.3">
      <c r="A114" t="s">
        <v>368</v>
      </c>
      <c r="B114">
        <v>75.959999999999994</v>
      </c>
      <c r="C114">
        <v>2</v>
      </c>
      <c r="D114">
        <v>0</v>
      </c>
      <c r="E114">
        <v>22.788</v>
      </c>
    </row>
    <row r="115" spans="1:5" x14ac:dyDescent="0.3">
      <c r="A115" t="s">
        <v>370</v>
      </c>
      <c r="B115">
        <v>27.24</v>
      </c>
      <c r="C115">
        <v>6</v>
      </c>
      <c r="D115">
        <v>0</v>
      </c>
      <c r="E115">
        <v>13.3476</v>
      </c>
    </row>
    <row r="116" spans="1:5" x14ac:dyDescent="0.3">
      <c r="A116" t="s">
        <v>374</v>
      </c>
      <c r="B116">
        <v>40.095999999999997</v>
      </c>
      <c r="C116">
        <v>14</v>
      </c>
      <c r="D116">
        <v>0.2</v>
      </c>
      <c r="E116">
        <v>14.534800000000001</v>
      </c>
    </row>
    <row r="117" spans="1:5" x14ac:dyDescent="0.3">
      <c r="A117" t="s">
        <v>376</v>
      </c>
      <c r="B117">
        <v>4.72</v>
      </c>
      <c r="C117">
        <v>2</v>
      </c>
      <c r="D117">
        <v>0.2</v>
      </c>
      <c r="E117">
        <v>1.6519999999999999</v>
      </c>
    </row>
    <row r="118" spans="1:5" x14ac:dyDescent="0.3">
      <c r="A118" t="s">
        <v>378</v>
      </c>
      <c r="B118">
        <v>23.975999999999999</v>
      </c>
      <c r="C118">
        <v>3</v>
      </c>
      <c r="D118">
        <v>0.2</v>
      </c>
      <c r="E118">
        <v>7.4924999999999997</v>
      </c>
    </row>
    <row r="119" spans="1:5" x14ac:dyDescent="0.3">
      <c r="A119" t="s">
        <v>2973</v>
      </c>
      <c r="B119">
        <v>130.464</v>
      </c>
      <c r="C119">
        <v>6</v>
      </c>
      <c r="D119">
        <v>0.2</v>
      </c>
      <c r="E119">
        <v>44.031599999999997</v>
      </c>
    </row>
    <row r="120" spans="1:5" x14ac:dyDescent="0.3">
      <c r="A120" t="s">
        <v>383</v>
      </c>
      <c r="B120">
        <v>787.53</v>
      </c>
      <c r="C120">
        <v>3</v>
      </c>
      <c r="D120">
        <v>0</v>
      </c>
      <c r="E120">
        <v>165.38130000000001</v>
      </c>
    </row>
    <row r="121" spans="1:5" x14ac:dyDescent="0.3">
      <c r="A121" t="s">
        <v>387</v>
      </c>
      <c r="B121">
        <v>157.79400000000001</v>
      </c>
      <c r="C121">
        <v>1</v>
      </c>
      <c r="D121">
        <v>0.7</v>
      </c>
      <c r="E121">
        <v>-115.71559999999999</v>
      </c>
    </row>
    <row r="122" spans="1:5" x14ac:dyDescent="0.3">
      <c r="A122" t="s">
        <v>391</v>
      </c>
      <c r="B122">
        <v>47.04</v>
      </c>
      <c r="C122">
        <v>3</v>
      </c>
      <c r="D122">
        <v>0</v>
      </c>
      <c r="E122">
        <v>18.345600000000001</v>
      </c>
    </row>
    <row r="123" spans="1:5" x14ac:dyDescent="0.3">
      <c r="A123" t="s">
        <v>59</v>
      </c>
      <c r="B123">
        <v>30.84</v>
      </c>
      <c r="C123">
        <v>4</v>
      </c>
      <c r="D123">
        <v>0</v>
      </c>
      <c r="E123">
        <v>13.878</v>
      </c>
    </row>
    <row r="124" spans="1:5" x14ac:dyDescent="0.3">
      <c r="A124" t="s">
        <v>393</v>
      </c>
      <c r="B124">
        <v>226.56</v>
      </c>
      <c r="C124">
        <v>6</v>
      </c>
      <c r="D124">
        <v>0</v>
      </c>
      <c r="E124">
        <v>63.436799999999998</v>
      </c>
    </row>
    <row r="125" spans="1:5" x14ac:dyDescent="0.3">
      <c r="A125" t="s">
        <v>395</v>
      </c>
      <c r="B125">
        <v>115.02</v>
      </c>
      <c r="C125">
        <v>9</v>
      </c>
      <c r="D125">
        <v>0</v>
      </c>
      <c r="E125">
        <v>51.759</v>
      </c>
    </row>
    <row r="126" spans="1:5" x14ac:dyDescent="0.3">
      <c r="A126" t="s">
        <v>397</v>
      </c>
      <c r="B126">
        <v>68.040000000000006</v>
      </c>
      <c r="C126">
        <v>7</v>
      </c>
      <c r="D126">
        <v>0</v>
      </c>
      <c r="E126">
        <v>19.7316</v>
      </c>
    </row>
    <row r="127" spans="1:5" x14ac:dyDescent="0.3">
      <c r="A127" t="s">
        <v>401</v>
      </c>
      <c r="B127">
        <v>600.55799999999999</v>
      </c>
      <c r="C127">
        <v>3</v>
      </c>
      <c r="D127">
        <v>0.3</v>
      </c>
      <c r="E127">
        <v>-8.5793999999999997</v>
      </c>
    </row>
    <row r="128" spans="1:5" x14ac:dyDescent="0.3">
      <c r="A128" t="s">
        <v>405</v>
      </c>
      <c r="B128">
        <v>617.70000000000005</v>
      </c>
      <c r="C128">
        <v>6</v>
      </c>
      <c r="D128">
        <v>0.5</v>
      </c>
      <c r="E128">
        <v>-407.68200000000002</v>
      </c>
    </row>
    <row r="129" spans="1:5" x14ac:dyDescent="0.3">
      <c r="A129" t="s">
        <v>409</v>
      </c>
      <c r="B129">
        <v>2.3879999999999999</v>
      </c>
      <c r="C129">
        <v>2</v>
      </c>
      <c r="D129">
        <v>0.7</v>
      </c>
      <c r="E129">
        <v>-1.8308</v>
      </c>
    </row>
    <row r="130" spans="1:5" x14ac:dyDescent="0.3">
      <c r="A130" t="s">
        <v>411</v>
      </c>
      <c r="B130">
        <v>243.99199999999999</v>
      </c>
      <c r="C130">
        <v>7</v>
      </c>
      <c r="D130">
        <v>0.2</v>
      </c>
      <c r="E130">
        <v>30.498999999999999</v>
      </c>
    </row>
    <row r="131" spans="1:5" x14ac:dyDescent="0.3">
      <c r="A131" t="s">
        <v>414</v>
      </c>
      <c r="B131">
        <v>81.424000000000007</v>
      </c>
      <c r="C131">
        <v>2</v>
      </c>
      <c r="D131">
        <v>0.2</v>
      </c>
      <c r="E131">
        <v>-9.1601999999999997</v>
      </c>
    </row>
    <row r="132" spans="1:5" x14ac:dyDescent="0.3">
      <c r="A132" t="s">
        <v>416</v>
      </c>
      <c r="B132">
        <v>238.56</v>
      </c>
      <c r="C132">
        <v>3</v>
      </c>
      <c r="D132">
        <v>0</v>
      </c>
      <c r="E132">
        <v>26.241599999999998</v>
      </c>
    </row>
    <row r="133" spans="1:5" x14ac:dyDescent="0.3">
      <c r="A133" t="s">
        <v>420</v>
      </c>
      <c r="B133">
        <v>59.97</v>
      </c>
      <c r="C133">
        <v>5</v>
      </c>
      <c r="D133">
        <v>0.4</v>
      </c>
      <c r="E133">
        <v>-11.994</v>
      </c>
    </row>
    <row r="134" spans="1:5" x14ac:dyDescent="0.3">
      <c r="A134" t="s">
        <v>422</v>
      </c>
      <c r="B134">
        <v>78.304000000000002</v>
      </c>
      <c r="C134">
        <v>2</v>
      </c>
      <c r="D134">
        <v>0.2</v>
      </c>
      <c r="E134">
        <v>29.364000000000001</v>
      </c>
    </row>
    <row r="135" spans="1:5" x14ac:dyDescent="0.3">
      <c r="A135" t="s">
        <v>424</v>
      </c>
      <c r="B135">
        <v>21.456</v>
      </c>
      <c r="C135">
        <v>9</v>
      </c>
      <c r="D135">
        <v>0.2</v>
      </c>
      <c r="E135">
        <v>6.9732000000000003</v>
      </c>
    </row>
    <row r="136" spans="1:5" x14ac:dyDescent="0.3">
      <c r="A136" t="s">
        <v>428</v>
      </c>
      <c r="B136">
        <v>20.04</v>
      </c>
      <c r="C136">
        <v>3</v>
      </c>
      <c r="D136">
        <v>0</v>
      </c>
      <c r="E136">
        <v>9.6191999999999993</v>
      </c>
    </row>
    <row r="137" spans="1:5" x14ac:dyDescent="0.3">
      <c r="A137" t="s">
        <v>430</v>
      </c>
      <c r="B137">
        <v>35.44</v>
      </c>
      <c r="C137">
        <v>1</v>
      </c>
      <c r="D137">
        <v>0</v>
      </c>
      <c r="E137">
        <v>16.6568</v>
      </c>
    </row>
    <row r="138" spans="1:5" x14ac:dyDescent="0.3">
      <c r="A138" t="s">
        <v>432</v>
      </c>
      <c r="B138">
        <v>11.52</v>
      </c>
      <c r="C138">
        <v>4</v>
      </c>
      <c r="D138">
        <v>0</v>
      </c>
      <c r="E138">
        <v>3.456</v>
      </c>
    </row>
    <row r="139" spans="1:5" x14ac:dyDescent="0.3">
      <c r="A139" t="s">
        <v>434</v>
      </c>
      <c r="B139">
        <v>4.0199999999999996</v>
      </c>
      <c r="C139">
        <v>2</v>
      </c>
      <c r="D139">
        <v>0</v>
      </c>
      <c r="E139">
        <v>1.9698</v>
      </c>
    </row>
    <row r="140" spans="1:5" x14ac:dyDescent="0.3">
      <c r="A140" t="s">
        <v>436</v>
      </c>
      <c r="B140">
        <v>76.176000000000002</v>
      </c>
      <c r="C140">
        <v>3</v>
      </c>
      <c r="D140">
        <v>0.2</v>
      </c>
      <c r="E140">
        <v>26.6616</v>
      </c>
    </row>
    <row r="141" spans="1:5" x14ac:dyDescent="0.3">
      <c r="A141" t="s">
        <v>439</v>
      </c>
      <c r="B141">
        <v>65.88</v>
      </c>
      <c r="C141">
        <v>6</v>
      </c>
      <c r="D141">
        <v>0</v>
      </c>
      <c r="E141">
        <v>18.446400000000001</v>
      </c>
    </row>
    <row r="142" spans="1:5" x14ac:dyDescent="0.3">
      <c r="A142" t="s">
        <v>193</v>
      </c>
      <c r="B142">
        <v>43.12</v>
      </c>
      <c r="C142">
        <v>14</v>
      </c>
      <c r="D142">
        <v>0</v>
      </c>
      <c r="E142">
        <v>20.697600000000001</v>
      </c>
    </row>
    <row r="143" spans="1:5" x14ac:dyDescent="0.3">
      <c r="A143" t="s">
        <v>127</v>
      </c>
      <c r="B143">
        <v>82.8</v>
      </c>
      <c r="C143">
        <v>2</v>
      </c>
      <c r="D143">
        <v>0.2</v>
      </c>
      <c r="E143">
        <v>10.35</v>
      </c>
    </row>
    <row r="144" spans="1:5" x14ac:dyDescent="0.3">
      <c r="A144" t="s">
        <v>445</v>
      </c>
      <c r="B144">
        <v>8.82</v>
      </c>
      <c r="C144">
        <v>3</v>
      </c>
      <c r="D144">
        <v>0</v>
      </c>
      <c r="E144">
        <v>2.3814000000000002</v>
      </c>
    </row>
    <row r="145" spans="1:5" x14ac:dyDescent="0.3">
      <c r="A145" t="s">
        <v>447</v>
      </c>
      <c r="B145">
        <v>10.86</v>
      </c>
      <c r="C145">
        <v>3</v>
      </c>
      <c r="D145">
        <v>0</v>
      </c>
      <c r="E145">
        <v>5.1041999999999996</v>
      </c>
    </row>
    <row r="146" spans="1:5" x14ac:dyDescent="0.3">
      <c r="A146" t="s">
        <v>449</v>
      </c>
      <c r="B146">
        <v>143.69999999999999</v>
      </c>
      <c r="C146">
        <v>3</v>
      </c>
      <c r="D146">
        <v>0</v>
      </c>
      <c r="E146">
        <v>68.975999999999999</v>
      </c>
    </row>
    <row r="147" spans="1:5" x14ac:dyDescent="0.3">
      <c r="A147" t="s">
        <v>453</v>
      </c>
      <c r="B147">
        <v>839.43</v>
      </c>
      <c r="C147">
        <v>3</v>
      </c>
      <c r="D147">
        <v>0</v>
      </c>
      <c r="E147">
        <v>218.2518</v>
      </c>
    </row>
    <row r="148" spans="1:5" x14ac:dyDescent="0.3">
      <c r="A148" t="s">
        <v>285</v>
      </c>
      <c r="B148">
        <v>671.93</v>
      </c>
      <c r="C148">
        <v>7</v>
      </c>
      <c r="D148">
        <v>0</v>
      </c>
      <c r="E148">
        <v>20.157900000000001</v>
      </c>
    </row>
    <row r="149" spans="1:5" x14ac:dyDescent="0.3">
      <c r="A149" t="s">
        <v>459</v>
      </c>
      <c r="B149">
        <v>93.888000000000005</v>
      </c>
      <c r="C149">
        <v>4</v>
      </c>
      <c r="D149">
        <v>0.2</v>
      </c>
      <c r="E149">
        <v>12.909599999999999</v>
      </c>
    </row>
    <row r="150" spans="1:5" x14ac:dyDescent="0.3">
      <c r="A150" t="s">
        <v>463</v>
      </c>
      <c r="B150">
        <v>384.45</v>
      </c>
      <c r="C150">
        <v>11</v>
      </c>
      <c r="D150">
        <v>0</v>
      </c>
      <c r="E150">
        <v>103.8015</v>
      </c>
    </row>
    <row r="151" spans="1:5" x14ac:dyDescent="0.3">
      <c r="A151" t="s">
        <v>465</v>
      </c>
      <c r="B151">
        <v>149.97</v>
      </c>
      <c r="C151">
        <v>3</v>
      </c>
      <c r="D151">
        <v>0</v>
      </c>
      <c r="E151">
        <v>5.9988000000000001</v>
      </c>
    </row>
    <row r="152" spans="1:5" x14ac:dyDescent="0.3">
      <c r="A152" t="s">
        <v>27</v>
      </c>
      <c r="B152">
        <v>1951.84</v>
      </c>
      <c r="C152">
        <v>8</v>
      </c>
      <c r="D152">
        <v>0</v>
      </c>
      <c r="E152">
        <v>585.55200000000002</v>
      </c>
    </row>
    <row r="153" spans="1:5" x14ac:dyDescent="0.3">
      <c r="A153" t="s">
        <v>467</v>
      </c>
      <c r="B153">
        <v>171.55</v>
      </c>
      <c r="C153">
        <v>5</v>
      </c>
      <c r="D153">
        <v>0</v>
      </c>
      <c r="E153">
        <v>80.628500000000003</v>
      </c>
    </row>
    <row r="154" spans="1:5" x14ac:dyDescent="0.3">
      <c r="A154" t="s">
        <v>471</v>
      </c>
      <c r="B154">
        <v>157.91999999999999</v>
      </c>
      <c r="C154">
        <v>5</v>
      </c>
      <c r="D154">
        <v>0.2</v>
      </c>
      <c r="E154">
        <v>17.765999999999998</v>
      </c>
    </row>
    <row r="155" spans="1:5" x14ac:dyDescent="0.3">
      <c r="A155" t="s">
        <v>473</v>
      </c>
      <c r="B155">
        <v>203.184</v>
      </c>
      <c r="C155">
        <v>2</v>
      </c>
      <c r="D155">
        <v>0.2</v>
      </c>
      <c r="E155">
        <v>15.238799999999999</v>
      </c>
    </row>
    <row r="156" spans="1:5" x14ac:dyDescent="0.3">
      <c r="A156" t="s">
        <v>477</v>
      </c>
      <c r="B156">
        <v>58.38</v>
      </c>
      <c r="C156">
        <v>7</v>
      </c>
      <c r="D156">
        <v>0</v>
      </c>
      <c r="E156">
        <v>26.271000000000001</v>
      </c>
    </row>
    <row r="157" spans="1:5" x14ac:dyDescent="0.3">
      <c r="A157" t="s">
        <v>479</v>
      </c>
      <c r="B157">
        <v>105.52</v>
      </c>
      <c r="C157">
        <v>4</v>
      </c>
      <c r="D157">
        <v>0</v>
      </c>
      <c r="E157">
        <v>48.539200000000001</v>
      </c>
    </row>
    <row r="158" spans="1:5" x14ac:dyDescent="0.3">
      <c r="A158" t="s">
        <v>481</v>
      </c>
      <c r="B158">
        <v>80.88</v>
      </c>
      <c r="C158">
        <v>6</v>
      </c>
      <c r="D158">
        <v>0</v>
      </c>
      <c r="E158">
        <v>21.0288</v>
      </c>
    </row>
    <row r="159" spans="1:5" x14ac:dyDescent="0.3">
      <c r="A159" t="s">
        <v>485</v>
      </c>
      <c r="B159">
        <v>6.63</v>
      </c>
      <c r="C159">
        <v>3</v>
      </c>
      <c r="D159">
        <v>0</v>
      </c>
      <c r="E159">
        <v>1.7901</v>
      </c>
    </row>
    <row r="160" spans="1:5" x14ac:dyDescent="0.3">
      <c r="A160" t="s">
        <v>401</v>
      </c>
      <c r="B160">
        <v>457.56799999999998</v>
      </c>
      <c r="C160">
        <v>2</v>
      </c>
      <c r="D160">
        <v>0.2</v>
      </c>
      <c r="E160">
        <v>51.476399999999998</v>
      </c>
    </row>
    <row r="161" spans="1:5" x14ac:dyDescent="0.3">
      <c r="A161" t="s">
        <v>491</v>
      </c>
      <c r="B161">
        <v>14.62</v>
      </c>
      <c r="C161">
        <v>2</v>
      </c>
      <c r="D161">
        <v>0</v>
      </c>
      <c r="E161">
        <v>6.8714000000000004</v>
      </c>
    </row>
    <row r="162" spans="1:5" x14ac:dyDescent="0.3">
      <c r="A162" t="s">
        <v>493</v>
      </c>
      <c r="B162">
        <v>944.93</v>
      </c>
      <c r="C162">
        <v>7</v>
      </c>
      <c r="D162">
        <v>0</v>
      </c>
      <c r="E162">
        <v>236.23249999999999</v>
      </c>
    </row>
    <row r="163" spans="1:5" x14ac:dyDescent="0.3">
      <c r="A163" t="s">
        <v>497</v>
      </c>
      <c r="B163">
        <v>5.98</v>
      </c>
      <c r="C163">
        <v>1</v>
      </c>
      <c r="D163">
        <v>0</v>
      </c>
      <c r="E163">
        <v>2.6909999999999998</v>
      </c>
    </row>
    <row r="164" spans="1:5" x14ac:dyDescent="0.3">
      <c r="A164" t="s">
        <v>501</v>
      </c>
      <c r="B164">
        <v>54.384</v>
      </c>
      <c r="C164">
        <v>2</v>
      </c>
      <c r="D164">
        <v>0.2</v>
      </c>
      <c r="E164">
        <v>1.3595999999999999</v>
      </c>
    </row>
    <row r="165" spans="1:5" x14ac:dyDescent="0.3">
      <c r="A165" t="s">
        <v>505</v>
      </c>
      <c r="B165">
        <v>28.4</v>
      </c>
      <c r="C165">
        <v>5</v>
      </c>
      <c r="D165">
        <v>0</v>
      </c>
      <c r="E165">
        <v>13.348000000000001</v>
      </c>
    </row>
    <row r="166" spans="1:5" x14ac:dyDescent="0.3">
      <c r="A166" t="s">
        <v>509</v>
      </c>
      <c r="B166">
        <v>27.68</v>
      </c>
      <c r="C166">
        <v>2</v>
      </c>
      <c r="D166">
        <v>0.2</v>
      </c>
      <c r="E166">
        <v>9.6880000000000006</v>
      </c>
    </row>
    <row r="167" spans="1:5" x14ac:dyDescent="0.3">
      <c r="A167" t="s">
        <v>513</v>
      </c>
      <c r="B167">
        <v>9.9359999999999999</v>
      </c>
      <c r="C167">
        <v>3</v>
      </c>
      <c r="D167">
        <v>0.2</v>
      </c>
      <c r="E167">
        <v>2.7324000000000002</v>
      </c>
    </row>
    <row r="168" spans="1:5" x14ac:dyDescent="0.3">
      <c r="A168" t="s">
        <v>516</v>
      </c>
      <c r="B168">
        <v>8159.9520000000002</v>
      </c>
      <c r="C168">
        <v>8</v>
      </c>
      <c r="D168">
        <v>0.4</v>
      </c>
      <c r="E168">
        <v>-1359.992</v>
      </c>
    </row>
    <row r="169" spans="1:5" x14ac:dyDescent="0.3">
      <c r="A169" t="s">
        <v>518</v>
      </c>
      <c r="B169">
        <v>275.928</v>
      </c>
      <c r="C169">
        <v>3</v>
      </c>
      <c r="D169">
        <v>0.2</v>
      </c>
      <c r="E169">
        <v>-58.634700000000002</v>
      </c>
    </row>
    <row r="170" spans="1:5" x14ac:dyDescent="0.3">
      <c r="A170" t="s">
        <v>520</v>
      </c>
      <c r="B170">
        <v>1740.06</v>
      </c>
      <c r="C170">
        <v>9</v>
      </c>
      <c r="D170">
        <v>0.3</v>
      </c>
      <c r="E170">
        <v>-24.858000000000001</v>
      </c>
    </row>
    <row r="171" spans="1:5" x14ac:dyDescent="0.3">
      <c r="A171" t="s">
        <v>522</v>
      </c>
      <c r="B171">
        <v>32.064</v>
      </c>
      <c r="C171">
        <v>6</v>
      </c>
      <c r="D171">
        <v>0.2</v>
      </c>
      <c r="E171">
        <v>6.8136000000000001</v>
      </c>
    </row>
    <row r="172" spans="1:5" x14ac:dyDescent="0.3">
      <c r="A172" t="s">
        <v>524</v>
      </c>
      <c r="B172">
        <v>177.98</v>
      </c>
      <c r="C172">
        <v>5</v>
      </c>
      <c r="D172">
        <v>0.8</v>
      </c>
      <c r="E172">
        <v>-453.84899999999999</v>
      </c>
    </row>
    <row r="173" spans="1:5" x14ac:dyDescent="0.3">
      <c r="A173" t="s">
        <v>526</v>
      </c>
      <c r="B173">
        <v>143.976</v>
      </c>
      <c r="C173">
        <v>3</v>
      </c>
      <c r="D173">
        <v>0.2</v>
      </c>
      <c r="E173">
        <v>8.9984999999999999</v>
      </c>
    </row>
    <row r="174" spans="1:5" x14ac:dyDescent="0.3">
      <c r="A174" t="s">
        <v>530</v>
      </c>
      <c r="B174">
        <v>20.94</v>
      </c>
      <c r="C174">
        <v>3</v>
      </c>
      <c r="D174">
        <v>0</v>
      </c>
      <c r="E174">
        <v>9.8417999999999992</v>
      </c>
    </row>
    <row r="175" spans="1:5" x14ac:dyDescent="0.3">
      <c r="A175" t="s">
        <v>532</v>
      </c>
      <c r="B175">
        <v>110.96</v>
      </c>
      <c r="C175">
        <v>2</v>
      </c>
      <c r="D175">
        <v>0</v>
      </c>
      <c r="E175">
        <v>53.260800000000003</v>
      </c>
    </row>
    <row r="176" spans="1:5" x14ac:dyDescent="0.3">
      <c r="A176" t="s">
        <v>534</v>
      </c>
      <c r="B176">
        <v>340.14400000000001</v>
      </c>
      <c r="C176">
        <v>7</v>
      </c>
      <c r="D176">
        <v>0.2</v>
      </c>
      <c r="E176">
        <v>21.259</v>
      </c>
    </row>
    <row r="177" spans="1:5" x14ac:dyDescent="0.3">
      <c r="A177" t="s">
        <v>538</v>
      </c>
      <c r="B177">
        <v>52.448</v>
      </c>
      <c r="C177">
        <v>2</v>
      </c>
      <c r="D177">
        <v>0.8</v>
      </c>
      <c r="E177">
        <v>-131.12</v>
      </c>
    </row>
    <row r="178" spans="1:5" x14ac:dyDescent="0.3">
      <c r="A178" t="s">
        <v>540</v>
      </c>
      <c r="B178">
        <v>20.16</v>
      </c>
      <c r="C178">
        <v>4</v>
      </c>
      <c r="D178">
        <v>0.2</v>
      </c>
      <c r="E178">
        <v>6.5519999999999996</v>
      </c>
    </row>
    <row r="179" spans="1:5" x14ac:dyDescent="0.3">
      <c r="A179" t="s">
        <v>544</v>
      </c>
      <c r="B179">
        <v>97.263999999999996</v>
      </c>
      <c r="C179">
        <v>4</v>
      </c>
      <c r="D179">
        <v>0.8</v>
      </c>
      <c r="E179">
        <v>-243.16</v>
      </c>
    </row>
    <row r="180" spans="1:5" x14ac:dyDescent="0.3">
      <c r="A180" t="s">
        <v>547</v>
      </c>
      <c r="B180">
        <v>396.80200000000002</v>
      </c>
      <c r="C180">
        <v>7</v>
      </c>
      <c r="D180">
        <v>0.3</v>
      </c>
      <c r="E180">
        <v>-11.337199999999999</v>
      </c>
    </row>
    <row r="181" spans="1:5" x14ac:dyDescent="0.3">
      <c r="A181" t="s">
        <v>549</v>
      </c>
      <c r="B181">
        <v>15.88</v>
      </c>
      <c r="C181">
        <v>5</v>
      </c>
      <c r="D181">
        <v>0.2</v>
      </c>
      <c r="E181">
        <v>-3.7715000000000001</v>
      </c>
    </row>
    <row r="182" spans="1:5" x14ac:dyDescent="0.3">
      <c r="A182" t="s">
        <v>553</v>
      </c>
      <c r="B182">
        <v>3.28</v>
      </c>
      <c r="C182">
        <v>1</v>
      </c>
      <c r="D182">
        <v>0</v>
      </c>
      <c r="E182">
        <v>1.4104000000000001</v>
      </c>
    </row>
    <row r="183" spans="1:5" x14ac:dyDescent="0.3">
      <c r="A183" t="s">
        <v>557</v>
      </c>
      <c r="B183">
        <v>24.815999999999999</v>
      </c>
      <c r="C183">
        <v>2</v>
      </c>
      <c r="D183">
        <v>0.2</v>
      </c>
      <c r="E183">
        <v>1.8612</v>
      </c>
    </row>
    <row r="184" spans="1:5" x14ac:dyDescent="0.3">
      <c r="A184" t="s">
        <v>559</v>
      </c>
      <c r="B184">
        <v>408.74400000000003</v>
      </c>
      <c r="C184">
        <v>7</v>
      </c>
      <c r="D184">
        <v>0.2</v>
      </c>
      <c r="E184">
        <v>76.639499999999998</v>
      </c>
    </row>
    <row r="185" spans="1:5" x14ac:dyDescent="0.3">
      <c r="A185" t="s">
        <v>563</v>
      </c>
      <c r="B185">
        <v>503.96</v>
      </c>
      <c r="C185">
        <v>4</v>
      </c>
      <c r="D185">
        <v>0</v>
      </c>
      <c r="E185">
        <v>131.02959999999999</v>
      </c>
    </row>
    <row r="186" spans="1:5" x14ac:dyDescent="0.3">
      <c r="A186" t="s">
        <v>565</v>
      </c>
      <c r="B186">
        <v>149.94999999999999</v>
      </c>
      <c r="C186">
        <v>5</v>
      </c>
      <c r="D186">
        <v>0</v>
      </c>
      <c r="E186">
        <v>41.985999999999997</v>
      </c>
    </row>
    <row r="187" spans="1:5" x14ac:dyDescent="0.3">
      <c r="A187" t="s">
        <v>567</v>
      </c>
      <c r="B187">
        <v>29</v>
      </c>
      <c r="C187">
        <v>2</v>
      </c>
      <c r="D187">
        <v>0</v>
      </c>
      <c r="E187">
        <v>7.25</v>
      </c>
    </row>
    <row r="188" spans="1:5" x14ac:dyDescent="0.3">
      <c r="A188" t="s">
        <v>571</v>
      </c>
      <c r="B188">
        <v>7.16</v>
      </c>
      <c r="C188">
        <v>2</v>
      </c>
      <c r="D188">
        <v>0</v>
      </c>
      <c r="E188">
        <v>3.4367999999999999</v>
      </c>
    </row>
    <row r="189" spans="1:5" x14ac:dyDescent="0.3">
      <c r="A189" t="s">
        <v>575</v>
      </c>
      <c r="B189">
        <v>176.8</v>
      </c>
      <c r="C189">
        <v>8</v>
      </c>
      <c r="D189">
        <v>0</v>
      </c>
      <c r="E189">
        <v>22.984000000000002</v>
      </c>
    </row>
    <row r="190" spans="1:5" x14ac:dyDescent="0.3">
      <c r="A190" t="s">
        <v>579</v>
      </c>
      <c r="B190">
        <v>37.223999999999997</v>
      </c>
      <c r="C190">
        <v>3</v>
      </c>
      <c r="D190">
        <v>0.2</v>
      </c>
      <c r="E190">
        <v>3.7223999999999999</v>
      </c>
    </row>
    <row r="191" spans="1:5" x14ac:dyDescent="0.3">
      <c r="A191" t="s">
        <v>477</v>
      </c>
      <c r="B191">
        <v>20.015999999999998</v>
      </c>
      <c r="C191">
        <v>3</v>
      </c>
      <c r="D191">
        <v>0.2</v>
      </c>
      <c r="E191">
        <v>6.2549999999999999</v>
      </c>
    </row>
    <row r="192" spans="1:5" x14ac:dyDescent="0.3">
      <c r="A192" t="s">
        <v>583</v>
      </c>
      <c r="B192">
        <v>899.13599999999997</v>
      </c>
      <c r="C192">
        <v>4</v>
      </c>
      <c r="D192">
        <v>0.2</v>
      </c>
      <c r="E192">
        <v>112.392</v>
      </c>
    </row>
    <row r="193" spans="1:5" x14ac:dyDescent="0.3">
      <c r="A193" t="s">
        <v>585</v>
      </c>
      <c r="B193">
        <v>71.760000000000005</v>
      </c>
      <c r="C193">
        <v>6</v>
      </c>
      <c r="D193">
        <v>0</v>
      </c>
      <c r="E193">
        <v>20.0928</v>
      </c>
    </row>
    <row r="194" spans="1:5" x14ac:dyDescent="0.3">
      <c r="A194" t="s">
        <v>587</v>
      </c>
      <c r="B194">
        <v>51.84</v>
      </c>
      <c r="C194">
        <v>8</v>
      </c>
      <c r="D194">
        <v>0</v>
      </c>
      <c r="E194">
        <v>24.883199999999999</v>
      </c>
    </row>
    <row r="195" spans="1:5" x14ac:dyDescent="0.3">
      <c r="A195" t="s">
        <v>153</v>
      </c>
      <c r="B195">
        <v>626.35199999999998</v>
      </c>
      <c r="C195">
        <v>3</v>
      </c>
      <c r="D195">
        <v>0.2</v>
      </c>
      <c r="E195">
        <v>46.976399999999998</v>
      </c>
    </row>
    <row r="196" spans="1:5" x14ac:dyDescent="0.3">
      <c r="A196" t="s">
        <v>589</v>
      </c>
      <c r="B196">
        <v>19.899999999999999</v>
      </c>
      <c r="C196">
        <v>5</v>
      </c>
      <c r="D196">
        <v>0</v>
      </c>
      <c r="E196">
        <v>6.5670000000000002</v>
      </c>
    </row>
    <row r="197" spans="1:5" x14ac:dyDescent="0.3">
      <c r="A197" t="s">
        <v>130</v>
      </c>
      <c r="B197">
        <v>14.28</v>
      </c>
      <c r="C197">
        <v>7</v>
      </c>
      <c r="D197">
        <v>0</v>
      </c>
      <c r="E197">
        <v>6.7115999999999998</v>
      </c>
    </row>
    <row r="198" spans="1:5" x14ac:dyDescent="0.3">
      <c r="A198" t="s">
        <v>595</v>
      </c>
      <c r="B198">
        <v>7.4080000000000004</v>
      </c>
      <c r="C198">
        <v>2</v>
      </c>
      <c r="D198">
        <v>0.2</v>
      </c>
      <c r="E198">
        <v>1.2038</v>
      </c>
    </row>
    <row r="199" spans="1:5" x14ac:dyDescent="0.3">
      <c r="A199" t="s">
        <v>597</v>
      </c>
      <c r="B199">
        <v>6.048</v>
      </c>
      <c r="C199">
        <v>3</v>
      </c>
      <c r="D199">
        <v>0.2</v>
      </c>
      <c r="E199">
        <v>1.5875999999999999</v>
      </c>
    </row>
    <row r="200" spans="1:5" x14ac:dyDescent="0.3">
      <c r="A200" t="s">
        <v>2656</v>
      </c>
      <c r="B200" t="s">
        <v>2656</v>
      </c>
      <c r="C200" t="s">
        <v>2656</v>
      </c>
      <c r="D200" t="s">
        <v>2656</v>
      </c>
      <c r="E200" t="s">
        <v>2656</v>
      </c>
    </row>
    <row r="201" spans="1:5" x14ac:dyDescent="0.3">
      <c r="A201" t="s">
        <v>601</v>
      </c>
      <c r="B201">
        <v>46.26</v>
      </c>
      <c r="C201">
        <v>3</v>
      </c>
      <c r="D201">
        <v>0</v>
      </c>
      <c r="E201">
        <v>12.0276</v>
      </c>
    </row>
    <row r="202" spans="1:5" x14ac:dyDescent="0.3">
      <c r="A202" t="s">
        <v>605</v>
      </c>
      <c r="B202">
        <v>2.9460000000000002</v>
      </c>
      <c r="C202">
        <v>2</v>
      </c>
      <c r="D202">
        <v>0.7</v>
      </c>
      <c r="E202">
        <v>-2.2585999999999999</v>
      </c>
    </row>
    <row r="203" spans="1:5" x14ac:dyDescent="0.3">
      <c r="A203" t="s">
        <v>607</v>
      </c>
      <c r="B203">
        <v>16.056000000000001</v>
      </c>
      <c r="C203">
        <v>3</v>
      </c>
      <c r="D203">
        <v>0.2</v>
      </c>
      <c r="E203">
        <v>5.8202999999999996</v>
      </c>
    </row>
    <row r="204" spans="1:5" x14ac:dyDescent="0.3">
      <c r="A204" t="s">
        <v>611</v>
      </c>
      <c r="B204">
        <v>21.744</v>
      </c>
      <c r="C204">
        <v>3</v>
      </c>
      <c r="D204">
        <v>0.2</v>
      </c>
      <c r="E204">
        <v>6.7949999999999999</v>
      </c>
    </row>
    <row r="205" spans="1:5" x14ac:dyDescent="0.3">
      <c r="A205" t="s">
        <v>615</v>
      </c>
      <c r="B205">
        <v>218.75</v>
      </c>
      <c r="C205">
        <v>2</v>
      </c>
      <c r="D205">
        <v>0.5</v>
      </c>
      <c r="E205">
        <v>-161.875</v>
      </c>
    </row>
    <row r="206" spans="1:5" x14ac:dyDescent="0.3">
      <c r="A206" t="s">
        <v>617</v>
      </c>
      <c r="B206">
        <v>2.6</v>
      </c>
      <c r="C206">
        <v>1</v>
      </c>
      <c r="D206">
        <v>0.2</v>
      </c>
      <c r="E206">
        <v>0.29249999999999998</v>
      </c>
    </row>
    <row r="207" spans="1:5" x14ac:dyDescent="0.3">
      <c r="A207" t="s">
        <v>2974</v>
      </c>
      <c r="B207">
        <v>66.284000000000006</v>
      </c>
      <c r="C207">
        <v>2</v>
      </c>
      <c r="D207">
        <v>0.8</v>
      </c>
      <c r="E207">
        <v>-178.96680000000001</v>
      </c>
    </row>
    <row r="208" spans="1:5" x14ac:dyDescent="0.3">
      <c r="A208" t="s">
        <v>624</v>
      </c>
      <c r="B208">
        <v>35.167999999999999</v>
      </c>
      <c r="C208">
        <v>7</v>
      </c>
      <c r="D208">
        <v>0.2</v>
      </c>
      <c r="E208">
        <v>9.6712000000000007</v>
      </c>
    </row>
    <row r="209" spans="1:5" x14ac:dyDescent="0.3">
      <c r="A209" t="s">
        <v>628</v>
      </c>
      <c r="B209">
        <v>444.76799999999997</v>
      </c>
      <c r="C209">
        <v>4</v>
      </c>
      <c r="D209">
        <v>0.2</v>
      </c>
      <c r="E209">
        <v>44.476799999999997</v>
      </c>
    </row>
    <row r="210" spans="1:5" x14ac:dyDescent="0.3">
      <c r="A210" t="s">
        <v>632</v>
      </c>
      <c r="B210">
        <v>83.92</v>
      </c>
      <c r="C210">
        <v>4</v>
      </c>
      <c r="D210">
        <v>0</v>
      </c>
      <c r="E210">
        <v>5.8743999999999996</v>
      </c>
    </row>
    <row r="211" spans="1:5" x14ac:dyDescent="0.3">
      <c r="A211" t="s">
        <v>634</v>
      </c>
      <c r="B211">
        <v>131.97999999999999</v>
      </c>
      <c r="C211">
        <v>2</v>
      </c>
      <c r="D211">
        <v>0</v>
      </c>
      <c r="E211">
        <v>35.634599999999999</v>
      </c>
    </row>
    <row r="212" spans="1:5" x14ac:dyDescent="0.3">
      <c r="A212" t="s">
        <v>409</v>
      </c>
      <c r="B212">
        <v>15.92</v>
      </c>
      <c r="C212">
        <v>4</v>
      </c>
      <c r="D212">
        <v>0</v>
      </c>
      <c r="E212">
        <v>7.4824000000000002</v>
      </c>
    </row>
    <row r="213" spans="1:5" x14ac:dyDescent="0.3">
      <c r="A213" t="s">
        <v>636</v>
      </c>
      <c r="B213">
        <v>52.29</v>
      </c>
      <c r="C213">
        <v>9</v>
      </c>
      <c r="D213">
        <v>0</v>
      </c>
      <c r="E213">
        <v>16.209900000000001</v>
      </c>
    </row>
    <row r="214" spans="1:5" x14ac:dyDescent="0.3">
      <c r="A214" t="s">
        <v>638</v>
      </c>
      <c r="B214">
        <v>91.99</v>
      </c>
      <c r="C214">
        <v>1</v>
      </c>
      <c r="D214">
        <v>0</v>
      </c>
      <c r="E214">
        <v>3.6796000000000002</v>
      </c>
    </row>
    <row r="215" spans="1:5" x14ac:dyDescent="0.3">
      <c r="A215" t="s">
        <v>642</v>
      </c>
      <c r="B215">
        <v>20.8</v>
      </c>
      <c r="C215">
        <v>2</v>
      </c>
      <c r="D215">
        <v>0.2</v>
      </c>
      <c r="E215">
        <v>6.5</v>
      </c>
    </row>
    <row r="216" spans="1:5" x14ac:dyDescent="0.3">
      <c r="A216" t="s">
        <v>646</v>
      </c>
      <c r="B216">
        <v>23.68</v>
      </c>
      <c r="C216">
        <v>2</v>
      </c>
      <c r="D216">
        <v>0.2</v>
      </c>
      <c r="E216">
        <v>8.8800000000000008</v>
      </c>
    </row>
    <row r="217" spans="1:5" x14ac:dyDescent="0.3">
      <c r="A217" t="s">
        <v>648</v>
      </c>
      <c r="B217">
        <v>452.45</v>
      </c>
      <c r="C217">
        <v>5</v>
      </c>
      <c r="D217">
        <v>0.5</v>
      </c>
      <c r="E217">
        <v>-244.32300000000001</v>
      </c>
    </row>
    <row r="218" spans="1:5" x14ac:dyDescent="0.3">
      <c r="A218" t="s">
        <v>354</v>
      </c>
      <c r="B218">
        <v>62.981999999999999</v>
      </c>
      <c r="C218">
        <v>3</v>
      </c>
      <c r="D218">
        <v>0.4</v>
      </c>
      <c r="E218">
        <v>-14.6958</v>
      </c>
    </row>
    <row r="219" spans="1:5" x14ac:dyDescent="0.3">
      <c r="A219" t="s">
        <v>650</v>
      </c>
      <c r="B219">
        <v>1188</v>
      </c>
      <c r="C219">
        <v>9</v>
      </c>
      <c r="D219">
        <v>0.7</v>
      </c>
      <c r="E219">
        <v>-950.4</v>
      </c>
    </row>
    <row r="220" spans="1:5" x14ac:dyDescent="0.3">
      <c r="A220" t="s">
        <v>652</v>
      </c>
      <c r="B220">
        <v>89.584000000000003</v>
      </c>
      <c r="C220">
        <v>2</v>
      </c>
      <c r="D220">
        <v>0.2</v>
      </c>
      <c r="E220">
        <v>4.4791999999999996</v>
      </c>
    </row>
    <row r="221" spans="1:5" x14ac:dyDescent="0.3">
      <c r="A221" t="s">
        <v>579</v>
      </c>
      <c r="B221">
        <v>93.06</v>
      </c>
      <c r="C221">
        <v>6</v>
      </c>
      <c r="D221">
        <v>0</v>
      </c>
      <c r="E221">
        <v>26.056799999999999</v>
      </c>
    </row>
    <row r="222" spans="1:5" x14ac:dyDescent="0.3">
      <c r="A222" t="s">
        <v>656</v>
      </c>
      <c r="B222">
        <v>302.37599999999998</v>
      </c>
      <c r="C222">
        <v>3</v>
      </c>
      <c r="D222">
        <v>0.2</v>
      </c>
      <c r="E222">
        <v>22.6782</v>
      </c>
    </row>
    <row r="223" spans="1:5" x14ac:dyDescent="0.3">
      <c r="A223" t="s">
        <v>660</v>
      </c>
      <c r="B223">
        <v>5.5839999999999996</v>
      </c>
      <c r="C223">
        <v>2</v>
      </c>
      <c r="D223">
        <v>0.2</v>
      </c>
      <c r="E223">
        <v>1.8148</v>
      </c>
    </row>
    <row r="224" spans="1:5" x14ac:dyDescent="0.3">
      <c r="A224" t="s">
        <v>662</v>
      </c>
      <c r="B224">
        <v>22.704000000000001</v>
      </c>
      <c r="C224">
        <v>6</v>
      </c>
      <c r="D224">
        <v>0.2</v>
      </c>
      <c r="E224">
        <v>8.2302</v>
      </c>
    </row>
    <row r="225" spans="1:5" x14ac:dyDescent="0.3">
      <c r="A225" t="s">
        <v>312</v>
      </c>
      <c r="B225">
        <v>19.776</v>
      </c>
      <c r="C225">
        <v>4</v>
      </c>
      <c r="D225">
        <v>0.7</v>
      </c>
      <c r="E225">
        <v>-13.8432</v>
      </c>
    </row>
    <row r="226" spans="1:5" x14ac:dyDescent="0.3">
      <c r="A226" t="s">
        <v>664</v>
      </c>
      <c r="B226">
        <v>72.703999999999994</v>
      </c>
      <c r="C226">
        <v>4</v>
      </c>
      <c r="D226">
        <v>0.2</v>
      </c>
      <c r="E226">
        <v>19.084800000000001</v>
      </c>
    </row>
    <row r="227" spans="1:5" x14ac:dyDescent="0.3">
      <c r="A227" t="s">
        <v>666</v>
      </c>
      <c r="B227">
        <v>479.988</v>
      </c>
      <c r="C227">
        <v>4</v>
      </c>
      <c r="D227">
        <v>0.7</v>
      </c>
      <c r="E227">
        <v>-383.99040000000002</v>
      </c>
    </row>
    <row r="228" spans="1:5" x14ac:dyDescent="0.3">
      <c r="A228" t="s">
        <v>668</v>
      </c>
      <c r="B228">
        <v>27.167999999999999</v>
      </c>
      <c r="C228">
        <v>2</v>
      </c>
      <c r="D228">
        <v>0.2</v>
      </c>
      <c r="E228">
        <v>2.7168000000000001</v>
      </c>
    </row>
    <row r="229" spans="1:5" x14ac:dyDescent="0.3">
      <c r="A229" t="s">
        <v>672</v>
      </c>
      <c r="B229">
        <v>2.2000000000000002</v>
      </c>
      <c r="C229">
        <v>1</v>
      </c>
      <c r="D229">
        <v>0</v>
      </c>
      <c r="E229">
        <v>0.96799999999999997</v>
      </c>
    </row>
    <row r="230" spans="1:5" x14ac:dyDescent="0.3">
      <c r="A230" t="s">
        <v>674</v>
      </c>
      <c r="B230">
        <v>622.45000000000005</v>
      </c>
      <c r="C230">
        <v>5</v>
      </c>
      <c r="D230">
        <v>0</v>
      </c>
      <c r="E230">
        <v>136.93899999999999</v>
      </c>
    </row>
    <row r="231" spans="1:5" x14ac:dyDescent="0.3">
      <c r="A231" t="s">
        <v>676</v>
      </c>
      <c r="B231">
        <v>21.98</v>
      </c>
      <c r="C231">
        <v>1</v>
      </c>
      <c r="D231">
        <v>0</v>
      </c>
      <c r="E231">
        <v>0.2198</v>
      </c>
    </row>
    <row r="232" spans="1:5" x14ac:dyDescent="0.3">
      <c r="A232" t="s">
        <v>680</v>
      </c>
      <c r="B232">
        <v>161.56800000000001</v>
      </c>
      <c r="C232">
        <v>2</v>
      </c>
      <c r="D232">
        <v>0.2</v>
      </c>
      <c r="E232">
        <v>-28.2744</v>
      </c>
    </row>
    <row r="233" spans="1:5" x14ac:dyDescent="0.3">
      <c r="A233" t="s">
        <v>682</v>
      </c>
      <c r="B233">
        <v>389.69600000000003</v>
      </c>
      <c r="C233">
        <v>8</v>
      </c>
      <c r="D233">
        <v>0.2</v>
      </c>
      <c r="E233">
        <v>43.840800000000002</v>
      </c>
    </row>
    <row r="234" spans="1:5" x14ac:dyDescent="0.3">
      <c r="A234" t="s">
        <v>686</v>
      </c>
      <c r="B234">
        <v>18.648</v>
      </c>
      <c r="C234">
        <v>7</v>
      </c>
      <c r="D234">
        <v>0.7</v>
      </c>
      <c r="E234">
        <v>-12.432</v>
      </c>
    </row>
    <row r="235" spans="1:5" x14ac:dyDescent="0.3">
      <c r="A235" t="s">
        <v>689</v>
      </c>
      <c r="B235">
        <v>233.86</v>
      </c>
      <c r="C235">
        <v>2</v>
      </c>
      <c r="D235">
        <v>0.45</v>
      </c>
      <c r="E235">
        <v>-102.048</v>
      </c>
    </row>
    <row r="236" spans="1:5" x14ac:dyDescent="0.3">
      <c r="A236" t="s">
        <v>691</v>
      </c>
      <c r="B236">
        <v>620.61450000000002</v>
      </c>
      <c r="C236">
        <v>3</v>
      </c>
      <c r="D236">
        <v>0.45</v>
      </c>
      <c r="E236">
        <v>-248.2458</v>
      </c>
    </row>
    <row r="237" spans="1:5" x14ac:dyDescent="0.3">
      <c r="A237" t="s">
        <v>686</v>
      </c>
      <c r="B237">
        <v>5.3280000000000003</v>
      </c>
      <c r="C237">
        <v>2</v>
      </c>
      <c r="D237">
        <v>0.7</v>
      </c>
      <c r="E237">
        <v>-3.552</v>
      </c>
    </row>
    <row r="238" spans="1:5" x14ac:dyDescent="0.3">
      <c r="A238" t="s">
        <v>693</v>
      </c>
      <c r="B238">
        <v>258.072</v>
      </c>
      <c r="C238">
        <v>3</v>
      </c>
      <c r="D238">
        <v>0.2</v>
      </c>
      <c r="E238">
        <v>0</v>
      </c>
    </row>
    <row r="239" spans="1:5" x14ac:dyDescent="0.3">
      <c r="A239" t="s">
        <v>695</v>
      </c>
      <c r="B239">
        <v>617.976</v>
      </c>
      <c r="C239">
        <v>3</v>
      </c>
      <c r="D239">
        <v>0.2</v>
      </c>
      <c r="E239">
        <v>-7.7247000000000003</v>
      </c>
    </row>
    <row r="240" spans="1:5" x14ac:dyDescent="0.3">
      <c r="A240" t="s">
        <v>699</v>
      </c>
      <c r="B240">
        <v>10.56</v>
      </c>
      <c r="C240">
        <v>2</v>
      </c>
      <c r="D240">
        <v>0</v>
      </c>
      <c r="E240">
        <v>4.7519999999999998</v>
      </c>
    </row>
    <row r="241" spans="1:5" x14ac:dyDescent="0.3">
      <c r="A241" t="s">
        <v>703</v>
      </c>
      <c r="B241">
        <v>25.92</v>
      </c>
      <c r="C241">
        <v>5</v>
      </c>
      <c r="D241">
        <v>0.2</v>
      </c>
      <c r="E241">
        <v>9.3960000000000008</v>
      </c>
    </row>
    <row r="242" spans="1:5" x14ac:dyDescent="0.3">
      <c r="A242" t="s">
        <v>705</v>
      </c>
      <c r="B242">
        <v>419.68</v>
      </c>
      <c r="C242">
        <v>5</v>
      </c>
      <c r="D242">
        <v>0.6</v>
      </c>
      <c r="E242">
        <v>-356.72800000000001</v>
      </c>
    </row>
    <row r="243" spans="1:5" x14ac:dyDescent="0.3">
      <c r="A243" t="s">
        <v>707</v>
      </c>
      <c r="B243">
        <v>11.688000000000001</v>
      </c>
      <c r="C243">
        <v>3</v>
      </c>
      <c r="D243">
        <v>0.6</v>
      </c>
      <c r="E243">
        <v>-4.6752000000000002</v>
      </c>
    </row>
    <row r="244" spans="1:5" x14ac:dyDescent="0.3">
      <c r="A244" t="s">
        <v>709</v>
      </c>
      <c r="B244">
        <v>31.984000000000002</v>
      </c>
      <c r="C244">
        <v>2</v>
      </c>
      <c r="D244">
        <v>0.2</v>
      </c>
      <c r="E244">
        <v>11.1944</v>
      </c>
    </row>
    <row r="245" spans="1:5" x14ac:dyDescent="0.3">
      <c r="A245" t="s">
        <v>711</v>
      </c>
      <c r="B245">
        <v>177.22499999999999</v>
      </c>
      <c r="C245">
        <v>5</v>
      </c>
      <c r="D245">
        <v>0.5</v>
      </c>
      <c r="E245">
        <v>-120.51300000000001</v>
      </c>
    </row>
    <row r="246" spans="1:5" x14ac:dyDescent="0.3">
      <c r="A246" t="s">
        <v>713</v>
      </c>
      <c r="B246">
        <v>4.0439999999999996</v>
      </c>
      <c r="C246">
        <v>3</v>
      </c>
      <c r="D246">
        <v>0.6</v>
      </c>
      <c r="E246">
        <v>-2.8308</v>
      </c>
    </row>
    <row r="247" spans="1:5" x14ac:dyDescent="0.3">
      <c r="A247" t="s">
        <v>595</v>
      </c>
      <c r="B247">
        <v>7.4080000000000004</v>
      </c>
      <c r="C247">
        <v>2</v>
      </c>
      <c r="D247">
        <v>0.2</v>
      </c>
      <c r="E247">
        <v>1.2038</v>
      </c>
    </row>
    <row r="248" spans="1:5" x14ac:dyDescent="0.3">
      <c r="A248" t="s">
        <v>401</v>
      </c>
      <c r="B248">
        <v>2001.86</v>
      </c>
      <c r="C248">
        <v>7</v>
      </c>
      <c r="D248">
        <v>0</v>
      </c>
      <c r="E248">
        <v>580.5394</v>
      </c>
    </row>
    <row r="249" spans="1:5" x14ac:dyDescent="0.3">
      <c r="A249" t="s">
        <v>717</v>
      </c>
      <c r="B249">
        <v>166.72</v>
      </c>
      <c r="C249">
        <v>2</v>
      </c>
      <c r="D249">
        <v>0</v>
      </c>
      <c r="E249">
        <v>41.68</v>
      </c>
    </row>
    <row r="250" spans="1:5" x14ac:dyDescent="0.3">
      <c r="A250" t="s">
        <v>719</v>
      </c>
      <c r="B250">
        <v>47.88</v>
      </c>
      <c r="C250">
        <v>6</v>
      </c>
      <c r="D250">
        <v>0</v>
      </c>
      <c r="E250">
        <v>23.94</v>
      </c>
    </row>
    <row r="251" spans="1:5" x14ac:dyDescent="0.3">
      <c r="A251" t="s">
        <v>721</v>
      </c>
      <c r="B251">
        <v>1503.25</v>
      </c>
      <c r="C251">
        <v>5</v>
      </c>
      <c r="D251">
        <v>0</v>
      </c>
      <c r="E251">
        <v>496.07249999999999</v>
      </c>
    </row>
    <row r="252" spans="1:5" x14ac:dyDescent="0.3">
      <c r="A252" t="s">
        <v>587</v>
      </c>
      <c r="B252">
        <v>25.92</v>
      </c>
      <c r="C252">
        <v>4</v>
      </c>
      <c r="D252">
        <v>0</v>
      </c>
      <c r="E252">
        <v>12.441599999999999</v>
      </c>
    </row>
    <row r="253" spans="1:5" x14ac:dyDescent="0.3">
      <c r="A253" t="s">
        <v>725</v>
      </c>
      <c r="B253">
        <v>321.56799999999998</v>
      </c>
      <c r="C253">
        <v>2</v>
      </c>
      <c r="D253">
        <v>0.2</v>
      </c>
      <c r="E253">
        <v>28.1372</v>
      </c>
    </row>
    <row r="254" spans="1:5" x14ac:dyDescent="0.3">
      <c r="A254" t="s">
        <v>729</v>
      </c>
      <c r="B254">
        <v>7.61</v>
      </c>
      <c r="C254">
        <v>1</v>
      </c>
      <c r="D254">
        <v>0</v>
      </c>
      <c r="E254">
        <v>3.5767000000000002</v>
      </c>
    </row>
    <row r="255" spans="1:5" x14ac:dyDescent="0.3">
      <c r="A255" t="s">
        <v>695</v>
      </c>
      <c r="B255">
        <v>3347.37</v>
      </c>
      <c r="C255">
        <v>13</v>
      </c>
      <c r="D255">
        <v>0</v>
      </c>
      <c r="E255">
        <v>636.00030000000004</v>
      </c>
    </row>
    <row r="256" spans="1:5" x14ac:dyDescent="0.3">
      <c r="A256" t="s">
        <v>733</v>
      </c>
      <c r="B256">
        <v>80.58</v>
      </c>
      <c r="C256">
        <v>6</v>
      </c>
      <c r="D256">
        <v>0</v>
      </c>
      <c r="E256">
        <v>22.5624</v>
      </c>
    </row>
    <row r="257" spans="1:5" x14ac:dyDescent="0.3">
      <c r="A257" t="s">
        <v>735</v>
      </c>
      <c r="B257">
        <v>361.92</v>
      </c>
      <c r="C257">
        <v>4</v>
      </c>
      <c r="D257">
        <v>0</v>
      </c>
      <c r="E257">
        <v>162.864</v>
      </c>
    </row>
    <row r="258" spans="1:5" x14ac:dyDescent="0.3">
      <c r="A258" t="s">
        <v>713</v>
      </c>
      <c r="B258">
        <v>12.132</v>
      </c>
      <c r="C258">
        <v>9</v>
      </c>
      <c r="D258">
        <v>0.6</v>
      </c>
      <c r="E258">
        <v>-8.4923999999999999</v>
      </c>
    </row>
    <row r="259" spans="1:5" x14ac:dyDescent="0.3">
      <c r="A259" t="s">
        <v>739</v>
      </c>
      <c r="B259">
        <v>82.367999999999995</v>
      </c>
      <c r="C259">
        <v>2</v>
      </c>
      <c r="D259">
        <v>0.2</v>
      </c>
      <c r="E259">
        <v>-19.5624</v>
      </c>
    </row>
    <row r="260" spans="1:5" x14ac:dyDescent="0.3">
      <c r="A260" t="s">
        <v>481</v>
      </c>
      <c r="B260">
        <v>53.92</v>
      </c>
      <c r="C260">
        <v>5</v>
      </c>
      <c r="D260">
        <v>0.2</v>
      </c>
      <c r="E260">
        <v>4.0439999999999996</v>
      </c>
    </row>
    <row r="261" spans="1:5" x14ac:dyDescent="0.3">
      <c r="A261" t="s">
        <v>741</v>
      </c>
      <c r="B261">
        <v>647.904</v>
      </c>
      <c r="C261">
        <v>6</v>
      </c>
      <c r="D261">
        <v>0.2</v>
      </c>
      <c r="E261">
        <v>56.691600000000001</v>
      </c>
    </row>
    <row r="262" spans="1:5" x14ac:dyDescent="0.3">
      <c r="A262" t="s">
        <v>745</v>
      </c>
      <c r="B262">
        <v>20.37</v>
      </c>
      <c r="C262">
        <v>3</v>
      </c>
      <c r="D262">
        <v>0</v>
      </c>
      <c r="E262">
        <v>6.9257999999999997</v>
      </c>
    </row>
    <row r="263" spans="1:5" x14ac:dyDescent="0.3">
      <c r="A263" t="s">
        <v>747</v>
      </c>
      <c r="B263">
        <v>221.55</v>
      </c>
      <c r="C263">
        <v>3</v>
      </c>
      <c r="D263">
        <v>0</v>
      </c>
      <c r="E263">
        <v>6.6464999999999996</v>
      </c>
    </row>
    <row r="264" spans="1:5" x14ac:dyDescent="0.3">
      <c r="A264" t="s">
        <v>749</v>
      </c>
      <c r="B264">
        <v>17.52</v>
      </c>
      <c r="C264">
        <v>5</v>
      </c>
      <c r="D264">
        <v>0.2</v>
      </c>
      <c r="E264">
        <v>6.1319999999999997</v>
      </c>
    </row>
    <row r="265" spans="1:5" x14ac:dyDescent="0.3">
      <c r="A265" t="s">
        <v>753</v>
      </c>
      <c r="B265">
        <v>1.6240000000000001</v>
      </c>
      <c r="C265">
        <v>2</v>
      </c>
      <c r="D265">
        <v>0.8</v>
      </c>
      <c r="E265">
        <v>-4.4660000000000002</v>
      </c>
    </row>
    <row r="266" spans="1:5" x14ac:dyDescent="0.3">
      <c r="A266" t="s">
        <v>516</v>
      </c>
      <c r="B266">
        <v>3059.982</v>
      </c>
      <c r="C266">
        <v>3</v>
      </c>
      <c r="D266">
        <v>0.4</v>
      </c>
      <c r="E266">
        <v>-509.99700000000001</v>
      </c>
    </row>
    <row r="267" spans="1:5" x14ac:dyDescent="0.3">
      <c r="A267" t="s">
        <v>757</v>
      </c>
      <c r="B267">
        <v>2519.9580000000001</v>
      </c>
      <c r="C267">
        <v>7</v>
      </c>
      <c r="D267">
        <v>0.4</v>
      </c>
      <c r="E267">
        <v>-251.9958</v>
      </c>
    </row>
    <row r="268" spans="1:5" x14ac:dyDescent="0.3">
      <c r="A268" t="s">
        <v>761</v>
      </c>
      <c r="B268">
        <v>328.22399999999999</v>
      </c>
      <c r="C268">
        <v>4</v>
      </c>
      <c r="D268">
        <v>0.2</v>
      </c>
      <c r="E268">
        <v>28.7196</v>
      </c>
    </row>
    <row r="269" spans="1:5" x14ac:dyDescent="0.3">
      <c r="A269" t="s">
        <v>765</v>
      </c>
      <c r="B269">
        <v>79.900000000000006</v>
      </c>
      <c r="C269">
        <v>2</v>
      </c>
      <c r="D269">
        <v>0</v>
      </c>
      <c r="E269">
        <v>35.155999999999999</v>
      </c>
    </row>
    <row r="270" spans="1:5" x14ac:dyDescent="0.3">
      <c r="A270" t="s">
        <v>769</v>
      </c>
      <c r="B270">
        <v>14.016</v>
      </c>
      <c r="C270">
        <v>3</v>
      </c>
      <c r="D270">
        <v>0.2</v>
      </c>
      <c r="E270">
        <v>4.7304000000000004</v>
      </c>
    </row>
    <row r="271" spans="1:5" x14ac:dyDescent="0.3">
      <c r="A271" t="s">
        <v>772</v>
      </c>
      <c r="B271">
        <v>7.56</v>
      </c>
      <c r="C271">
        <v>6</v>
      </c>
      <c r="D271">
        <v>0</v>
      </c>
      <c r="E271">
        <v>0.3024</v>
      </c>
    </row>
    <row r="272" spans="1:5" x14ac:dyDescent="0.3">
      <c r="A272" t="s">
        <v>776</v>
      </c>
      <c r="B272">
        <v>37.207999999999998</v>
      </c>
      <c r="C272">
        <v>1</v>
      </c>
      <c r="D272">
        <v>0.2</v>
      </c>
      <c r="E272">
        <v>-7.4416000000000002</v>
      </c>
    </row>
    <row r="273" spans="1:5" x14ac:dyDescent="0.3">
      <c r="A273" t="s">
        <v>778</v>
      </c>
      <c r="B273">
        <v>57.576000000000001</v>
      </c>
      <c r="C273">
        <v>3</v>
      </c>
      <c r="D273">
        <v>0.2</v>
      </c>
      <c r="E273">
        <v>21.591000000000001</v>
      </c>
    </row>
    <row r="274" spans="1:5" x14ac:dyDescent="0.3">
      <c r="A274" t="s">
        <v>782</v>
      </c>
      <c r="B274">
        <v>725.84</v>
      </c>
      <c r="C274">
        <v>4</v>
      </c>
      <c r="D274">
        <v>0</v>
      </c>
      <c r="E274">
        <v>210.49359999999999</v>
      </c>
    </row>
    <row r="275" spans="1:5" x14ac:dyDescent="0.3">
      <c r="A275" t="s">
        <v>785</v>
      </c>
      <c r="B275">
        <v>209.93</v>
      </c>
      <c r="C275">
        <v>7</v>
      </c>
      <c r="D275">
        <v>0</v>
      </c>
      <c r="E275">
        <v>92.369200000000006</v>
      </c>
    </row>
    <row r="276" spans="1:5" x14ac:dyDescent="0.3">
      <c r="A276" t="s">
        <v>787</v>
      </c>
      <c r="B276">
        <v>5.28</v>
      </c>
      <c r="C276">
        <v>3</v>
      </c>
      <c r="D276">
        <v>0</v>
      </c>
      <c r="E276">
        <v>2.3231999999999999</v>
      </c>
    </row>
    <row r="277" spans="1:5" x14ac:dyDescent="0.3">
      <c r="A277" t="s">
        <v>789</v>
      </c>
      <c r="B277">
        <v>10.92</v>
      </c>
      <c r="C277">
        <v>3</v>
      </c>
      <c r="D277">
        <v>0.2</v>
      </c>
      <c r="E277">
        <v>4.0949999999999998</v>
      </c>
    </row>
    <row r="278" spans="1:5" x14ac:dyDescent="0.3">
      <c r="A278" t="s">
        <v>793</v>
      </c>
      <c r="B278">
        <v>8.82</v>
      </c>
      <c r="C278">
        <v>2</v>
      </c>
      <c r="D278">
        <v>0</v>
      </c>
      <c r="E278">
        <v>4.0571999999999999</v>
      </c>
    </row>
    <row r="279" spans="1:5" x14ac:dyDescent="0.3">
      <c r="A279" t="s">
        <v>795</v>
      </c>
      <c r="B279">
        <v>5.98</v>
      </c>
      <c r="C279">
        <v>1</v>
      </c>
      <c r="D279">
        <v>0</v>
      </c>
      <c r="E279">
        <v>1.5548</v>
      </c>
    </row>
    <row r="280" spans="1:5" x14ac:dyDescent="0.3">
      <c r="A280" t="s">
        <v>799</v>
      </c>
      <c r="B280">
        <v>11.648</v>
      </c>
      <c r="C280">
        <v>2</v>
      </c>
      <c r="D280">
        <v>0.2</v>
      </c>
      <c r="E280">
        <v>4.0768000000000004</v>
      </c>
    </row>
    <row r="281" spans="1:5" x14ac:dyDescent="0.3">
      <c r="A281" t="s">
        <v>801</v>
      </c>
      <c r="B281">
        <v>18.175999999999998</v>
      </c>
      <c r="C281">
        <v>4</v>
      </c>
      <c r="D281">
        <v>0.2</v>
      </c>
      <c r="E281">
        <v>5.9071999999999996</v>
      </c>
    </row>
    <row r="282" spans="1:5" x14ac:dyDescent="0.3">
      <c r="A282" t="s">
        <v>803</v>
      </c>
      <c r="B282">
        <v>59.712000000000003</v>
      </c>
      <c r="C282">
        <v>6</v>
      </c>
      <c r="D282">
        <v>0.2</v>
      </c>
      <c r="E282">
        <v>5.9711999999999996</v>
      </c>
    </row>
    <row r="283" spans="1:5" x14ac:dyDescent="0.3">
      <c r="A283" t="s">
        <v>805</v>
      </c>
      <c r="B283">
        <v>24.84</v>
      </c>
      <c r="C283">
        <v>3</v>
      </c>
      <c r="D283">
        <v>0.2</v>
      </c>
      <c r="E283">
        <v>8.6940000000000008</v>
      </c>
    </row>
    <row r="284" spans="1:5" x14ac:dyDescent="0.3">
      <c r="A284" t="s">
        <v>808</v>
      </c>
      <c r="B284">
        <v>2.08</v>
      </c>
      <c r="C284">
        <v>5</v>
      </c>
      <c r="D284">
        <v>0.8</v>
      </c>
      <c r="E284">
        <v>-3.4319999999999999</v>
      </c>
    </row>
    <row r="285" spans="1:5" x14ac:dyDescent="0.3">
      <c r="A285" t="s">
        <v>810</v>
      </c>
      <c r="B285">
        <v>1114.4000000000001</v>
      </c>
      <c r="C285">
        <v>7</v>
      </c>
      <c r="D285">
        <v>0.2</v>
      </c>
      <c r="E285">
        <v>376.11</v>
      </c>
    </row>
    <row r="286" spans="1:5" x14ac:dyDescent="0.3">
      <c r="A286" t="s">
        <v>814</v>
      </c>
      <c r="B286">
        <v>1038.8399999999999</v>
      </c>
      <c r="C286">
        <v>5</v>
      </c>
      <c r="D286">
        <v>0.2</v>
      </c>
      <c r="E286">
        <v>51.942</v>
      </c>
    </row>
    <row r="287" spans="1:5" x14ac:dyDescent="0.3">
      <c r="A287" t="s">
        <v>140</v>
      </c>
      <c r="B287">
        <v>141.76</v>
      </c>
      <c r="C287">
        <v>5</v>
      </c>
      <c r="D287">
        <v>0.2</v>
      </c>
      <c r="E287">
        <v>47.844000000000001</v>
      </c>
    </row>
    <row r="288" spans="1:5" x14ac:dyDescent="0.3">
      <c r="A288" t="s">
        <v>818</v>
      </c>
      <c r="B288">
        <v>239.8</v>
      </c>
      <c r="C288">
        <v>5</v>
      </c>
      <c r="D288">
        <v>0.2</v>
      </c>
      <c r="E288">
        <v>47.96</v>
      </c>
    </row>
    <row r="289" spans="1:5" x14ac:dyDescent="0.3">
      <c r="A289" t="s">
        <v>820</v>
      </c>
      <c r="B289">
        <v>31.103999999999999</v>
      </c>
      <c r="C289">
        <v>6</v>
      </c>
      <c r="D289">
        <v>0.2</v>
      </c>
      <c r="E289">
        <v>10.8864</v>
      </c>
    </row>
    <row r="290" spans="1:5" x14ac:dyDescent="0.3">
      <c r="A290" t="s">
        <v>824</v>
      </c>
      <c r="B290">
        <v>254.05799999999999</v>
      </c>
      <c r="C290">
        <v>7</v>
      </c>
      <c r="D290">
        <v>0.7</v>
      </c>
      <c r="E290">
        <v>-169.37200000000001</v>
      </c>
    </row>
    <row r="291" spans="1:5" x14ac:dyDescent="0.3">
      <c r="A291" t="s">
        <v>544</v>
      </c>
      <c r="B291">
        <v>194.52799999999999</v>
      </c>
      <c r="C291">
        <v>2</v>
      </c>
      <c r="D291">
        <v>0.2</v>
      </c>
      <c r="E291">
        <v>24.315999999999999</v>
      </c>
    </row>
    <row r="292" spans="1:5" x14ac:dyDescent="0.3">
      <c r="A292" t="s">
        <v>826</v>
      </c>
      <c r="B292">
        <v>961.48</v>
      </c>
      <c r="C292">
        <v>5</v>
      </c>
      <c r="D292">
        <v>0.2</v>
      </c>
      <c r="E292">
        <v>-204.31450000000001</v>
      </c>
    </row>
    <row r="293" spans="1:5" x14ac:dyDescent="0.3">
      <c r="A293" t="s">
        <v>830</v>
      </c>
      <c r="B293">
        <v>19.096</v>
      </c>
      <c r="C293">
        <v>7</v>
      </c>
      <c r="D293">
        <v>0.2</v>
      </c>
      <c r="E293">
        <v>6.6836000000000002</v>
      </c>
    </row>
    <row r="294" spans="1:5" x14ac:dyDescent="0.3">
      <c r="A294" t="s">
        <v>832</v>
      </c>
      <c r="B294">
        <v>18.495999999999999</v>
      </c>
      <c r="C294">
        <v>8</v>
      </c>
      <c r="D294">
        <v>0.2</v>
      </c>
      <c r="E294">
        <v>6.2423999999999999</v>
      </c>
    </row>
    <row r="295" spans="1:5" x14ac:dyDescent="0.3">
      <c r="A295" t="s">
        <v>834</v>
      </c>
      <c r="B295">
        <v>255.98400000000001</v>
      </c>
      <c r="C295">
        <v>2</v>
      </c>
      <c r="D295">
        <v>0.2</v>
      </c>
      <c r="E295">
        <v>54.396599999999999</v>
      </c>
    </row>
    <row r="296" spans="1:5" x14ac:dyDescent="0.3">
      <c r="A296" t="s">
        <v>836</v>
      </c>
      <c r="B296">
        <v>86.97</v>
      </c>
      <c r="C296">
        <v>3</v>
      </c>
      <c r="D296">
        <v>0.5</v>
      </c>
      <c r="E296">
        <v>-48.703200000000002</v>
      </c>
    </row>
    <row r="297" spans="1:5" x14ac:dyDescent="0.3">
      <c r="A297" t="s">
        <v>840</v>
      </c>
      <c r="B297">
        <v>300.416</v>
      </c>
      <c r="C297">
        <v>8</v>
      </c>
      <c r="D297">
        <v>0.2</v>
      </c>
      <c r="E297">
        <v>78.859200000000001</v>
      </c>
    </row>
    <row r="298" spans="1:5" x14ac:dyDescent="0.3">
      <c r="A298" t="s">
        <v>842</v>
      </c>
      <c r="B298">
        <v>230.352</v>
      </c>
      <c r="C298">
        <v>3</v>
      </c>
      <c r="D298">
        <v>0.2</v>
      </c>
      <c r="E298">
        <v>20.155799999999999</v>
      </c>
    </row>
    <row r="299" spans="1:5" x14ac:dyDescent="0.3">
      <c r="A299" t="s">
        <v>844</v>
      </c>
      <c r="B299">
        <v>218.352</v>
      </c>
      <c r="C299">
        <v>3</v>
      </c>
      <c r="D299">
        <v>0.2</v>
      </c>
      <c r="E299">
        <v>-24.564599999999999</v>
      </c>
    </row>
    <row r="300" spans="1:5" x14ac:dyDescent="0.3">
      <c r="A300" t="s">
        <v>846</v>
      </c>
      <c r="B300">
        <v>78.599999999999994</v>
      </c>
      <c r="C300">
        <v>5</v>
      </c>
      <c r="D300">
        <v>0.7</v>
      </c>
      <c r="E300">
        <v>-62.88</v>
      </c>
    </row>
    <row r="301" spans="1:5" x14ac:dyDescent="0.3">
      <c r="A301" t="s">
        <v>848</v>
      </c>
      <c r="B301">
        <v>27.552</v>
      </c>
      <c r="C301">
        <v>3</v>
      </c>
      <c r="D301">
        <v>0.2</v>
      </c>
      <c r="E301">
        <v>9.2988</v>
      </c>
    </row>
    <row r="302" spans="1:5" x14ac:dyDescent="0.3">
      <c r="A302" t="s">
        <v>851</v>
      </c>
      <c r="B302">
        <v>32.4</v>
      </c>
      <c r="C302">
        <v>5</v>
      </c>
      <c r="D302">
        <v>0</v>
      </c>
      <c r="E302">
        <v>15.552</v>
      </c>
    </row>
    <row r="303" spans="1:5" x14ac:dyDescent="0.3">
      <c r="A303" t="s">
        <v>853</v>
      </c>
      <c r="B303">
        <v>1082.48</v>
      </c>
      <c r="C303">
        <v>8</v>
      </c>
      <c r="D303">
        <v>0</v>
      </c>
      <c r="E303">
        <v>10.8248</v>
      </c>
    </row>
    <row r="304" spans="1:5" x14ac:dyDescent="0.3">
      <c r="A304" t="s">
        <v>853</v>
      </c>
      <c r="B304">
        <v>1082.48</v>
      </c>
      <c r="C304">
        <v>8</v>
      </c>
      <c r="D304">
        <v>0</v>
      </c>
      <c r="E304">
        <v>10.8248</v>
      </c>
    </row>
    <row r="305" spans="1:5" x14ac:dyDescent="0.3">
      <c r="A305" t="s">
        <v>855</v>
      </c>
      <c r="B305">
        <v>56.91</v>
      </c>
      <c r="C305">
        <v>3</v>
      </c>
      <c r="D305">
        <v>0</v>
      </c>
      <c r="E305">
        <v>27.316800000000001</v>
      </c>
    </row>
    <row r="306" spans="1:5" x14ac:dyDescent="0.3">
      <c r="A306" t="s">
        <v>857</v>
      </c>
      <c r="B306">
        <v>77.599999999999994</v>
      </c>
      <c r="C306">
        <v>4</v>
      </c>
      <c r="D306">
        <v>0</v>
      </c>
      <c r="E306">
        <v>38.024000000000001</v>
      </c>
    </row>
    <row r="307" spans="1:5" x14ac:dyDescent="0.3">
      <c r="A307" t="s">
        <v>859</v>
      </c>
      <c r="B307">
        <v>14.28</v>
      </c>
      <c r="C307">
        <v>1</v>
      </c>
      <c r="D307">
        <v>0</v>
      </c>
      <c r="E307">
        <v>6.5688000000000004</v>
      </c>
    </row>
    <row r="308" spans="1:5" x14ac:dyDescent="0.3">
      <c r="A308" t="s">
        <v>862</v>
      </c>
      <c r="B308">
        <v>219.07499999999999</v>
      </c>
      <c r="C308">
        <v>3</v>
      </c>
      <c r="D308">
        <v>0.5</v>
      </c>
      <c r="E308">
        <v>-131.44499999999999</v>
      </c>
    </row>
    <row r="309" spans="1:5" x14ac:dyDescent="0.3">
      <c r="A309" t="s">
        <v>866</v>
      </c>
      <c r="B309">
        <v>26.8</v>
      </c>
      <c r="C309">
        <v>2</v>
      </c>
      <c r="D309">
        <v>0</v>
      </c>
      <c r="E309">
        <v>12.864000000000001</v>
      </c>
    </row>
    <row r="310" spans="1:5" x14ac:dyDescent="0.3">
      <c r="A310" t="s">
        <v>869</v>
      </c>
      <c r="B310">
        <v>9.84</v>
      </c>
      <c r="C310">
        <v>3</v>
      </c>
      <c r="D310">
        <v>0</v>
      </c>
      <c r="E310">
        <v>2.8536000000000001</v>
      </c>
    </row>
    <row r="311" spans="1:5" x14ac:dyDescent="0.3">
      <c r="A311" t="s">
        <v>873</v>
      </c>
      <c r="B311">
        <v>45.48</v>
      </c>
      <c r="C311">
        <v>3</v>
      </c>
      <c r="D311">
        <v>0</v>
      </c>
      <c r="E311">
        <v>20.9208</v>
      </c>
    </row>
    <row r="312" spans="1:5" x14ac:dyDescent="0.3">
      <c r="A312" t="s">
        <v>875</v>
      </c>
      <c r="B312">
        <v>289.2</v>
      </c>
      <c r="C312">
        <v>6</v>
      </c>
      <c r="D312">
        <v>0</v>
      </c>
      <c r="E312">
        <v>83.867999999999995</v>
      </c>
    </row>
    <row r="313" spans="1:5" x14ac:dyDescent="0.3">
      <c r="A313" t="s">
        <v>879</v>
      </c>
      <c r="B313">
        <v>4.8899999999999997</v>
      </c>
      <c r="C313">
        <v>1</v>
      </c>
      <c r="D313">
        <v>0</v>
      </c>
      <c r="E313">
        <v>2.0049000000000001</v>
      </c>
    </row>
    <row r="314" spans="1:5" x14ac:dyDescent="0.3">
      <c r="A314" t="s">
        <v>883</v>
      </c>
      <c r="B314">
        <v>15.135999999999999</v>
      </c>
      <c r="C314">
        <v>4</v>
      </c>
      <c r="D314">
        <v>0.2</v>
      </c>
      <c r="E314">
        <v>3.5948000000000002</v>
      </c>
    </row>
    <row r="315" spans="1:5" x14ac:dyDescent="0.3">
      <c r="A315" t="s">
        <v>885</v>
      </c>
      <c r="B315">
        <v>466.76799999999997</v>
      </c>
      <c r="C315">
        <v>2</v>
      </c>
      <c r="D315">
        <v>0.2</v>
      </c>
      <c r="E315">
        <v>52.511400000000002</v>
      </c>
    </row>
    <row r="316" spans="1:5" x14ac:dyDescent="0.3">
      <c r="A316" t="s">
        <v>887</v>
      </c>
      <c r="B316">
        <v>15.231999999999999</v>
      </c>
      <c r="C316">
        <v>1</v>
      </c>
      <c r="D316">
        <v>0.2</v>
      </c>
      <c r="E316">
        <v>1.7136</v>
      </c>
    </row>
    <row r="317" spans="1:5" x14ac:dyDescent="0.3">
      <c r="A317" t="s">
        <v>889</v>
      </c>
      <c r="B317">
        <v>6.2640000000000002</v>
      </c>
      <c r="C317">
        <v>3</v>
      </c>
      <c r="D317">
        <v>0.2</v>
      </c>
      <c r="E317">
        <v>2.0358000000000001</v>
      </c>
    </row>
    <row r="318" spans="1:5" x14ac:dyDescent="0.3">
      <c r="A318" t="s">
        <v>893</v>
      </c>
      <c r="B318">
        <v>87.54</v>
      </c>
      <c r="C318">
        <v>3</v>
      </c>
      <c r="D318">
        <v>0</v>
      </c>
      <c r="E318">
        <v>37.642200000000003</v>
      </c>
    </row>
    <row r="319" spans="1:5" x14ac:dyDescent="0.3">
      <c r="A319" t="s">
        <v>897</v>
      </c>
      <c r="B319">
        <v>178.38399999999999</v>
      </c>
      <c r="C319">
        <v>2</v>
      </c>
      <c r="D319">
        <v>0.2</v>
      </c>
      <c r="E319">
        <v>22.297999999999998</v>
      </c>
    </row>
    <row r="320" spans="1:5" x14ac:dyDescent="0.3">
      <c r="A320" t="s">
        <v>899</v>
      </c>
      <c r="B320">
        <v>15.552</v>
      </c>
      <c r="C320">
        <v>3</v>
      </c>
      <c r="D320">
        <v>0.2</v>
      </c>
      <c r="E320">
        <v>5.4432</v>
      </c>
    </row>
    <row r="321" spans="1:5" x14ac:dyDescent="0.3">
      <c r="A321" t="s">
        <v>903</v>
      </c>
      <c r="B321">
        <v>99.135999999999996</v>
      </c>
      <c r="C321">
        <v>4</v>
      </c>
      <c r="D321">
        <v>0.2</v>
      </c>
      <c r="E321">
        <v>8.6744000000000003</v>
      </c>
    </row>
    <row r="322" spans="1:5" x14ac:dyDescent="0.3">
      <c r="A322" t="s">
        <v>907</v>
      </c>
      <c r="B322">
        <v>135.88200000000001</v>
      </c>
      <c r="C322">
        <v>1</v>
      </c>
      <c r="D322">
        <v>0.1</v>
      </c>
      <c r="E322">
        <v>24.1568</v>
      </c>
    </row>
    <row r="323" spans="1:5" x14ac:dyDescent="0.3">
      <c r="A323" t="s">
        <v>909</v>
      </c>
      <c r="B323">
        <v>3991.98</v>
      </c>
      <c r="C323">
        <v>2</v>
      </c>
      <c r="D323">
        <v>0</v>
      </c>
      <c r="E323">
        <v>1995.99</v>
      </c>
    </row>
    <row r="324" spans="1:5" x14ac:dyDescent="0.3">
      <c r="A324" t="s">
        <v>161</v>
      </c>
      <c r="B324">
        <v>275.94</v>
      </c>
      <c r="C324">
        <v>6</v>
      </c>
      <c r="D324">
        <v>0</v>
      </c>
      <c r="E324">
        <v>80.022599999999997</v>
      </c>
    </row>
    <row r="325" spans="1:5" x14ac:dyDescent="0.3">
      <c r="A325" t="s">
        <v>911</v>
      </c>
      <c r="B325">
        <v>360</v>
      </c>
      <c r="C325">
        <v>4</v>
      </c>
      <c r="D325">
        <v>0</v>
      </c>
      <c r="E325">
        <v>129.6</v>
      </c>
    </row>
    <row r="326" spans="1:5" x14ac:dyDescent="0.3">
      <c r="A326" t="s">
        <v>411</v>
      </c>
      <c r="B326">
        <v>43.57</v>
      </c>
      <c r="C326">
        <v>1</v>
      </c>
      <c r="D326">
        <v>0</v>
      </c>
      <c r="E326">
        <v>13.071</v>
      </c>
    </row>
    <row r="327" spans="1:5" x14ac:dyDescent="0.3">
      <c r="A327" t="s">
        <v>915</v>
      </c>
      <c r="B327">
        <v>7.16</v>
      </c>
      <c r="C327">
        <v>2</v>
      </c>
      <c r="D327">
        <v>0</v>
      </c>
      <c r="E327">
        <v>3.58</v>
      </c>
    </row>
    <row r="328" spans="1:5" x14ac:dyDescent="0.3">
      <c r="A328" t="s">
        <v>846</v>
      </c>
      <c r="B328">
        <v>251.52</v>
      </c>
      <c r="C328">
        <v>6</v>
      </c>
      <c r="D328">
        <v>0.2</v>
      </c>
      <c r="E328">
        <v>81.744</v>
      </c>
    </row>
    <row r="329" spans="1:5" x14ac:dyDescent="0.3">
      <c r="A329" t="s">
        <v>919</v>
      </c>
      <c r="B329">
        <v>99.99</v>
      </c>
      <c r="C329">
        <v>1</v>
      </c>
      <c r="D329">
        <v>0</v>
      </c>
      <c r="E329">
        <v>34.996499999999997</v>
      </c>
    </row>
    <row r="330" spans="1:5" x14ac:dyDescent="0.3">
      <c r="A330" t="s">
        <v>923</v>
      </c>
      <c r="B330">
        <v>15.992000000000001</v>
      </c>
      <c r="C330">
        <v>1</v>
      </c>
      <c r="D330">
        <v>0.2</v>
      </c>
      <c r="E330">
        <v>0.99950000000000006</v>
      </c>
    </row>
    <row r="331" spans="1:5" x14ac:dyDescent="0.3">
      <c r="A331" t="s">
        <v>927</v>
      </c>
      <c r="B331">
        <v>290.89800000000002</v>
      </c>
      <c r="C331">
        <v>3</v>
      </c>
      <c r="D331">
        <v>0.4</v>
      </c>
      <c r="E331">
        <v>-67.876199999999997</v>
      </c>
    </row>
    <row r="332" spans="1:5" x14ac:dyDescent="0.3">
      <c r="A332" t="s">
        <v>929</v>
      </c>
      <c r="B332">
        <v>54.223999999999997</v>
      </c>
      <c r="C332">
        <v>2</v>
      </c>
      <c r="D332">
        <v>0.2</v>
      </c>
      <c r="E332">
        <v>3.3889999999999998</v>
      </c>
    </row>
    <row r="333" spans="1:5" x14ac:dyDescent="0.3">
      <c r="A333" t="s">
        <v>931</v>
      </c>
      <c r="B333">
        <v>786.74400000000003</v>
      </c>
      <c r="C333">
        <v>4</v>
      </c>
      <c r="D333">
        <v>0.3</v>
      </c>
      <c r="E333">
        <v>-258.5016</v>
      </c>
    </row>
    <row r="334" spans="1:5" x14ac:dyDescent="0.3">
      <c r="A334" t="s">
        <v>933</v>
      </c>
      <c r="B334">
        <v>100.24</v>
      </c>
      <c r="C334">
        <v>10</v>
      </c>
      <c r="D334">
        <v>0.2</v>
      </c>
      <c r="E334">
        <v>33.831000000000003</v>
      </c>
    </row>
    <row r="335" spans="1:5" x14ac:dyDescent="0.3">
      <c r="A335" t="s">
        <v>935</v>
      </c>
      <c r="B335">
        <v>37.764000000000003</v>
      </c>
      <c r="C335">
        <v>6</v>
      </c>
      <c r="D335">
        <v>0.7</v>
      </c>
      <c r="E335">
        <v>-27.6936</v>
      </c>
    </row>
    <row r="336" spans="1:5" x14ac:dyDescent="0.3">
      <c r="A336" t="s">
        <v>939</v>
      </c>
      <c r="B336">
        <v>82.8</v>
      </c>
      <c r="C336">
        <v>2</v>
      </c>
      <c r="D336">
        <v>0.4</v>
      </c>
      <c r="E336">
        <v>-20.7</v>
      </c>
    </row>
    <row r="337" spans="1:5" x14ac:dyDescent="0.3">
      <c r="A337" t="s">
        <v>941</v>
      </c>
      <c r="B337">
        <v>20.724</v>
      </c>
      <c r="C337">
        <v>2</v>
      </c>
      <c r="D337">
        <v>0.7</v>
      </c>
      <c r="E337">
        <v>-13.816000000000001</v>
      </c>
    </row>
    <row r="338" spans="1:5" x14ac:dyDescent="0.3">
      <c r="A338" t="s">
        <v>943</v>
      </c>
      <c r="B338">
        <v>4.8959999999999999</v>
      </c>
      <c r="C338">
        <v>3</v>
      </c>
      <c r="D338">
        <v>0.7</v>
      </c>
      <c r="E338">
        <v>-3.4272</v>
      </c>
    </row>
    <row r="339" spans="1:5" x14ac:dyDescent="0.3">
      <c r="A339" t="s">
        <v>947</v>
      </c>
      <c r="B339">
        <v>4.7519999999999998</v>
      </c>
      <c r="C339">
        <v>1</v>
      </c>
      <c r="D339">
        <v>0.2</v>
      </c>
      <c r="E339">
        <v>1.6037999999999999</v>
      </c>
    </row>
    <row r="340" spans="1:5" x14ac:dyDescent="0.3">
      <c r="A340" t="s">
        <v>950</v>
      </c>
      <c r="B340">
        <v>959.98400000000004</v>
      </c>
      <c r="C340">
        <v>2</v>
      </c>
      <c r="D340">
        <v>0.2</v>
      </c>
      <c r="E340">
        <v>335.99439999999998</v>
      </c>
    </row>
    <row r="341" spans="1:5" x14ac:dyDescent="0.3">
      <c r="A341" t="s">
        <v>952</v>
      </c>
      <c r="B341">
        <v>14.368</v>
      </c>
      <c r="C341">
        <v>4</v>
      </c>
      <c r="D341">
        <v>0.2</v>
      </c>
      <c r="E341">
        <v>4.49</v>
      </c>
    </row>
    <row r="342" spans="1:5" x14ac:dyDescent="0.3">
      <c r="A342" t="s">
        <v>956</v>
      </c>
      <c r="B342">
        <v>7.7119999999999997</v>
      </c>
      <c r="C342">
        <v>2</v>
      </c>
      <c r="D342">
        <v>0.2</v>
      </c>
      <c r="E342">
        <v>2.7955999999999999</v>
      </c>
    </row>
    <row r="343" spans="1:5" x14ac:dyDescent="0.3">
      <c r="A343" t="s">
        <v>958</v>
      </c>
      <c r="B343">
        <v>698.35199999999998</v>
      </c>
      <c r="C343">
        <v>3</v>
      </c>
      <c r="D343">
        <v>0.2</v>
      </c>
      <c r="E343">
        <v>-17.4588</v>
      </c>
    </row>
    <row r="344" spans="1:5" x14ac:dyDescent="0.3">
      <c r="A344" t="s">
        <v>961</v>
      </c>
      <c r="B344">
        <v>4.96</v>
      </c>
      <c r="C344">
        <v>4</v>
      </c>
      <c r="D344">
        <v>0</v>
      </c>
      <c r="E344">
        <v>2.3311999999999999</v>
      </c>
    </row>
    <row r="345" spans="1:5" x14ac:dyDescent="0.3">
      <c r="A345" t="s">
        <v>964</v>
      </c>
      <c r="B345">
        <v>17.856000000000002</v>
      </c>
      <c r="C345">
        <v>4</v>
      </c>
      <c r="D345">
        <v>0.2</v>
      </c>
      <c r="E345">
        <v>1.1160000000000001</v>
      </c>
    </row>
    <row r="346" spans="1:5" x14ac:dyDescent="0.3">
      <c r="A346" t="s">
        <v>75</v>
      </c>
      <c r="B346">
        <v>509.97</v>
      </c>
      <c r="C346">
        <v>10</v>
      </c>
      <c r="D346">
        <v>0.7</v>
      </c>
      <c r="E346">
        <v>-407.976</v>
      </c>
    </row>
    <row r="347" spans="1:5" x14ac:dyDescent="0.3">
      <c r="A347" t="s">
        <v>424</v>
      </c>
      <c r="B347">
        <v>30.992000000000001</v>
      </c>
      <c r="C347">
        <v>13</v>
      </c>
      <c r="D347">
        <v>0.2</v>
      </c>
      <c r="E347">
        <v>10.0724</v>
      </c>
    </row>
    <row r="348" spans="1:5" x14ac:dyDescent="0.3">
      <c r="A348" t="s">
        <v>966</v>
      </c>
      <c r="B348">
        <v>71.927999999999997</v>
      </c>
      <c r="C348">
        <v>12</v>
      </c>
      <c r="D348">
        <v>0.4</v>
      </c>
      <c r="E348">
        <v>8.3916000000000004</v>
      </c>
    </row>
    <row r="349" spans="1:5" x14ac:dyDescent="0.3">
      <c r="A349" t="s">
        <v>91</v>
      </c>
      <c r="B349">
        <v>88.8</v>
      </c>
      <c r="C349">
        <v>4</v>
      </c>
      <c r="D349">
        <v>0.2</v>
      </c>
      <c r="E349">
        <v>-2.2200000000000002</v>
      </c>
    </row>
    <row r="350" spans="1:5" x14ac:dyDescent="0.3">
      <c r="A350" t="s">
        <v>420</v>
      </c>
      <c r="B350">
        <v>47.975999999999999</v>
      </c>
      <c r="C350">
        <v>3</v>
      </c>
      <c r="D350">
        <v>0.2</v>
      </c>
      <c r="E350">
        <v>4.7976000000000001</v>
      </c>
    </row>
    <row r="351" spans="1:5" x14ac:dyDescent="0.3">
      <c r="A351" t="s">
        <v>597</v>
      </c>
      <c r="B351">
        <v>7.56</v>
      </c>
      <c r="C351">
        <v>3</v>
      </c>
      <c r="D351">
        <v>0</v>
      </c>
      <c r="E351">
        <v>3.0996000000000001</v>
      </c>
    </row>
    <row r="352" spans="1:5" x14ac:dyDescent="0.3">
      <c r="A352" t="s">
        <v>140</v>
      </c>
      <c r="B352">
        <v>24.56</v>
      </c>
      <c r="C352">
        <v>2</v>
      </c>
      <c r="D352">
        <v>0</v>
      </c>
      <c r="E352">
        <v>11.543200000000001</v>
      </c>
    </row>
    <row r="353" spans="1:5" x14ac:dyDescent="0.3">
      <c r="A353" t="s">
        <v>973</v>
      </c>
      <c r="B353">
        <v>12.96</v>
      </c>
      <c r="C353">
        <v>2</v>
      </c>
      <c r="D353">
        <v>0</v>
      </c>
      <c r="E353">
        <v>4.1471999999999998</v>
      </c>
    </row>
    <row r="354" spans="1:5" x14ac:dyDescent="0.3">
      <c r="A354" t="s">
        <v>745</v>
      </c>
      <c r="B354">
        <v>6.79</v>
      </c>
      <c r="C354">
        <v>1</v>
      </c>
      <c r="D354">
        <v>0</v>
      </c>
      <c r="E354">
        <v>2.3086000000000002</v>
      </c>
    </row>
    <row r="355" spans="1:5" x14ac:dyDescent="0.3">
      <c r="A355" t="s">
        <v>977</v>
      </c>
      <c r="B355">
        <v>24.56</v>
      </c>
      <c r="C355">
        <v>2</v>
      </c>
      <c r="D355">
        <v>0</v>
      </c>
      <c r="E355">
        <v>11.543200000000001</v>
      </c>
    </row>
    <row r="356" spans="1:5" x14ac:dyDescent="0.3">
      <c r="A356" t="s">
        <v>979</v>
      </c>
      <c r="B356">
        <v>3.048</v>
      </c>
      <c r="C356">
        <v>1</v>
      </c>
      <c r="D356">
        <v>0.2</v>
      </c>
      <c r="E356">
        <v>1.0668</v>
      </c>
    </row>
    <row r="357" spans="1:5" x14ac:dyDescent="0.3">
      <c r="A357" t="s">
        <v>977</v>
      </c>
      <c r="B357">
        <v>49.12</v>
      </c>
      <c r="C357">
        <v>4</v>
      </c>
      <c r="D357">
        <v>0</v>
      </c>
      <c r="E357">
        <v>23.086400000000001</v>
      </c>
    </row>
    <row r="358" spans="1:5" x14ac:dyDescent="0.3">
      <c r="A358" t="s">
        <v>981</v>
      </c>
      <c r="B358">
        <v>4355.1679999999997</v>
      </c>
      <c r="C358">
        <v>4</v>
      </c>
      <c r="D358">
        <v>0.2</v>
      </c>
      <c r="E358">
        <v>1415.4295999999999</v>
      </c>
    </row>
    <row r="359" spans="1:5" x14ac:dyDescent="0.3">
      <c r="A359" t="s">
        <v>985</v>
      </c>
      <c r="B359">
        <v>388.70400000000001</v>
      </c>
      <c r="C359">
        <v>6</v>
      </c>
      <c r="D359">
        <v>0.2</v>
      </c>
      <c r="E359">
        <v>-4.8587999999999996</v>
      </c>
    </row>
    <row r="360" spans="1:5" x14ac:dyDescent="0.3">
      <c r="A360" t="s">
        <v>987</v>
      </c>
      <c r="B360">
        <v>8.26</v>
      </c>
      <c r="C360">
        <v>2</v>
      </c>
      <c r="D360">
        <v>0</v>
      </c>
      <c r="E360">
        <v>3.7995999999999999</v>
      </c>
    </row>
    <row r="361" spans="1:5" x14ac:dyDescent="0.3">
      <c r="A361" t="s">
        <v>989</v>
      </c>
      <c r="B361">
        <v>17.04</v>
      </c>
      <c r="C361">
        <v>4</v>
      </c>
      <c r="D361">
        <v>0</v>
      </c>
      <c r="E361">
        <v>6.9863999999999997</v>
      </c>
    </row>
    <row r="362" spans="1:5" x14ac:dyDescent="0.3">
      <c r="A362" t="s">
        <v>991</v>
      </c>
      <c r="B362">
        <v>34.4</v>
      </c>
      <c r="C362">
        <v>5</v>
      </c>
      <c r="D362">
        <v>0</v>
      </c>
      <c r="E362">
        <v>15.824</v>
      </c>
    </row>
    <row r="363" spans="1:5" x14ac:dyDescent="0.3">
      <c r="A363" t="s">
        <v>611</v>
      </c>
      <c r="B363">
        <v>36.24</v>
      </c>
      <c r="C363">
        <v>5</v>
      </c>
      <c r="D363">
        <v>0.2</v>
      </c>
      <c r="E363">
        <v>11.324999999999999</v>
      </c>
    </row>
    <row r="364" spans="1:5" x14ac:dyDescent="0.3">
      <c r="A364" t="s">
        <v>996</v>
      </c>
      <c r="B364">
        <v>647.84</v>
      </c>
      <c r="C364">
        <v>8</v>
      </c>
      <c r="D364">
        <v>0</v>
      </c>
      <c r="E364">
        <v>168.4384</v>
      </c>
    </row>
    <row r="365" spans="1:5" x14ac:dyDescent="0.3">
      <c r="A365" t="s">
        <v>998</v>
      </c>
      <c r="B365">
        <v>20.7</v>
      </c>
      <c r="C365">
        <v>2</v>
      </c>
      <c r="D365">
        <v>0</v>
      </c>
      <c r="E365">
        <v>9.9359999999999999</v>
      </c>
    </row>
    <row r="366" spans="1:5" x14ac:dyDescent="0.3">
      <c r="A366" t="s">
        <v>998</v>
      </c>
      <c r="B366">
        <v>20.7</v>
      </c>
      <c r="C366">
        <v>2</v>
      </c>
      <c r="D366">
        <v>0</v>
      </c>
      <c r="E366">
        <v>9.9359999999999999</v>
      </c>
    </row>
    <row r="367" spans="1:5" x14ac:dyDescent="0.3">
      <c r="A367" t="s">
        <v>1002</v>
      </c>
      <c r="B367">
        <v>488.64600000000002</v>
      </c>
      <c r="C367">
        <v>3</v>
      </c>
      <c r="D367">
        <v>0.1</v>
      </c>
      <c r="E367">
        <v>86.870400000000004</v>
      </c>
    </row>
    <row r="368" spans="1:5" x14ac:dyDescent="0.3">
      <c r="A368" t="s">
        <v>1004</v>
      </c>
      <c r="B368">
        <v>5.56</v>
      </c>
      <c r="C368">
        <v>2</v>
      </c>
      <c r="D368">
        <v>0</v>
      </c>
      <c r="E368">
        <v>1.4456</v>
      </c>
    </row>
    <row r="369" spans="1:5" x14ac:dyDescent="0.3">
      <c r="A369" t="s">
        <v>1006</v>
      </c>
      <c r="B369">
        <v>47.12</v>
      </c>
      <c r="C369">
        <v>8</v>
      </c>
      <c r="D369">
        <v>0</v>
      </c>
      <c r="E369">
        <v>20.732800000000001</v>
      </c>
    </row>
    <row r="370" spans="1:5" x14ac:dyDescent="0.3">
      <c r="A370" t="s">
        <v>179</v>
      </c>
      <c r="B370">
        <v>211.96</v>
      </c>
      <c r="C370">
        <v>4</v>
      </c>
      <c r="D370">
        <v>0</v>
      </c>
      <c r="E370">
        <v>8.4784000000000006</v>
      </c>
    </row>
    <row r="371" spans="1:5" x14ac:dyDescent="0.3">
      <c r="A371" t="s">
        <v>1013</v>
      </c>
      <c r="B371">
        <v>23.2</v>
      </c>
      <c r="C371">
        <v>4</v>
      </c>
      <c r="D371">
        <v>0</v>
      </c>
      <c r="E371">
        <v>10.44</v>
      </c>
    </row>
    <row r="372" spans="1:5" x14ac:dyDescent="0.3">
      <c r="A372" t="s">
        <v>1015</v>
      </c>
      <c r="B372">
        <v>7.36</v>
      </c>
      <c r="C372">
        <v>2</v>
      </c>
      <c r="D372">
        <v>0</v>
      </c>
      <c r="E372">
        <v>0.1472</v>
      </c>
    </row>
    <row r="373" spans="1:5" x14ac:dyDescent="0.3">
      <c r="A373" t="s">
        <v>1017</v>
      </c>
      <c r="B373">
        <v>104.79</v>
      </c>
      <c r="C373">
        <v>7</v>
      </c>
      <c r="D373">
        <v>0</v>
      </c>
      <c r="E373">
        <v>29.341200000000001</v>
      </c>
    </row>
    <row r="374" spans="1:5" x14ac:dyDescent="0.3">
      <c r="A374" t="s">
        <v>153</v>
      </c>
      <c r="B374">
        <v>1043.92</v>
      </c>
      <c r="C374">
        <v>4</v>
      </c>
      <c r="D374">
        <v>0</v>
      </c>
      <c r="E374">
        <v>271.41919999999999</v>
      </c>
    </row>
    <row r="375" spans="1:5" x14ac:dyDescent="0.3">
      <c r="A375" t="s">
        <v>1021</v>
      </c>
      <c r="B375">
        <v>25.92</v>
      </c>
      <c r="C375">
        <v>5</v>
      </c>
      <c r="D375">
        <v>0.2</v>
      </c>
      <c r="E375">
        <v>9.3960000000000008</v>
      </c>
    </row>
    <row r="376" spans="1:5" x14ac:dyDescent="0.3">
      <c r="A376" t="s">
        <v>1023</v>
      </c>
      <c r="B376">
        <v>53.423999999999999</v>
      </c>
      <c r="C376">
        <v>3</v>
      </c>
      <c r="D376">
        <v>0.2</v>
      </c>
      <c r="E376">
        <v>4.6745999999999999</v>
      </c>
    </row>
    <row r="377" spans="1:5" x14ac:dyDescent="0.3">
      <c r="A377" t="s">
        <v>943</v>
      </c>
      <c r="B377">
        <v>8.16</v>
      </c>
      <c r="C377">
        <v>5</v>
      </c>
      <c r="D377">
        <v>0.7</v>
      </c>
      <c r="E377">
        <v>-5.7119999999999997</v>
      </c>
    </row>
    <row r="378" spans="1:5" x14ac:dyDescent="0.3">
      <c r="A378" t="s">
        <v>1027</v>
      </c>
      <c r="B378">
        <v>1023.936</v>
      </c>
      <c r="C378">
        <v>8</v>
      </c>
      <c r="D378">
        <v>0.2</v>
      </c>
      <c r="E378">
        <v>179.18879999999999</v>
      </c>
    </row>
    <row r="379" spans="1:5" x14ac:dyDescent="0.3">
      <c r="A379" t="s">
        <v>1029</v>
      </c>
      <c r="B379">
        <v>9.24</v>
      </c>
      <c r="C379">
        <v>1</v>
      </c>
      <c r="D379">
        <v>0.2</v>
      </c>
      <c r="E379">
        <v>0.92400000000000004</v>
      </c>
    </row>
    <row r="380" spans="1:5" x14ac:dyDescent="0.3">
      <c r="A380" t="s">
        <v>1031</v>
      </c>
      <c r="B380">
        <v>479.04</v>
      </c>
      <c r="C380">
        <v>10</v>
      </c>
      <c r="D380">
        <v>0.2</v>
      </c>
      <c r="E380">
        <v>-29.94</v>
      </c>
    </row>
    <row r="381" spans="1:5" x14ac:dyDescent="0.3">
      <c r="A381" t="s">
        <v>1035</v>
      </c>
      <c r="B381">
        <v>99.135999999999996</v>
      </c>
      <c r="C381">
        <v>4</v>
      </c>
      <c r="D381">
        <v>0.2</v>
      </c>
      <c r="E381">
        <v>30.98</v>
      </c>
    </row>
    <row r="382" spans="1:5" x14ac:dyDescent="0.3">
      <c r="A382" t="s">
        <v>1039</v>
      </c>
      <c r="B382">
        <v>1488.424</v>
      </c>
      <c r="C382">
        <v>7</v>
      </c>
      <c r="D382">
        <v>0.3</v>
      </c>
      <c r="E382">
        <v>-297.6848</v>
      </c>
    </row>
    <row r="383" spans="1:5" x14ac:dyDescent="0.3">
      <c r="A383" t="s">
        <v>1043</v>
      </c>
      <c r="B383">
        <v>8.6519999999999992</v>
      </c>
      <c r="C383">
        <v>3</v>
      </c>
      <c r="D383">
        <v>0.8</v>
      </c>
      <c r="E383">
        <v>-20.3322</v>
      </c>
    </row>
    <row r="384" spans="1:5" x14ac:dyDescent="0.3">
      <c r="A384" t="s">
        <v>1045</v>
      </c>
      <c r="B384">
        <v>23.832000000000001</v>
      </c>
      <c r="C384">
        <v>3</v>
      </c>
      <c r="D384">
        <v>0.2</v>
      </c>
      <c r="E384">
        <v>2.6810999999999998</v>
      </c>
    </row>
    <row r="385" spans="1:5" x14ac:dyDescent="0.3">
      <c r="A385" t="s">
        <v>1047</v>
      </c>
      <c r="B385">
        <v>12.176</v>
      </c>
      <c r="C385">
        <v>4</v>
      </c>
      <c r="D385">
        <v>0.8</v>
      </c>
      <c r="E385">
        <v>-18.872800000000002</v>
      </c>
    </row>
    <row r="386" spans="1:5" x14ac:dyDescent="0.3">
      <c r="A386" t="s">
        <v>1051</v>
      </c>
      <c r="B386">
        <v>50.96</v>
      </c>
      <c r="C386">
        <v>7</v>
      </c>
      <c r="D386">
        <v>0</v>
      </c>
      <c r="E386">
        <v>25.48</v>
      </c>
    </row>
    <row r="387" spans="1:5" x14ac:dyDescent="0.3">
      <c r="A387" t="s">
        <v>1053</v>
      </c>
      <c r="B387">
        <v>49.536000000000001</v>
      </c>
      <c r="C387">
        <v>3</v>
      </c>
      <c r="D387">
        <v>0.2</v>
      </c>
      <c r="E387">
        <v>17.337599999999998</v>
      </c>
    </row>
    <row r="388" spans="1:5" x14ac:dyDescent="0.3">
      <c r="A388" t="s">
        <v>1057</v>
      </c>
      <c r="B388">
        <v>41.9</v>
      </c>
      <c r="C388">
        <v>2</v>
      </c>
      <c r="D388">
        <v>0</v>
      </c>
      <c r="E388">
        <v>8.7989999999999995</v>
      </c>
    </row>
    <row r="389" spans="1:5" x14ac:dyDescent="0.3">
      <c r="A389" t="s">
        <v>1061</v>
      </c>
      <c r="B389">
        <v>375.45749999999998</v>
      </c>
      <c r="C389">
        <v>3</v>
      </c>
      <c r="D389">
        <v>0.45</v>
      </c>
      <c r="E389">
        <v>-157.0095</v>
      </c>
    </row>
    <row r="390" spans="1:5" x14ac:dyDescent="0.3">
      <c r="A390" t="s">
        <v>1063</v>
      </c>
      <c r="B390">
        <v>83.975999999999999</v>
      </c>
      <c r="C390">
        <v>3</v>
      </c>
      <c r="D390">
        <v>0.2</v>
      </c>
      <c r="E390">
        <v>-1.0497000000000001</v>
      </c>
    </row>
    <row r="391" spans="1:5" x14ac:dyDescent="0.3">
      <c r="A391" t="s">
        <v>1067</v>
      </c>
      <c r="B391">
        <v>482.34</v>
      </c>
      <c r="C391">
        <v>4</v>
      </c>
      <c r="D391">
        <v>0.7</v>
      </c>
      <c r="E391">
        <v>-337.63799999999998</v>
      </c>
    </row>
    <row r="392" spans="1:5" x14ac:dyDescent="0.3">
      <c r="A392" t="s">
        <v>1069</v>
      </c>
      <c r="B392">
        <v>2.96</v>
      </c>
      <c r="C392">
        <v>1</v>
      </c>
      <c r="D392">
        <v>0.2</v>
      </c>
      <c r="E392">
        <v>0.77700000000000002</v>
      </c>
    </row>
    <row r="393" spans="1:5" x14ac:dyDescent="0.3">
      <c r="A393" t="s">
        <v>1073</v>
      </c>
      <c r="B393">
        <v>2.6240000000000001</v>
      </c>
      <c r="C393">
        <v>1</v>
      </c>
      <c r="D393">
        <v>0.2</v>
      </c>
      <c r="E393">
        <v>0.4264</v>
      </c>
    </row>
    <row r="394" spans="1:5" x14ac:dyDescent="0.3">
      <c r="A394" t="s">
        <v>1077</v>
      </c>
      <c r="B394">
        <v>23.36</v>
      </c>
      <c r="C394">
        <v>4</v>
      </c>
      <c r="D394">
        <v>0.2</v>
      </c>
      <c r="E394">
        <v>7.8840000000000003</v>
      </c>
    </row>
    <row r="395" spans="1:5" x14ac:dyDescent="0.3">
      <c r="A395" t="s">
        <v>292</v>
      </c>
      <c r="B395">
        <v>39.979999999999997</v>
      </c>
      <c r="C395">
        <v>2</v>
      </c>
      <c r="D395">
        <v>0</v>
      </c>
      <c r="E395">
        <v>13.5932</v>
      </c>
    </row>
    <row r="396" spans="1:5" x14ac:dyDescent="0.3">
      <c r="A396" t="s">
        <v>1081</v>
      </c>
      <c r="B396">
        <v>246.38399999999999</v>
      </c>
      <c r="C396">
        <v>2</v>
      </c>
      <c r="D396">
        <v>0.2</v>
      </c>
      <c r="E396">
        <v>27.7182</v>
      </c>
    </row>
    <row r="397" spans="1:5" x14ac:dyDescent="0.3">
      <c r="A397" t="s">
        <v>1083</v>
      </c>
      <c r="B397">
        <v>1799.97</v>
      </c>
      <c r="C397">
        <v>3</v>
      </c>
      <c r="D397">
        <v>0</v>
      </c>
      <c r="E397">
        <v>701.98829999999998</v>
      </c>
    </row>
    <row r="398" spans="1:5" x14ac:dyDescent="0.3">
      <c r="A398" t="s">
        <v>1087</v>
      </c>
      <c r="B398">
        <v>12.462</v>
      </c>
      <c r="C398">
        <v>3</v>
      </c>
      <c r="D398">
        <v>0.8</v>
      </c>
      <c r="E398">
        <v>-20.5623</v>
      </c>
    </row>
    <row r="399" spans="1:5" x14ac:dyDescent="0.3">
      <c r="A399" t="s">
        <v>1091</v>
      </c>
      <c r="B399">
        <v>75.792000000000002</v>
      </c>
      <c r="C399">
        <v>3</v>
      </c>
      <c r="D399">
        <v>0.2</v>
      </c>
      <c r="E399">
        <v>25.579799999999999</v>
      </c>
    </row>
    <row r="400" spans="1:5" x14ac:dyDescent="0.3">
      <c r="A400" t="s">
        <v>1095</v>
      </c>
      <c r="B400">
        <v>49.96</v>
      </c>
      <c r="C400">
        <v>2</v>
      </c>
      <c r="D400">
        <v>0</v>
      </c>
      <c r="E400">
        <v>9.4923999999999999</v>
      </c>
    </row>
    <row r="401" spans="1:5" x14ac:dyDescent="0.3">
      <c r="A401" t="s">
        <v>1097</v>
      </c>
      <c r="B401">
        <v>12.96</v>
      </c>
      <c r="C401">
        <v>2</v>
      </c>
      <c r="D401">
        <v>0</v>
      </c>
      <c r="E401">
        <v>6.2207999999999997</v>
      </c>
    </row>
    <row r="402" spans="1:5" x14ac:dyDescent="0.3">
      <c r="A402" t="s">
        <v>1100</v>
      </c>
      <c r="B402">
        <v>70.12</v>
      </c>
      <c r="C402">
        <v>4</v>
      </c>
      <c r="D402">
        <v>0</v>
      </c>
      <c r="E402">
        <v>21.036000000000001</v>
      </c>
    </row>
    <row r="403" spans="1:5" x14ac:dyDescent="0.3">
      <c r="A403" t="s">
        <v>1104</v>
      </c>
      <c r="B403">
        <v>35.951999999999998</v>
      </c>
      <c r="C403">
        <v>3</v>
      </c>
      <c r="D403">
        <v>0.2</v>
      </c>
      <c r="E403">
        <v>3.5952000000000002</v>
      </c>
    </row>
    <row r="404" spans="1:5" x14ac:dyDescent="0.3">
      <c r="A404" t="s">
        <v>123</v>
      </c>
      <c r="B404">
        <v>2396.2656000000002</v>
      </c>
      <c r="C404">
        <v>4</v>
      </c>
      <c r="D404">
        <v>0.32</v>
      </c>
      <c r="E404">
        <v>-317.15280000000001</v>
      </c>
    </row>
    <row r="405" spans="1:5" x14ac:dyDescent="0.3">
      <c r="A405" t="s">
        <v>1106</v>
      </c>
      <c r="B405">
        <v>131.136</v>
      </c>
      <c r="C405">
        <v>4</v>
      </c>
      <c r="D405">
        <v>0.2</v>
      </c>
      <c r="E405">
        <v>-32.783999999999999</v>
      </c>
    </row>
    <row r="406" spans="1:5" x14ac:dyDescent="0.3">
      <c r="A406" t="s">
        <v>1108</v>
      </c>
      <c r="B406">
        <v>57.584000000000003</v>
      </c>
      <c r="C406">
        <v>2</v>
      </c>
      <c r="D406">
        <v>0.2</v>
      </c>
      <c r="E406">
        <v>0.7198</v>
      </c>
    </row>
    <row r="407" spans="1:5" x14ac:dyDescent="0.3">
      <c r="A407" t="s">
        <v>1112</v>
      </c>
      <c r="B407">
        <v>9.5679999999999996</v>
      </c>
      <c r="C407">
        <v>2</v>
      </c>
      <c r="D407">
        <v>0.2</v>
      </c>
      <c r="E407">
        <v>3.4683999999999999</v>
      </c>
    </row>
    <row r="408" spans="1:5" x14ac:dyDescent="0.3">
      <c r="A408" t="s">
        <v>1115</v>
      </c>
      <c r="B408">
        <v>39.072000000000003</v>
      </c>
      <c r="C408">
        <v>6</v>
      </c>
      <c r="D408">
        <v>0.2</v>
      </c>
      <c r="E408">
        <v>9.7680000000000007</v>
      </c>
    </row>
    <row r="409" spans="1:5" x14ac:dyDescent="0.3">
      <c r="A409" t="s">
        <v>1119</v>
      </c>
      <c r="B409">
        <v>35.909999999999997</v>
      </c>
      <c r="C409">
        <v>3</v>
      </c>
      <c r="D409">
        <v>0</v>
      </c>
      <c r="E409">
        <v>9.6957000000000004</v>
      </c>
    </row>
    <row r="410" spans="1:5" x14ac:dyDescent="0.3">
      <c r="A410" t="s">
        <v>1108</v>
      </c>
      <c r="B410">
        <v>179.95</v>
      </c>
      <c r="C410">
        <v>5</v>
      </c>
      <c r="D410">
        <v>0</v>
      </c>
      <c r="E410">
        <v>37.789499999999997</v>
      </c>
    </row>
    <row r="411" spans="1:5" x14ac:dyDescent="0.3">
      <c r="A411" t="s">
        <v>1123</v>
      </c>
      <c r="B411">
        <v>1199.9760000000001</v>
      </c>
      <c r="C411">
        <v>3</v>
      </c>
      <c r="D411">
        <v>0.2</v>
      </c>
      <c r="E411">
        <v>434.99130000000002</v>
      </c>
    </row>
    <row r="412" spans="1:5" x14ac:dyDescent="0.3">
      <c r="A412" t="s">
        <v>1125</v>
      </c>
      <c r="B412">
        <v>27.15</v>
      </c>
      <c r="C412">
        <v>5</v>
      </c>
      <c r="D412">
        <v>0</v>
      </c>
      <c r="E412">
        <v>13.3035</v>
      </c>
    </row>
    <row r="413" spans="1:5" x14ac:dyDescent="0.3">
      <c r="A413" t="s">
        <v>1127</v>
      </c>
      <c r="B413">
        <v>1004.024</v>
      </c>
      <c r="C413">
        <v>7</v>
      </c>
      <c r="D413">
        <v>0.2</v>
      </c>
      <c r="E413">
        <v>-112.95269999999999</v>
      </c>
    </row>
    <row r="414" spans="1:5" x14ac:dyDescent="0.3">
      <c r="A414" t="s">
        <v>1129</v>
      </c>
      <c r="B414">
        <v>9.68</v>
      </c>
      <c r="C414">
        <v>1</v>
      </c>
      <c r="D414">
        <v>0</v>
      </c>
      <c r="E414">
        <v>4.6463999999999999</v>
      </c>
    </row>
    <row r="415" spans="1:5" x14ac:dyDescent="0.3">
      <c r="A415" t="s">
        <v>1131</v>
      </c>
      <c r="B415">
        <v>28.35</v>
      </c>
      <c r="C415">
        <v>9</v>
      </c>
      <c r="D415">
        <v>0</v>
      </c>
      <c r="E415">
        <v>13.608000000000001</v>
      </c>
    </row>
    <row r="416" spans="1:5" x14ac:dyDescent="0.3">
      <c r="A416" t="s">
        <v>1132</v>
      </c>
      <c r="B416">
        <v>55.98</v>
      </c>
      <c r="C416">
        <v>1</v>
      </c>
      <c r="D416">
        <v>0</v>
      </c>
      <c r="E416">
        <v>27.430199999999999</v>
      </c>
    </row>
    <row r="417" spans="1:5" x14ac:dyDescent="0.3">
      <c r="A417" t="s">
        <v>1134</v>
      </c>
      <c r="B417">
        <v>1336.829</v>
      </c>
      <c r="C417">
        <v>13</v>
      </c>
      <c r="D417">
        <v>0.15</v>
      </c>
      <c r="E417">
        <v>31.454799999999999</v>
      </c>
    </row>
    <row r="418" spans="1:5" x14ac:dyDescent="0.3">
      <c r="A418" t="s">
        <v>1136</v>
      </c>
      <c r="B418">
        <v>113.568</v>
      </c>
      <c r="C418">
        <v>2</v>
      </c>
      <c r="D418">
        <v>0.2</v>
      </c>
      <c r="E418">
        <v>-18.454799999999999</v>
      </c>
    </row>
    <row r="419" spans="1:5" x14ac:dyDescent="0.3">
      <c r="A419" t="s">
        <v>1140</v>
      </c>
      <c r="B419">
        <v>139.86000000000001</v>
      </c>
      <c r="C419">
        <v>7</v>
      </c>
      <c r="D419">
        <v>0</v>
      </c>
      <c r="E419">
        <v>65.734200000000001</v>
      </c>
    </row>
    <row r="420" spans="1:5" x14ac:dyDescent="0.3">
      <c r="A420" t="s">
        <v>842</v>
      </c>
      <c r="B420">
        <v>307.13600000000002</v>
      </c>
      <c r="C420">
        <v>4</v>
      </c>
      <c r="D420">
        <v>0.2</v>
      </c>
      <c r="E420">
        <v>26.874400000000001</v>
      </c>
    </row>
    <row r="421" spans="1:5" x14ac:dyDescent="0.3">
      <c r="A421" t="s">
        <v>1144</v>
      </c>
      <c r="B421">
        <v>95.92</v>
      </c>
      <c r="C421">
        <v>8</v>
      </c>
      <c r="D421">
        <v>0</v>
      </c>
      <c r="E421">
        <v>25.898399999999999</v>
      </c>
    </row>
    <row r="422" spans="1:5" x14ac:dyDescent="0.3">
      <c r="A422" t="s">
        <v>1148</v>
      </c>
      <c r="B422">
        <v>383.8</v>
      </c>
      <c r="C422">
        <v>5</v>
      </c>
      <c r="D422">
        <v>0.2</v>
      </c>
      <c r="E422">
        <v>38.380000000000003</v>
      </c>
    </row>
    <row r="423" spans="1:5" x14ac:dyDescent="0.3">
      <c r="A423" t="s">
        <v>1151</v>
      </c>
      <c r="B423">
        <v>5.78</v>
      </c>
      <c r="C423">
        <v>1</v>
      </c>
      <c r="D423">
        <v>0</v>
      </c>
      <c r="E423">
        <v>2.8321999999999998</v>
      </c>
    </row>
    <row r="424" spans="1:5" x14ac:dyDescent="0.3">
      <c r="A424" t="s">
        <v>1154</v>
      </c>
      <c r="B424">
        <v>9.32</v>
      </c>
      <c r="C424">
        <v>4</v>
      </c>
      <c r="D424">
        <v>0</v>
      </c>
      <c r="E424">
        <v>2.7027999999999999</v>
      </c>
    </row>
    <row r="425" spans="1:5" x14ac:dyDescent="0.3">
      <c r="A425" t="s">
        <v>1156</v>
      </c>
      <c r="B425">
        <v>15.25</v>
      </c>
      <c r="C425">
        <v>1</v>
      </c>
      <c r="D425">
        <v>0</v>
      </c>
      <c r="E425">
        <v>7.0149999999999997</v>
      </c>
    </row>
    <row r="426" spans="1:5" x14ac:dyDescent="0.3">
      <c r="A426" t="s">
        <v>1159</v>
      </c>
      <c r="B426">
        <v>196.75200000000001</v>
      </c>
      <c r="C426">
        <v>6</v>
      </c>
      <c r="D426">
        <v>0.2</v>
      </c>
      <c r="E426">
        <v>56.566200000000002</v>
      </c>
    </row>
    <row r="427" spans="1:5" x14ac:dyDescent="0.3">
      <c r="A427" t="s">
        <v>1163</v>
      </c>
      <c r="B427">
        <v>56.56</v>
      </c>
      <c r="C427">
        <v>4</v>
      </c>
      <c r="D427">
        <v>0</v>
      </c>
      <c r="E427">
        <v>14.7056</v>
      </c>
    </row>
    <row r="428" spans="1:5" x14ac:dyDescent="0.3">
      <c r="A428" t="s">
        <v>1165</v>
      </c>
      <c r="B428">
        <v>32.700000000000003</v>
      </c>
      <c r="C428">
        <v>3</v>
      </c>
      <c r="D428">
        <v>0</v>
      </c>
      <c r="E428">
        <v>8.5020000000000007</v>
      </c>
    </row>
    <row r="429" spans="1:5" x14ac:dyDescent="0.3">
      <c r="A429" t="s">
        <v>1169</v>
      </c>
      <c r="B429">
        <v>866.4</v>
      </c>
      <c r="C429">
        <v>4</v>
      </c>
      <c r="D429">
        <v>0</v>
      </c>
      <c r="E429">
        <v>225.26400000000001</v>
      </c>
    </row>
    <row r="430" spans="1:5" x14ac:dyDescent="0.3">
      <c r="A430" t="s">
        <v>1172</v>
      </c>
      <c r="B430">
        <v>28.4</v>
      </c>
      <c r="C430">
        <v>2</v>
      </c>
      <c r="D430">
        <v>0</v>
      </c>
      <c r="E430">
        <v>11.076000000000001</v>
      </c>
    </row>
    <row r="431" spans="1:5" x14ac:dyDescent="0.3">
      <c r="A431" t="s">
        <v>1174</v>
      </c>
      <c r="B431">
        <v>287.92</v>
      </c>
      <c r="C431">
        <v>8</v>
      </c>
      <c r="D431">
        <v>0</v>
      </c>
      <c r="E431">
        <v>138.20160000000001</v>
      </c>
    </row>
    <row r="432" spans="1:5" x14ac:dyDescent="0.3">
      <c r="A432" t="s">
        <v>1178</v>
      </c>
      <c r="B432">
        <v>69.989999999999995</v>
      </c>
      <c r="C432">
        <v>1</v>
      </c>
      <c r="D432">
        <v>0</v>
      </c>
      <c r="E432">
        <v>30.095700000000001</v>
      </c>
    </row>
    <row r="433" spans="1:5" x14ac:dyDescent="0.3">
      <c r="A433" t="s">
        <v>1182</v>
      </c>
      <c r="B433">
        <v>6.6719999999999997</v>
      </c>
      <c r="C433">
        <v>6</v>
      </c>
      <c r="D433">
        <v>0.2</v>
      </c>
      <c r="E433">
        <v>0.50039999999999996</v>
      </c>
    </row>
    <row r="434" spans="1:5" x14ac:dyDescent="0.3">
      <c r="A434" t="s">
        <v>1186</v>
      </c>
      <c r="B434">
        <v>189.58799999999999</v>
      </c>
      <c r="C434">
        <v>2</v>
      </c>
      <c r="D434">
        <v>0.7</v>
      </c>
      <c r="E434">
        <v>-145.35079999999999</v>
      </c>
    </row>
    <row r="435" spans="1:5" x14ac:dyDescent="0.3">
      <c r="A435" t="s">
        <v>559</v>
      </c>
      <c r="B435">
        <v>408.74400000000003</v>
      </c>
      <c r="C435">
        <v>7</v>
      </c>
      <c r="D435">
        <v>0.2</v>
      </c>
      <c r="E435">
        <v>76.639499999999998</v>
      </c>
    </row>
    <row r="436" spans="1:5" x14ac:dyDescent="0.3">
      <c r="A436" t="s">
        <v>559</v>
      </c>
      <c r="B436">
        <v>291.95999999999998</v>
      </c>
      <c r="C436">
        <v>5</v>
      </c>
      <c r="D436">
        <v>0.2</v>
      </c>
      <c r="E436">
        <v>54.7425</v>
      </c>
    </row>
    <row r="437" spans="1:5" x14ac:dyDescent="0.3">
      <c r="A437" t="s">
        <v>1188</v>
      </c>
      <c r="B437">
        <v>4.7679999999999998</v>
      </c>
      <c r="C437">
        <v>2</v>
      </c>
      <c r="D437">
        <v>0.2</v>
      </c>
      <c r="E437">
        <v>-0.77480000000000004</v>
      </c>
    </row>
    <row r="438" spans="1:5" x14ac:dyDescent="0.3">
      <c r="A438" t="s">
        <v>1191</v>
      </c>
      <c r="B438">
        <v>714.3</v>
      </c>
      <c r="C438">
        <v>5</v>
      </c>
      <c r="D438">
        <v>0</v>
      </c>
      <c r="E438">
        <v>207.14699999999999</v>
      </c>
    </row>
    <row r="439" spans="1:5" x14ac:dyDescent="0.3">
      <c r="A439" t="s">
        <v>1195</v>
      </c>
      <c r="B439">
        <v>4.8120000000000003</v>
      </c>
      <c r="C439">
        <v>2</v>
      </c>
      <c r="D439">
        <v>0.7</v>
      </c>
      <c r="E439">
        <v>-3.6892</v>
      </c>
    </row>
    <row r="440" spans="1:5" x14ac:dyDescent="0.3">
      <c r="A440" t="s">
        <v>1197</v>
      </c>
      <c r="B440">
        <v>247.8</v>
      </c>
      <c r="C440">
        <v>5</v>
      </c>
      <c r="D440">
        <v>0.2</v>
      </c>
      <c r="E440">
        <v>-18.585000000000001</v>
      </c>
    </row>
    <row r="441" spans="1:5" x14ac:dyDescent="0.3">
      <c r="A441" t="s">
        <v>1201</v>
      </c>
      <c r="B441">
        <v>1007.979</v>
      </c>
      <c r="C441">
        <v>3</v>
      </c>
      <c r="D441">
        <v>0.3</v>
      </c>
      <c r="E441">
        <v>43.199100000000001</v>
      </c>
    </row>
    <row r="442" spans="1:5" x14ac:dyDescent="0.3">
      <c r="A442" t="s">
        <v>1132</v>
      </c>
      <c r="B442">
        <v>313.488</v>
      </c>
      <c r="C442">
        <v>7</v>
      </c>
      <c r="D442">
        <v>0.2</v>
      </c>
      <c r="E442">
        <v>113.63939999999999</v>
      </c>
    </row>
    <row r="443" spans="1:5" x14ac:dyDescent="0.3">
      <c r="A443" t="s">
        <v>1205</v>
      </c>
      <c r="B443">
        <v>31.872</v>
      </c>
      <c r="C443">
        <v>8</v>
      </c>
      <c r="D443">
        <v>0.2</v>
      </c>
      <c r="E443">
        <v>11.553599999999999</v>
      </c>
    </row>
    <row r="444" spans="1:5" x14ac:dyDescent="0.3">
      <c r="A444" t="s">
        <v>1208</v>
      </c>
      <c r="B444">
        <v>207.846</v>
      </c>
      <c r="C444">
        <v>3</v>
      </c>
      <c r="D444">
        <v>0.1</v>
      </c>
      <c r="E444">
        <v>2.3094000000000001</v>
      </c>
    </row>
    <row r="445" spans="1:5" x14ac:dyDescent="0.3">
      <c r="A445" t="s">
        <v>1211</v>
      </c>
      <c r="B445">
        <v>12.22</v>
      </c>
      <c r="C445">
        <v>1</v>
      </c>
      <c r="D445">
        <v>0</v>
      </c>
      <c r="E445">
        <v>3.6659999999999999</v>
      </c>
    </row>
    <row r="446" spans="1:5" x14ac:dyDescent="0.3">
      <c r="A446" t="s">
        <v>1213</v>
      </c>
      <c r="B446">
        <v>194.94</v>
      </c>
      <c r="C446">
        <v>3</v>
      </c>
      <c r="D446">
        <v>0</v>
      </c>
      <c r="E446">
        <v>23.392800000000001</v>
      </c>
    </row>
    <row r="447" spans="1:5" x14ac:dyDescent="0.3">
      <c r="A447" t="s">
        <v>2975</v>
      </c>
      <c r="B447">
        <v>70.95</v>
      </c>
      <c r="C447">
        <v>3</v>
      </c>
      <c r="D447">
        <v>0</v>
      </c>
      <c r="E447">
        <v>20.575500000000002</v>
      </c>
    </row>
    <row r="448" spans="1:5" x14ac:dyDescent="0.3">
      <c r="A448" t="s">
        <v>1216</v>
      </c>
      <c r="B448">
        <v>91.36</v>
      </c>
      <c r="C448">
        <v>4</v>
      </c>
      <c r="D448">
        <v>0</v>
      </c>
      <c r="E448">
        <v>42.025599999999997</v>
      </c>
    </row>
    <row r="449" spans="1:5" x14ac:dyDescent="0.3">
      <c r="A449" t="s">
        <v>1218</v>
      </c>
      <c r="B449">
        <v>242.94</v>
      </c>
      <c r="C449">
        <v>3</v>
      </c>
      <c r="D449">
        <v>0</v>
      </c>
      <c r="E449">
        <v>29.152799999999999</v>
      </c>
    </row>
    <row r="450" spans="1:5" x14ac:dyDescent="0.3">
      <c r="A450" t="s">
        <v>1220</v>
      </c>
      <c r="B450">
        <v>22.05</v>
      </c>
      <c r="C450">
        <v>7</v>
      </c>
      <c r="D450">
        <v>0</v>
      </c>
      <c r="E450">
        <v>10.584</v>
      </c>
    </row>
    <row r="451" spans="1:5" x14ac:dyDescent="0.3">
      <c r="A451" t="s">
        <v>1224</v>
      </c>
      <c r="B451">
        <v>2.91</v>
      </c>
      <c r="C451">
        <v>1</v>
      </c>
      <c r="D451">
        <v>0</v>
      </c>
      <c r="E451">
        <v>1.3676999999999999</v>
      </c>
    </row>
    <row r="452" spans="1:5" x14ac:dyDescent="0.3">
      <c r="A452" t="s">
        <v>1228</v>
      </c>
      <c r="B452">
        <v>59.52</v>
      </c>
      <c r="C452">
        <v>3</v>
      </c>
      <c r="D452">
        <v>0</v>
      </c>
      <c r="E452">
        <v>15.475199999999999</v>
      </c>
    </row>
    <row r="453" spans="1:5" x14ac:dyDescent="0.3">
      <c r="A453" t="s">
        <v>1230</v>
      </c>
      <c r="B453">
        <v>161.94</v>
      </c>
      <c r="C453">
        <v>3</v>
      </c>
      <c r="D453">
        <v>0</v>
      </c>
      <c r="E453">
        <v>9.7164000000000001</v>
      </c>
    </row>
    <row r="454" spans="1:5" x14ac:dyDescent="0.3">
      <c r="A454" t="s">
        <v>1232</v>
      </c>
      <c r="B454">
        <v>263.88</v>
      </c>
      <c r="C454">
        <v>6</v>
      </c>
      <c r="D454">
        <v>0</v>
      </c>
      <c r="E454">
        <v>71.247600000000006</v>
      </c>
    </row>
    <row r="455" spans="1:5" x14ac:dyDescent="0.3">
      <c r="A455" t="s">
        <v>1234</v>
      </c>
      <c r="B455">
        <v>30.48</v>
      </c>
      <c r="C455">
        <v>3</v>
      </c>
      <c r="D455">
        <v>0</v>
      </c>
      <c r="E455">
        <v>7.9248000000000003</v>
      </c>
    </row>
    <row r="456" spans="1:5" x14ac:dyDescent="0.3">
      <c r="A456" t="s">
        <v>1236</v>
      </c>
      <c r="B456">
        <v>9.84</v>
      </c>
      <c r="C456">
        <v>3</v>
      </c>
      <c r="D456">
        <v>0</v>
      </c>
      <c r="E456">
        <v>2.8536000000000001</v>
      </c>
    </row>
    <row r="457" spans="1:5" x14ac:dyDescent="0.3">
      <c r="A457" t="s">
        <v>1238</v>
      </c>
      <c r="B457">
        <v>35.119999999999997</v>
      </c>
      <c r="C457">
        <v>4</v>
      </c>
      <c r="D457">
        <v>0</v>
      </c>
      <c r="E457">
        <v>9.1311999999999998</v>
      </c>
    </row>
    <row r="458" spans="1:5" x14ac:dyDescent="0.3">
      <c r="A458" t="s">
        <v>64</v>
      </c>
      <c r="B458">
        <v>284.36399999999998</v>
      </c>
      <c r="C458">
        <v>2</v>
      </c>
      <c r="D458">
        <v>0.4</v>
      </c>
      <c r="E458">
        <v>-75.830399999999997</v>
      </c>
    </row>
    <row r="459" spans="1:5" x14ac:dyDescent="0.3">
      <c r="A459" t="s">
        <v>1242</v>
      </c>
      <c r="B459">
        <v>665.40800000000002</v>
      </c>
      <c r="C459">
        <v>2</v>
      </c>
      <c r="D459">
        <v>0.2</v>
      </c>
      <c r="E459">
        <v>66.540800000000004</v>
      </c>
    </row>
    <row r="460" spans="1:5" x14ac:dyDescent="0.3">
      <c r="A460" t="s">
        <v>1245</v>
      </c>
      <c r="B460">
        <v>63.88</v>
      </c>
      <c r="C460">
        <v>4</v>
      </c>
      <c r="D460">
        <v>0</v>
      </c>
      <c r="E460">
        <v>24.9132</v>
      </c>
    </row>
    <row r="461" spans="1:5" x14ac:dyDescent="0.3">
      <c r="A461" t="s">
        <v>1249</v>
      </c>
      <c r="B461">
        <v>129.56800000000001</v>
      </c>
      <c r="C461">
        <v>2</v>
      </c>
      <c r="D461">
        <v>0.2</v>
      </c>
      <c r="E461">
        <v>-24.294</v>
      </c>
    </row>
    <row r="462" spans="1:5" x14ac:dyDescent="0.3">
      <c r="A462" t="s">
        <v>1252</v>
      </c>
      <c r="B462">
        <v>747.55799999999999</v>
      </c>
      <c r="C462">
        <v>3</v>
      </c>
      <c r="D462">
        <v>0.3</v>
      </c>
      <c r="E462">
        <v>-96.114599999999996</v>
      </c>
    </row>
    <row r="463" spans="1:5" x14ac:dyDescent="0.3">
      <c r="A463" t="s">
        <v>505</v>
      </c>
      <c r="B463">
        <v>8.9280000000000008</v>
      </c>
      <c r="C463">
        <v>2</v>
      </c>
      <c r="D463">
        <v>0.2</v>
      </c>
      <c r="E463">
        <v>3.3479999999999999</v>
      </c>
    </row>
    <row r="464" spans="1:5" x14ac:dyDescent="0.3">
      <c r="A464" t="s">
        <v>1256</v>
      </c>
      <c r="B464">
        <v>103.92</v>
      </c>
      <c r="C464">
        <v>4</v>
      </c>
      <c r="D464">
        <v>0</v>
      </c>
      <c r="E464">
        <v>36.372</v>
      </c>
    </row>
    <row r="465" spans="1:5" x14ac:dyDescent="0.3">
      <c r="A465" t="s">
        <v>1258</v>
      </c>
      <c r="B465">
        <v>899.91</v>
      </c>
      <c r="C465">
        <v>9</v>
      </c>
      <c r="D465">
        <v>0</v>
      </c>
      <c r="E465">
        <v>377.9622</v>
      </c>
    </row>
    <row r="466" spans="1:5" x14ac:dyDescent="0.3">
      <c r="A466" t="s">
        <v>1260</v>
      </c>
      <c r="B466">
        <v>51.311999999999998</v>
      </c>
      <c r="C466">
        <v>3</v>
      </c>
      <c r="D466">
        <v>0.2</v>
      </c>
      <c r="E466">
        <v>18.6006</v>
      </c>
    </row>
    <row r="467" spans="1:5" x14ac:dyDescent="0.3">
      <c r="A467" t="s">
        <v>1006</v>
      </c>
      <c r="B467">
        <v>23.56</v>
      </c>
      <c r="C467">
        <v>5</v>
      </c>
      <c r="D467">
        <v>0.2</v>
      </c>
      <c r="E467">
        <v>7.0679999999999996</v>
      </c>
    </row>
    <row r="468" spans="1:5" x14ac:dyDescent="0.3">
      <c r="A468" t="s">
        <v>1264</v>
      </c>
      <c r="B468">
        <v>1272.6300000000001</v>
      </c>
      <c r="C468">
        <v>6</v>
      </c>
      <c r="D468">
        <v>0.5</v>
      </c>
      <c r="E468">
        <v>-814.48320000000001</v>
      </c>
    </row>
    <row r="469" spans="1:5" x14ac:dyDescent="0.3">
      <c r="A469" t="s">
        <v>1266</v>
      </c>
      <c r="B469">
        <v>28.484999999999999</v>
      </c>
      <c r="C469">
        <v>5</v>
      </c>
      <c r="D469">
        <v>0.7</v>
      </c>
      <c r="E469">
        <v>-20.888999999999999</v>
      </c>
    </row>
    <row r="470" spans="1:5" x14ac:dyDescent="0.3">
      <c r="A470" t="s">
        <v>1268</v>
      </c>
      <c r="B470">
        <v>185.376</v>
      </c>
      <c r="C470">
        <v>2</v>
      </c>
      <c r="D470">
        <v>0.2</v>
      </c>
      <c r="E470">
        <v>-34.758000000000003</v>
      </c>
    </row>
    <row r="471" spans="1:5" x14ac:dyDescent="0.3">
      <c r="A471" t="s">
        <v>1270</v>
      </c>
      <c r="B471">
        <v>78.272000000000006</v>
      </c>
      <c r="C471">
        <v>2</v>
      </c>
      <c r="D471">
        <v>0.2</v>
      </c>
      <c r="E471">
        <v>5.8704000000000001</v>
      </c>
    </row>
    <row r="472" spans="1:5" x14ac:dyDescent="0.3">
      <c r="A472" t="s">
        <v>844</v>
      </c>
      <c r="B472">
        <v>254.744</v>
      </c>
      <c r="C472">
        <v>7</v>
      </c>
      <c r="D472">
        <v>0.6</v>
      </c>
      <c r="E472">
        <v>-312.06139999999999</v>
      </c>
    </row>
    <row r="473" spans="1:5" x14ac:dyDescent="0.3">
      <c r="A473" t="s">
        <v>1275</v>
      </c>
      <c r="B473">
        <v>205.33279999999999</v>
      </c>
      <c r="C473">
        <v>2</v>
      </c>
      <c r="D473">
        <v>0.32</v>
      </c>
      <c r="E473">
        <v>-36.235199999999999</v>
      </c>
    </row>
    <row r="474" spans="1:5" x14ac:dyDescent="0.3">
      <c r="A474" t="s">
        <v>1278</v>
      </c>
      <c r="B474">
        <v>4.7880000000000003</v>
      </c>
      <c r="C474">
        <v>3</v>
      </c>
      <c r="D474">
        <v>0.8</v>
      </c>
      <c r="E474">
        <v>-7.9001999999999999</v>
      </c>
    </row>
    <row r="475" spans="1:5" x14ac:dyDescent="0.3">
      <c r="A475" t="s">
        <v>1282</v>
      </c>
      <c r="B475">
        <v>55.48</v>
      </c>
      <c r="C475">
        <v>1</v>
      </c>
      <c r="D475">
        <v>0</v>
      </c>
      <c r="E475">
        <v>26.630400000000002</v>
      </c>
    </row>
    <row r="476" spans="1:5" x14ac:dyDescent="0.3">
      <c r="A476" t="s">
        <v>1286</v>
      </c>
      <c r="B476">
        <v>340.92</v>
      </c>
      <c r="C476">
        <v>3</v>
      </c>
      <c r="D476">
        <v>0</v>
      </c>
      <c r="E476">
        <v>3.4091999999999998</v>
      </c>
    </row>
    <row r="477" spans="1:5" x14ac:dyDescent="0.3">
      <c r="A477" t="s">
        <v>1288</v>
      </c>
      <c r="B477">
        <v>222.666</v>
      </c>
      <c r="C477">
        <v>2</v>
      </c>
      <c r="D477">
        <v>0.15</v>
      </c>
      <c r="E477">
        <v>10.478400000000001</v>
      </c>
    </row>
    <row r="478" spans="1:5" x14ac:dyDescent="0.3">
      <c r="A478" t="s">
        <v>1290</v>
      </c>
      <c r="B478">
        <v>703.96799999999996</v>
      </c>
      <c r="C478">
        <v>4</v>
      </c>
      <c r="D478">
        <v>0.2</v>
      </c>
      <c r="E478">
        <v>87.995999999999995</v>
      </c>
    </row>
    <row r="479" spans="1:5" x14ac:dyDescent="0.3">
      <c r="A479" t="s">
        <v>1292</v>
      </c>
      <c r="B479">
        <v>92.52</v>
      </c>
      <c r="C479">
        <v>6</v>
      </c>
      <c r="D479">
        <v>0</v>
      </c>
      <c r="E479">
        <v>24.980399999999999</v>
      </c>
    </row>
    <row r="480" spans="1:5" x14ac:dyDescent="0.3">
      <c r="A480" t="s">
        <v>1294</v>
      </c>
      <c r="B480">
        <v>62.65</v>
      </c>
      <c r="C480">
        <v>7</v>
      </c>
      <c r="D480">
        <v>0</v>
      </c>
      <c r="E480">
        <v>28.818999999999999</v>
      </c>
    </row>
    <row r="481" spans="1:5" x14ac:dyDescent="0.3">
      <c r="A481" t="s">
        <v>1296</v>
      </c>
      <c r="B481">
        <v>94.85</v>
      </c>
      <c r="C481">
        <v>5</v>
      </c>
      <c r="D481">
        <v>0</v>
      </c>
      <c r="E481">
        <v>45.527999999999999</v>
      </c>
    </row>
    <row r="482" spans="1:5" x14ac:dyDescent="0.3">
      <c r="A482" t="s">
        <v>1299</v>
      </c>
      <c r="B482">
        <v>95.76</v>
      </c>
      <c r="C482">
        <v>6</v>
      </c>
      <c r="D482">
        <v>0.2</v>
      </c>
      <c r="E482">
        <v>7.1820000000000004</v>
      </c>
    </row>
    <row r="483" spans="1:5" x14ac:dyDescent="0.3">
      <c r="A483" t="s">
        <v>866</v>
      </c>
      <c r="B483">
        <v>40.200000000000003</v>
      </c>
      <c r="C483">
        <v>3</v>
      </c>
      <c r="D483">
        <v>0</v>
      </c>
      <c r="E483">
        <v>19.295999999999999</v>
      </c>
    </row>
    <row r="484" spans="1:5" x14ac:dyDescent="0.3">
      <c r="A484" t="s">
        <v>1305</v>
      </c>
      <c r="B484">
        <v>14.7</v>
      </c>
      <c r="C484">
        <v>5</v>
      </c>
      <c r="D484">
        <v>0</v>
      </c>
      <c r="E484">
        <v>6.6150000000000002</v>
      </c>
    </row>
    <row r="485" spans="1:5" x14ac:dyDescent="0.3">
      <c r="A485" t="s">
        <v>1307</v>
      </c>
      <c r="B485">
        <v>704.25</v>
      </c>
      <c r="C485">
        <v>5</v>
      </c>
      <c r="D485">
        <v>0</v>
      </c>
      <c r="E485">
        <v>84.51</v>
      </c>
    </row>
    <row r="486" spans="1:5" x14ac:dyDescent="0.3">
      <c r="A486" t="s">
        <v>1311</v>
      </c>
      <c r="B486">
        <v>9.09</v>
      </c>
      <c r="C486">
        <v>3</v>
      </c>
      <c r="D486">
        <v>0</v>
      </c>
      <c r="E486">
        <v>1.9089</v>
      </c>
    </row>
    <row r="487" spans="1:5" x14ac:dyDescent="0.3">
      <c r="A487" t="s">
        <v>275</v>
      </c>
      <c r="B487">
        <v>5.96</v>
      </c>
      <c r="C487">
        <v>2</v>
      </c>
      <c r="D487">
        <v>0</v>
      </c>
      <c r="E487">
        <v>1.6688000000000001</v>
      </c>
    </row>
    <row r="488" spans="1:5" x14ac:dyDescent="0.3">
      <c r="A488" t="s">
        <v>1315</v>
      </c>
      <c r="B488">
        <v>159.97999999999999</v>
      </c>
      <c r="C488">
        <v>2</v>
      </c>
      <c r="D488">
        <v>0</v>
      </c>
      <c r="E488">
        <v>57.592799999999997</v>
      </c>
    </row>
    <row r="489" spans="1:5" x14ac:dyDescent="0.3">
      <c r="A489" t="s">
        <v>1319</v>
      </c>
      <c r="B489">
        <v>29.6</v>
      </c>
      <c r="C489">
        <v>2</v>
      </c>
      <c r="D489">
        <v>0</v>
      </c>
      <c r="E489">
        <v>14.8</v>
      </c>
    </row>
    <row r="490" spans="1:5" x14ac:dyDescent="0.3">
      <c r="A490" t="s">
        <v>1321</v>
      </c>
      <c r="B490">
        <v>514.16499999999996</v>
      </c>
      <c r="C490">
        <v>5</v>
      </c>
      <c r="D490">
        <v>0.15</v>
      </c>
      <c r="E490">
        <v>-30.245000000000001</v>
      </c>
    </row>
    <row r="491" spans="1:5" x14ac:dyDescent="0.3">
      <c r="A491" t="s">
        <v>1323</v>
      </c>
      <c r="B491">
        <v>279.95999999999998</v>
      </c>
      <c r="C491">
        <v>5</v>
      </c>
      <c r="D491">
        <v>0.2</v>
      </c>
      <c r="E491">
        <v>17.497499999999999</v>
      </c>
    </row>
    <row r="492" spans="1:5" x14ac:dyDescent="0.3">
      <c r="A492" t="s">
        <v>1327</v>
      </c>
      <c r="B492">
        <v>2735.9520000000002</v>
      </c>
      <c r="C492">
        <v>6</v>
      </c>
      <c r="D492">
        <v>0.2</v>
      </c>
      <c r="E492">
        <v>341.99400000000003</v>
      </c>
    </row>
    <row r="493" spans="1:5" x14ac:dyDescent="0.3">
      <c r="A493" t="s">
        <v>1331</v>
      </c>
      <c r="B493">
        <v>7.992</v>
      </c>
      <c r="C493">
        <v>1</v>
      </c>
      <c r="D493">
        <v>0.2</v>
      </c>
      <c r="E493">
        <v>0.59940000000000004</v>
      </c>
    </row>
    <row r="494" spans="1:5" x14ac:dyDescent="0.3">
      <c r="A494" t="s">
        <v>1333</v>
      </c>
      <c r="B494">
        <v>63.984000000000002</v>
      </c>
      <c r="C494">
        <v>2</v>
      </c>
      <c r="D494">
        <v>0.2</v>
      </c>
      <c r="E494">
        <v>10.397399999999999</v>
      </c>
    </row>
    <row r="495" spans="1:5" x14ac:dyDescent="0.3">
      <c r="A495" t="s">
        <v>1232</v>
      </c>
      <c r="B495">
        <v>70.367999999999995</v>
      </c>
      <c r="C495">
        <v>2</v>
      </c>
      <c r="D495">
        <v>0.2</v>
      </c>
      <c r="E495">
        <v>6.1571999999999996</v>
      </c>
    </row>
    <row r="496" spans="1:5" x14ac:dyDescent="0.3">
      <c r="A496" t="s">
        <v>1337</v>
      </c>
      <c r="B496">
        <v>449.15</v>
      </c>
      <c r="C496">
        <v>5</v>
      </c>
      <c r="D496">
        <v>0</v>
      </c>
      <c r="E496">
        <v>8.9830000000000005</v>
      </c>
    </row>
    <row r="497" spans="1:5" x14ac:dyDescent="0.3">
      <c r="A497" t="s">
        <v>1339</v>
      </c>
      <c r="B497">
        <v>11.07</v>
      </c>
      <c r="C497">
        <v>3</v>
      </c>
      <c r="D497">
        <v>0</v>
      </c>
      <c r="E497">
        <v>5.0922000000000001</v>
      </c>
    </row>
    <row r="498" spans="1:5" x14ac:dyDescent="0.3">
      <c r="A498" t="s">
        <v>1343</v>
      </c>
      <c r="B498">
        <v>93.98</v>
      </c>
      <c r="C498">
        <v>2</v>
      </c>
      <c r="D498">
        <v>0</v>
      </c>
      <c r="E498">
        <v>13.1572</v>
      </c>
    </row>
    <row r="499" spans="1:5" x14ac:dyDescent="0.3">
      <c r="A499" t="s">
        <v>1347</v>
      </c>
      <c r="B499">
        <v>189.88200000000001</v>
      </c>
      <c r="C499">
        <v>3</v>
      </c>
      <c r="D499">
        <v>0.4</v>
      </c>
      <c r="E499">
        <v>-94.941000000000003</v>
      </c>
    </row>
    <row r="500" spans="1:5" x14ac:dyDescent="0.3">
      <c r="A500" t="s">
        <v>1351</v>
      </c>
      <c r="B500">
        <v>105.42</v>
      </c>
      <c r="C500">
        <v>2</v>
      </c>
      <c r="D500">
        <v>0</v>
      </c>
      <c r="E500">
        <v>51.655799999999999</v>
      </c>
    </row>
    <row r="501" spans="1:5" x14ac:dyDescent="0.3">
      <c r="A501" t="s">
        <v>1354</v>
      </c>
      <c r="B501">
        <v>119.616</v>
      </c>
      <c r="C501">
        <v>8</v>
      </c>
      <c r="D501">
        <v>0.2</v>
      </c>
      <c r="E501">
        <v>40.370399999999997</v>
      </c>
    </row>
    <row r="502" spans="1:5" x14ac:dyDescent="0.3">
      <c r="A502" t="s">
        <v>1356</v>
      </c>
      <c r="B502">
        <v>255.76</v>
      </c>
      <c r="C502">
        <v>4</v>
      </c>
      <c r="D502">
        <v>0</v>
      </c>
      <c r="E502">
        <v>81.843199999999996</v>
      </c>
    </row>
    <row r="503" spans="1:5" x14ac:dyDescent="0.3">
      <c r="A503" t="s">
        <v>907</v>
      </c>
      <c r="B503">
        <v>241.56800000000001</v>
      </c>
      <c r="C503">
        <v>2</v>
      </c>
      <c r="D503">
        <v>0.2</v>
      </c>
      <c r="E503">
        <v>18.117599999999999</v>
      </c>
    </row>
    <row r="504" spans="1:5" x14ac:dyDescent="0.3">
      <c r="A504" t="s">
        <v>1358</v>
      </c>
      <c r="B504">
        <v>69.3</v>
      </c>
      <c r="C504">
        <v>9</v>
      </c>
      <c r="D504">
        <v>0</v>
      </c>
      <c r="E504">
        <v>22.869</v>
      </c>
    </row>
    <row r="505" spans="1:5" x14ac:dyDescent="0.3">
      <c r="A505" t="s">
        <v>1358</v>
      </c>
      <c r="B505">
        <v>69.3</v>
      </c>
      <c r="C505">
        <v>9</v>
      </c>
      <c r="D505">
        <v>0</v>
      </c>
      <c r="E505">
        <v>22.869</v>
      </c>
    </row>
    <row r="506" spans="1:5" x14ac:dyDescent="0.3">
      <c r="A506" t="s">
        <v>1362</v>
      </c>
      <c r="B506">
        <v>22.62</v>
      </c>
      <c r="C506">
        <v>2</v>
      </c>
      <c r="D506">
        <v>0.7</v>
      </c>
      <c r="E506">
        <v>-15.08</v>
      </c>
    </row>
    <row r="507" spans="1:5" x14ac:dyDescent="0.3">
      <c r="A507" t="s">
        <v>1364</v>
      </c>
      <c r="B507">
        <v>14.952</v>
      </c>
      <c r="C507">
        <v>2</v>
      </c>
      <c r="D507">
        <v>0.7</v>
      </c>
      <c r="E507">
        <v>-11.961600000000001</v>
      </c>
    </row>
    <row r="508" spans="1:5" x14ac:dyDescent="0.3">
      <c r="A508" t="s">
        <v>1366</v>
      </c>
      <c r="B508">
        <v>801.56799999999998</v>
      </c>
      <c r="C508">
        <v>2</v>
      </c>
      <c r="D508">
        <v>0.2</v>
      </c>
      <c r="E508">
        <v>50.097999999999999</v>
      </c>
    </row>
    <row r="509" spans="1:5" x14ac:dyDescent="0.3">
      <c r="A509" t="s">
        <v>1368</v>
      </c>
      <c r="B509">
        <v>2.3759999999999999</v>
      </c>
      <c r="C509">
        <v>3</v>
      </c>
      <c r="D509">
        <v>0.7</v>
      </c>
      <c r="E509">
        <v>-1.9008</v>
      </c>
    </row>
    <row r="510" spans="1:5" x14ac:dyDescent="0.3">
      <c r="A510" t="s">
        <v>1370</v>
      </c>
      <c r="B510">
        <v>32.792000000000002</v>
      </c>
      <c r="C510">
        <v>1</v>
      </c>
      <c r="D510">
        <v>0.2</v>
      </c>
      <c r="E510">
        <v>11.8871</v>
      </c>
    </row>
    <row r="511" spans="1:5" x14ac:dyDescent="0.3">
      <c r="A511" t="s">
        <v>409</v>
      </c>
      <c r="B511">
        <v>15.92</v>
      </c>
      <c r="C511">
        <v>5</v>
      </c>
      <c r="D511">
        <v>0.2</v>
      </c>
      <c r="E511">
        <v>5.3730000000000002</v>
      </c>
    </row>
    <row r="512" spans="1:5" x14ac:dyDescent="0.3">
      <c r="A512" t="s">
        <v>1375</v>
      </c>
      <c r="B512">
        <v>2.74</v>
      </c>
      <c r="C512">
        <v>1</v>
      </c>
      <c r="D512">
        <v>0</v>
      </c>
      <c r="E512">
        <v>0.73980000000000001</v>
      </c>
    </row>
    <row r="513" spans="1:5" x14ac:dyDescent="0.3">
      <c r="A513" t="s">
        <v>1377</v>
      </c>
      <c r="B513">
        <v>8.34</v>
      </c>
      <c r="C513">
        <v>3</v>
      </c>
      <c r="D513">
        <v>0</v>
      </c>
      <c r="E513">
        <v>2.1684000000000001</v>
      </c>
    </row>
    <row r="514" spans="1:5" x14ac:dyDescent="0.3">
      <c r="A514" t="s">
        <v>1378</v>
      </c>
      <c r="B514">
        <v>46.74</v>
      </c>
      <c r="C514">
        <v>3</v>
      </c>
      <c r="D514">
        <v>0</v>
      </c>
      <c r="E514">
        <v>11.685</v>
      </c>
    </row>
    <row r="515" spans="1:5" x14ac:dyDescent="0.3">
      <c r="A515" t="s">
        <v>1380</v>
      </c>
      <c r="B515">
        <v>6354.95</v>
      </c>
      <c r="C515">
        <v>5</v>
      </c>
      <c r="D515">
        <v>0</v>
      </c>
      <c r="E515">
        <v>3177.4749999999999</v>
      </c>
    </row>
    <row r="516" spans="1:5" x14ac:dyDescent="0.3">
      <c r="A516" t="s">
        <v>1384</v>
      </c>
      <c r="B516">
        <v>126.3</v>
      </c>
      <c r="C516">
        <v>3</v>
      </c>
      <c r="D516">
        <v>0</v>
      </c>
      <c r="E516">
        <v>40.415999999999997</v>
      </c>
    </row>
    <row r="517" spans="1:5" x14ac:dyDescent="0.3">
      <c r="A517" t="s">
        <v>1386</v>
      </c>
      <c r="B517">
        <v>38.04</v>
      </c>
      <c r="C517">
        <v>2</v>
      </c>
      <c r="D517">
        <v>0</v>
      </c>
      <c r="E517">
        <v>12.172800000000001</v>
      </c>
    </row>
    <row r="518" spans="1:5" x14ac:dyDescent="0.3">
      <c r="A518" t="s">
        <v>275</v>
      </c>
      <c r="B518">
        <v>7.1520000000000001</v>
      </c>
      <c r="C518">
        <v>3</v>
      </c>
      <c r="D518">
        <v>0.2</v>
      </c>
      <c r="E518">
        <v>0.71519999999999995</v>
      </c>
    </row>
    <row r="519" spans="1:5" x14ac:dyDescent="0.3">
      <c r="A519" t="s">
        <v>1391</v>
      </c>
      <c r="B519">
        <v>6.63</v>
      </c>
      <c r="C519">
        <v>3</v>
      </c>
      <c r="D519">
        <v>0</v>
      </c>
      <c r="E519">
        <v>1.7901</v>
      </c>
    </row>
    <row r="520" spans="1:5" x14ac:dyDescent="0.3">
      <c r="A520" t="s">
        <v>1393</v>
      </c>
      <c r="B520">
        <v>5.88</v>
      </c>
      <c r="C520">
        <v>2</v>
      </c>
      <c r="D520">
        <v>0</v>
      </c>
      <c r="E520">
        <v>1.7052</v>
      </c>
    </row>
    <row r="521" spans="1:5" x14ac:dyDescent="0.3">
      <c r="A521" t="s">
        <v>1396</v>
      </c>
      <c r="B521">
        <v>2999.95</v>
      </c>
      <c r="C521">
        <v>5</v>
      </c>
      <c r="D521">
        <v>0</v>
      </c>
      <c r="E521">
        <v>1379.9770000000001</v>
      </c>
    </row>
    <row r="522" spans="1:5" x14ac:dyDescent="0.3">
      <c r="A522" t="s">
        <v>1398</v>
      </c>
      <c r="B522">
        <v>51.45</v>
      </c>
      <c r="C522">
        <v>3</v>
      </c>
      <c r="D522">
        <v>0</v>
      </c>
      <c r="E522">
        <v>13.891500000000001</v>
      </c>
    </row>
    <row r="523" spans="1:5" x14ac:dyDescent="0.3">
      <c r="A523" t="s">
        <v>1400</v>
      </c>
      <c r="B523">
        <v>11.96</v>
      </c>
      <c r="C523">
        <v>2</v>
      </c>
      <c r="D523">
        <v>0</v>
      </c>
      <c r="E523">
        <v>5.3819999999999997</v>
      </c>
    </row>
    <row r="524" spans="1:5" x14ac:dyDescent="0.3">
      <c r="A524" t="s">
        <v>1402</v>
      </c>
      <c r="B524">
        <v>1126.02</v>
      </c>
      <c r="C524">
        <v>3</v>
      </c>
      <c r="D524">
        <v>0</v>
      </c>
      <c r="E524">
        <v>56.301000000000002</v>
      </c>
    </row>
    <row r="525" spans="1:5" x14ac:dyDescent="0.3">
      <c r="A525" t="s">
        <v>173</v>
      </c>
      <c r="B525">
        <v>18.391999999999999</v>
      </c>
      <c r="C525">
        <v>1</v>
      </c>
      <c r="D525">
        <v>0.2</v>
      </c>
      <c r="E525">
        <v>5.2877000000000001</v>
      </c>
    </row>
    <row r="526" spans="1:5" x14ac:dyDescent="0.3">
      <c r="A526" t="s">
        <v>1406</v>
      </c>
      <c r="B526">
        <v>129.56800000000001</v>
      </c>
      <c r="C526">
        <v>2</v>
      </c>
      <c r="D526">
        <v>0.2</v>
      </c>
      <c r="E526">
        <v>-25.913599999999999</v>
      </c>
    </row>
    <row r="527" spans="1:5" x14ac:dyDescent="0.3">
      <c r="A527" t="s">
        <v>1408</v>
      </c>
      <c r="B527">
        <v>14.112</v>
      </c>
      <c r="C527">
        <v>9</v>
      </c>
      <c r="D527">
        <v>0.8</v>
      </c>
      <c r="E527">
        <v>-21.167999999999999</v>
      </c>
    </row>
    <row r="528" spans="1:5" x14ac:dyDescent="0.3">
      <c r="A528" t="s">
        <v>1347</v>
      </c>
      <c r="B528">
        <v>210.98</v>
      </c>
      <c r="C528">
        <v>2</v>
      </c>
      <c r="D528">
        <v>0</v>
      </c>
      <c r="E528">
        <v>21.097999999999999</v>
      </c>
    </row>
    <row r="529" spans="1:5" x14ac:dyDescent="0.3">
      <c r="A529" t="s">
        <v>1413</v>
      </c>
      <c r="B529">
        <v>55.176000000000002</v>
      </c>
      <c r="C529">
        <v>3</v>
      </c>
      <c r="D529">
        <v>0.2</v>
      </c>
      <c r="E529">
        <v>-12.4146</v>
      </c>
    </row>
    <row r="530" spans="1:5" x14ac:dyDescent="0.3">
      <c r="A530" t="s">
        <v>1414</v>
      </c>
      <c r="B530">
        <v>66.260000000000005</v>
      </c>
      <c r="C530">
        <v>2</v>
      </c>
      <c r="D530">
        <v>0</v>
      </c>
      <c r="E530">
        <v>27.166599999999999</v>
      </c>
    </row>
    <row r="531" spans="1:5" x14ac:dyDescent="0.3">
      <c r="A531" t="s">
        <v>424</v>
      </c>
      <c r="B531">
        <v>22.2</v>
      </c>
      <c r="C531">
        <v>5</v>
      </c>
      <c r="D531">
        <v>0</v>
      </c>
      <c r="E531">
        <v>10.433999999999999</v>
      </c>
    </row>
    <row r="532" spans="1:5" x14ac:dyDescent="0.3">
      <c r="A532" t="s">
        <v>1421</v>
      </c>
      <c r="B532">
        <v>683.952</v>
      </c>
      <c r="C532">
        <v>3</v>
      </c>
      <c r="D532">
        <v>0.2</v>
      </c>
      <c r="E532">
        <v>42.747</v>
      </c>
    </row>
    <row r="533" spans="1:5" x14ac:dyDescent="0.3">
      <c r="A533" t="s">
        <v>887</v>
      </c>
      <c r="B533">
        <v>45.695999999999998</v>
      </c>
      <c r="C533">
        <v>3</v>
      </c>
      <c r="D533">
        <v>0.2</v>
      </c>
      <c r="E533">
        <v>5.1407999999999996</v>
      </c>
    </row>
    <row r="534" spans="1:5" x14ac:dyDescent="0.3">
      <c r="A534" t="s">
        <v>1425</v>
      </c>
      <c r="B534">
        <v>36.335999999999999</v>
      </c>
      <c r="C534">
        <v>3</v>
      </c>
      <c r="D534">
        <v>0.2</v>
      </c>
      <c r="E534">
        <v>-7.2671999999999999</v>
      </c>
    </row>
    <row r="535" spans="1:5" x14ac:dyDescent="0.3">
      <c r="A535" t="s">
        <v>1427</v>
      </c>
      <c r="B535">
        <v>666.24800000000005</v>
      </c>
      <c r="C535">
        <v>1</v>
      </c>
      <c r="D535">
        <v>0.2</v>
      </c>
      <c r="E535">
        <v>-149.9058</v>
      </c>
    </row>
    <row r="536" spans="1:5" x14ac:dyDescent="0.3">
      <c r="A536" t="s">
        <v>1429</v>
      </c>
      <c r="B536">
        <v>52.512</v>
      </c>
      <c r="C536">
        <v>6</v>
      </c>
      <c r="D536">
        <v>0.2</v>
      </c>
      <c r="E536">
        <v>19.692</v>
      </c>
    </row>
    <row r="537" spans="1:5" x14ac:dyDescent="0.3">
      <c r="A537" t="s">
        <v>1433</v>
      </c>
      <c r="B537">
        <v>190.72</v>
      </c>
      <c r="C537">
        <v>1</v>
      </c>
      <c r="D537">
        <v>0.2</v>
      </c>
      <c r="E537">
        <v>11.92</v>
      </c>
    </row>
    <row r="538" spans="1:5" x14ac:dyDescent="0.3">
      <c r="A538" t="s">
        <v>1437</v>
      </c>
      <c r="B538">
        <v>47.94</v>
      </c>
      <c r="C538">
        <v>3</v>
      </c>
      <c r="D538">
        <v>0</v>
      </c>
      <c r="E538">
        <v>2.3969999999999998</v>
      </c>
    </row>
    <row r="539" spans="1:5" x14ac:dyDescent="0.3">
      <c r="A539" t="s">
        <v>1441</v>
      </c>
      <c r="B539">
        <v>979.95</v>
      </c>
      <c r="C539">
        <v>5</v>
      </c>
      <c r="D539">
        <v>0</v>
      </c>
      <c r="E539">
        <v>274.38600000000002</v>
      </c>
    </row>
    <row r="540" spans="1:5" x14ac:dyDescent="0.3">
      <c r="A540" t="s">
        <v>789</v>
      </c>
      <c r="B540">
        <v>22.75</v>
      </c>
      <c r="C540">
        <v>5</v>
      </c>
      <c r="D540">
        <v>0</v>
      </c>
      <c r="E540">
        <v>11.375</v>
      </c>
    </row>
    <row r="541" spans="1:5" x14ac:dyDescent="0.3">
      <c r="A541" t="s">
        <v>1445</v>
      </c>
      <c r="B541">
        <v>16.768000000000001</v>
      </c>
      <c r="C541">
        <v>2</v>
      </c>
      <c r="D541">
        <v>0.2</v>
      </c>
      <c r="E541">
        <v>1.4672000000000001</v>
      </c>
    </row>
    <row r="542" spans="1:5" x14ac:dyDescent="0.3">
      <c r="A542" t="s">
        <v>1449</v>
      </c>
      <c r="B542">
        <v>42.616</v>
      </c>
      <c r="C542">
        <v>7</v>
      </c>
      <c r="D542">
        <v>0.8</v>
      </c>
      <c r="E542">
        <v>-68.185599999999994</v>
      </c>
    </row>
    <row r="543" spans="1:5" x14ac:dyDescent="0.3">
      <c r="A543" t="s">
        <v>1452</v>
      </c>
      <c r="B543">
        <v>10.752000000000001</v>
      </c>
      <c r="C543">
        <v>4</v>
      </c>
      <c r="D543">
        <v>0.2</v>
      </c>
      <c r="E543">
        <v>3.36</v>
      </c>
    </row>
    <row r="544" spans="1:5" x14ac:dyDescent="0.3">
      <c r="A544" t="s">
        <v>1456</v>
      </c>
      <c r="B544">
        <v>152.94</v>
      </c>
      <c r="C544">
        <v>3</v>
      </c>
      <c r="D544">
        <v>0</v>
      </c>
      <c r="E544">
        <v>41.293799999999997</v>
      </c>
    </row>
    <row r="545" spans="1:5" x14ac:dyDescent="0.3">
      <c r="A545" t="s">
        <v>1458</v>
      </c>
      <c r="B545">
        <v>283.92</v>
      </c>
      <c r="C545">
        <v>4</v>
      </c>
      <c r="D545">
        <v>0</v>
      </c>
      <c r="E545">
        <v>70.98</v>
      </c>
    </row>
    <row r="546" spans="1:5" x14ac:dyDescent="0.3">
      <c r="A546" t="s">
        <v>1462</v>
      </c>
      <c r="B546">
        <v>468.9</v>
      </c>
      <c r="C546">
        <v>6</v>
      </c>
      <c r="D546">
        <v>0</v>
      </c>
      <c r="E546">
        <v>206.316</v>
      </c>
    </row>
    <row r="547" spans="1:5" x14ac:dyDescent="0.3">
      <c r="A547" t="s">
        <v>1465</v>
      </c>
      <c r="B547">
        <v>380.86399999999998</v>
      </c>
      <c r="C547">
        <v>8</v>
      </c>
      <c r="D547">
        <v>0.2</v>
      </c>
      <c r="E547">
        <v>38.086399999999998</v>
      </c>
    </row>
    <row r="548" spans="1:5" x14ac:dyDescent="0.3">
      <c r="A548" t="s">
        <v>1337</v>
      </c>
      <c r="B548">
        <v>646.77599999999995</v>
      </c>
      <c r="C548">
        <v>9</v>
      </c>
      <c r="D548">
        <v>0.2</v>
      </c>
      <c r="E548">
        <v>-145.52459999999999</v>
      </c>
    </row>
    <row r="549" spans="1:5" x14ac:dyDescent="0.3">
      <c r="A549" t="s">
        <v>1470</v>
      </c>
      <c r="B549">
        <v>58.112000000000002</v>
      </c>
      <c r="C549">
        <v>2</v>
      </c>
      <c r="D549">
        <v>0.2</v>
      </c>
      <c r="E549">
        <v>7.2640000000000002</v>
      </c>
    </row>
    <row r="550" spans="1:5" x14ac:dyDescent="0.3">
      <c r="A550" t="s">
        <v>1472</v>
      </c>
      <c r="B550">
        <v>100.792</v>
      </c>
      <c r="C550">
        <v>1</v>
      </c>
      <c r="D550">
        <v>0.2</v>
      </c>
      <c r="E550">
        <v>6.2995000000000001</v>
      </c>
    </row>
    <row r="551" spans="1:5" x14ac:dyDescent="0.3">
      <c r="A551" t="s">
        <v>1474</v>
      </c>
      <c r="B551">
        <v>66.111999999999995</v>
      </c>
      <c r="C551">
        <v>4</v>
      </c>
      <c r="D551">
        <v>0.6</v>
      </c>
      <c r="E551">
        <v>-84.2928</v>
      </c>
    </row>
    <row r="552" spans="1:5" x14ac:dyDescent="0.3">
      <c r="A552" t="s">
        <v>1478</v>
      </c>
      <c r="B552">
        <v>41.28</v>
      </c>
      <c r="C552">
        <v>6</v>
      </c>
      <c r="D552">
        <v>0.2</v>
      </c>
      <c r="E552">
        <v>13.932</v>
      </c>
    </row>
    <row r="553" spans="1:5" x14ac:dyDescent="0.3">
      <c r="A553" t="s">
        <v>1480</v>
      </c>
      <c r="B553">
        <v>13.36</v>
      </c>
      <c r="C553">
        <v>2</v>
      </c>
      <c r="D553">
        <v>0</v>
      </c>
      <c r="E553">
        <v>6.4127999999999998</v>
      </c>
    </row>
    <row r="554" spans="1:5" x14ac:dyDescent="0.3">
      <c r="A554" t="s">
        <v>206</v>
      </c>
      <c r="B554">
        <v>250.27199999999999</v>
      </c>
      <c r="C554">
        <v>9</v>
      </c>
      <c r="D554">
        <v>0.2</v>
      </c>
      <c r="E554">
        <v>15.641999999999999</v>
      </c>
    </row>
    <row r="555" spans="1:5" x14ac:dyDescent="0.3">
      <c r="A555" t="s">
        <v>316</v>
      </c>
      <c r="B555">
        <v>11.364000000000001</v>
      </c>
      <c r="C555">
        <v>3</v>
      </c>
      <c r="D555">
        <v>0.8</v>
      </c>
      <c r="E555">
        <v>-17.045999999999999</v>
      </c>
    </row>
    <row r="556" spans="1:5" x14ac:dyDescent="0.3">
      <c r="A556" t="s">
        <v>1015</v>
      </c>
      <c r="B556">
        <v>8.7200000000000006</v>
      </c>
      <c r="C556">
        <v>5</v>
      </c>
      <c r="D556">
        <v>0.2</v>
      </c>
      <c r="E556">
        <v>-1.744</v>
      </c>
    </row>
    <row r="557" spans="1:5" x14ac:dyDescent="0.3">
      <c r="A557" t="s">
        <v>1486</v>
      </c>
      <c r="B557">
        <v>1121.568</v>
      </c>
      <c r="C557">
        <v>2</v>
      </c>
      <c r="D557">
        <v>0.2</v>
      </c>
      <c r="E557">
        <v>0</v>
      </c>
    </row>
    <row r="558" spans="1:5" x14ac:dyDescent="0.3">
      <c r="A558" t="s">
        <v>1489</v>
      </c>
      <c r="B558">
        <v>34.503999999999998</v>
      </c>
      <c r="C558">
        <v>1</v>
      </c>
      <c r="D558">
        <v>0.2</v>
      </c>
      <c r="E558">
        <v>6.0381999999999998</v>
      </c>
    </row>
    <row r="559" spans="1:5" x14ac:dyDescent="0.3">
      <c r="A559" t="s">
        <v>1493</v>
      </c>
      <c r="B559">
        <v>10.824</v>
      </c>
      <c r="C559">
        <v>3</v>
      </c>
      <c r="D559">
        <v>0.2</v>
      </c>
      <c r="E559">
        <v>2.5707</v>
      </c>
    </row>
    <row r="560" spans="1:5" x14ac:dyDescent="0.3">
      <c r="A560" t="s">
        <v>1496</v>
      </c>
      <c r="B560">
        <v>1295.78</v>
      </c>
      <c r="C560">
        <v>2</v>
      </c>
      <c r="D560">
        <v>0</v>
      </c>
      <c r="E560">
        <v>310.98719999999997</v>
      </c>
    </row>
    <row r="561" spans="1:5" x14ac:dyDescent="0.3">
      <c r="A561" t="s">
        <v>1500</v>
      </c>
      <c r="B561">
        <v>19.456</v>
      </c>
      <c r="C561">
        <v>4</v>
      </c>
      <c r="D561">
        <v>0.2</v>
      </c>
      <c r="E561">
        <v>3.4047999999999998</v>
      </c>
    </row>
    <row r="562" spans="1:5" x14ac:dyDescent="0.3">
      <c r="A562" t="s">
        <v>1504</v>
      </c>
      <c r="B562">
        <v>20.7</v>
      </c>
      <c r="C562">
        <v>2</v>
      </c>
      <c r="D562">
        <v>0</v>
      </c>
      <c r="E562">
        <v>9.9359999999999999</v>
      </c>
    </row>
    <row r="563" spans="1:5" x14ac:dyDescent="0.3">
      <c r="A563" t="s">
        <v>1506</v>
      </c>
      <c r="B563">
        <v>1335.68</v>
      </c>
      <c r="C563">
        <v>4</v>
      </c>
      <c r="D563">
        <v>0.2</v>
      </c>
      <c r="E563">
        <v>-217.048</v>
      </c>
    </row>
    <row r="564" spans="1:5" x14ac:dyDescent="0.3">
      <c r="A564" t="s">
        <v>1508</v>
      </c>
      <c r="B564">
        <v>32.4</v>
      </c>
      <c r="C564">
        <v>5</v>
      </c>
      <c r="D564">
        <v>0</v>
      </c>
      <c r="E564">
        <v>15.552</v>
      </c>
    </row>
    <row r="565" spans="1:5" x14ac:dyDescent="0.3">
      <c r="A565" t="s">
        <v>1172</v>
      </c>
      <c r="B565">
        <v>42.6</v>
      </c>
      <c r="C565">
        <v>3</v>
      </c>
      <c r="D565">
        <v>0</v>
      </c>
      <c r="E565">
        <v>16.614000000000001</v>
      </c>
    </row>
    <row r="566" spans="1:5" x14ac:dyDescent="0.3">
      <c r="A566" t="s">
        <v>1512</v>
      </c>
      <c r="B566">
        <v>84.055999999999997</v>
      </c>
      <c r="C566">
        <v>7</v>
      </c>
      <c r="D566">
        <v>0.2</v>
      </c>
      <c r="E566">
        <v>27.318200000000001</v>
      </c>
    </row>
    <row r="567" spans="1:5" x14ac:dyDescent="0.3">
      <c r="A567" t="s">
        <v>1516</v>
      </c>
      <c r="B567">
        <v>13</v>
      </c>
      <c r="C567">
        <v>5</v>
      </c>
      <c r="D567">
        <v>0.2</v>
      </c>
      <c r="E567">
        <v>1.3</v>
      </c>
    </row>
    <row r="568" spans="1:5" x14ac:dyDescent="0.3">
      <c r="A568" t="s">
        <v>1518</v>
      </c>
      <c r="B568">
        <v>13.128</v>
      </c>
      <c r="C568">
        <v>3</v>
      </c>
      <c r="D568">
        <v>0.2</v>
      </c>
      <c r="E568">
        <v>3.7743000000000002</v>
      </c>
    </row>
    <row r="569" spans="1:5" x14ac:dyDescent="0.3">
      <c r="A569" t="s">
        <v>1522</v>
      </c>
      <c r="B569">
        <v>3.96</v>
      </c>
      <c r="C569">
        <v>2</v>
      </c>
      <c r="D569">
        <v>0</v>
      </c>
      <c r="E569">
        <v>0</v>
      </c>
    </row>
    <row r="570" spans="1:5" x14ac:dyDescent="0.3">
      <c r="A570" t="s">
        <v>889</v>
      </c>
      <c r="B570">
        <v>2.61</v>
      </c>
      <c r="C570">
        <v>1</v>
      </c>
      <c r="D570">
        <v>0</v>
      </c>
      <c r="E570">
        <v>1.2005999999999999</v>
      </c>
    </row>
    <row r="571" spans="1:5" x14ac:dyDescent="0.3">
      <c r="A571" t="s">
        <v>1526</v>
      </c>
      <c r="B571">
        <v>374.37599999999998</v>
      </c>
      <c r="C571">
        <v>3</v>
      </c>
      <c r="D571">
        <v>0.2</v>
      </c>
      <c r="E571">
        <v>46.796999999999997</v>
      </c>
    </row>
    <row r="572" spans="1:5" x14ac:dyDescent="0.3">
      <c r="A572" t="s">
        <v>1530</v>
      </c>
      <c r="B572">
        <v>91.84</v>
      </c>
      <c r="C572">
        <v>8</v>
      </c>
      <c r="D572">
        <v>0</v>
      </c>
      <c r="E572">
        <v>45.001600000000003</v>
      </c>
    </row>
    <row r="573" spans="1:5" x14ac:dyDescent="0.3">
      <c r="A573" t="s">
        <v>1532</v>
      </c>
      <c r="B573">
        <v>81.087999999999994</v>
      </c>
      <c r="C573">
        <v>7</v>
      </c>
      <c r="D573">
        <v>0.2</v>
      </c>
      <c r="E573">
        <v>27.3672</v>
      </c>
    </row>
    <row r="574" spans="1:5" x14ac:dyDescent="0.3">
      <c r="A574" t="s">
        <v>1534</v>
      </c>
      <c r="B574">
        <v>19.440000000000001</v>
      </c>
      <c r="C574">
        <v>3</v>
      </c>
      <c r="D574">
        <v>0</v>
      </c>
      <c r="E574">
        <v>9.3312000000000008</v>
      </c>
    </row>
    <row r="575" spans="1:5" x14ac:dyDescent="0.3">
      <c r="A575" t="s">
        <v>1536</v>
      </c>
      <c r="B575">
        <v>451.15199999999999</v>
      </c>
      <c r="C575">
        <v>3</v>
      </c>
      <c r="D575">
        <v>0.2</v>
      </c>
      <c r="E575">
        <v>0</v>
      </c>
    </row>
    <row r="576" spans="1:5" x14ac:dyDescent="0.3">
      <c r="A576" t="s">
        <v>1504</v>
      </c>
      <c r="B576">
        <v>72.45</v>
      </c>
      <c r="C576">
        <v>7</v>
      </c>
      <c r="D576">
        <v>0</v>
      </c>
      <c r="E576">
        <v>34.776000000000003</v>
      </c>
    </row>
    <row r="577" spans="1:5" x14ac:dyDescent="0.3">
      <c r="A577" t="s">
        <v>660</v>
      </c>
      <c r="B577">
        <v>13.96</v>
      </c>
      <c r="C577">
        <v>4</v>
      </c>
      <c r="D577">
        <v>0</v>
      </c>
      <c r="E577">
        <v>6.4215999999999998</v>
      </c>
    </row>
    <row r="578" spans="1:5" x14ac:dyDescent="0.3">
      <c r="A578" t="s">
        <v>947</v>
      </c>
      <c r="B578">
        <v>33.264000000000003</v>
      </c>
      <c r="C578">
        <v>7</v>
      </c>
      <c r="D578">
        <v>0.2</v>
      </c>
      <c r="E578">
        <v>11.226599999999999</v>
      </c>
    </row>
    <row r="579" spans="1:5" x14ac:dyDescent="0.3">
      <c r="A579" t="s">
        <v>1540</v>
      </c>
      <c r="B579">
        <v>14.85</v>
      </c>
      <c r="C579">
        <v>3</v>
      </c>
      <c r="D579">
        <v>0</v>
      </c>
      <c r="E579">
        <v>4.0095000000000001</v>
      </c>
    </row>
    <row r="580" spans="1:5" x14ac:dyDescent="0.3">
      <c r="A580" t="s">
        <v>1544</v>
      </c>
      <c r="B580">
        <v>8.82</v>
      </c>
      <c r="C580">
        <v>3</v>
      </c>
      <c r="D580">
        <v>0</v>
      </c>
      <c r="E580">
        <v>2.3814000000000002</v>
      </c>
    </row>
    <row r="581" spans="1:5" x14ac:dyDescent="0.3">
      <c r="A581" t="s">
        <v>1530</v>
      </c>
      <c r="B581">
        <v>160.72</v>
      </c>
      <c r="C581">
        <v>14</v>
      </c>
      <c r="D581">
        <v>0</v>
      </c>
      <c r="E581">
        <v>78.752799999999993</v>
      </c>
    </row>
    <row r="582" spans="1:5" x14ac:dyDescent="0.3">
      <c r="A582" t="s">
        <v>1548</v>
      </c>
      <c r="B582">
        <v>19.920000000000002</v>
      </c>
      <c r="C582">
        <v>4</v>
      </c>
      <c r="D582">
        <v>0</v>
      </c>
      <c r="E582">
        <v>9.7607999999999997</v>
      </c>
    </row>
    <row r="583" spans="1:5" x14ac:dyDescent="0.3">
      <c r="A583" t="s">
        <v>1550</v>
      </c>
      <c r="B583">
        <v>7.3</v>
      </c>
      <c r="C583">
        <v>2</v>
      </c>
      <c r="D583">
        <v>0</v>
      </c>
      <c r="E583">
        <v>2.19</v>
      </c>
    </row>
    <row r="584" spans="1:5" x14ac:dyDescent="0.3">
      <c r="A584" t="s">
        <v>411</v>
      </c>
      <c r="B584">
        <v>69.712000000000003</v>
      </c>
      <c r="C584">
        <v>2</v>
      </c>
      <c r="D584">
        <v>0.2</v>
      </c>
      <c r="E584">
        <v>8.7140000000000004</v>
      </c>
    </row>
    <row r="585" spans="1:5" x14ac:dyDescent="0.3">
      <c r="A585" t="s">
        <v>1554</v>
      </c>
      <c r="B585">
        <v>8.7919999999999998</v>
      </c>
      <c r="C585">
        <v>1</v>
      </c>
      <c r="D585">
        <v>0.6</v>
      </c>
      <c r="E585">
        <v>-5.7148000000000003</v>
      </c>
    </row>
    <row r="586" spans="1:5" x14ac:dyDescent="0.3">
      <c r="A586" t="s">
        <v>1558</v>
      </c>
      <c r="B586">
        <v>51.52</v>
      </c>
      <c r="C586">
        <v>4</v>
      </c>
      <c r="D586">
        <v>0</v>
      </c>
      <c r="E586">
        <v>1.5456000000000001</v>
      </c>
    </row>
    <row r="587" spans="1:5" x14ac:dyDescent="0.3">
      <c r="A587" t="s">
        <v>145</v>
      </c>
      <c r="B587">
        <v>470.37599999999998</v>
      </c>
      <c r="C587">
        <v>3</v>
      </c>
      <c r="D587">
        <v>0.2</v>
      </c>
      <c r="E587">
        <v>52.917299999999997</v>
      </c>
    </row>
    <row r="588" spans="1:5" x14ac:dyDescent="0.3">
      <c r="A588" t="s">
        <v>1562</v>
      </c>
      <c r="B588">
        <v>105.584</v>
      </c>
      <c r="C588">
        <v>2</v>
      </c>
      <c r="D588">
        <v>0.2</v>
      </c>
      <c r="E588">
        <v>9.2385999999999999</v>
      </c>
    </row>
    <row r="589" spans="1:5" x14ac:dyDescent="0.3">
      <c r="A589" t="s">
        <v>328</v>
      </c>
      <c r="B589">
        <v>31.152000000000001</v>
      </c>
      <c r="C589">
        <v>3</v>
      </c>
      <c r="D589">
        <v>0.2</v>
      </c>
      <c r="E589">
        <v>3.5045999999999999</v>
      </c>
    </row>
    <row r="590" spans="1:5" x14ac:dyDescent="0.3">
      <c r="A590" t="s">
        <v>1564</v>
      </c>
      <c r="B590">
        <v>6.7830000000000004</v>
      </c>
      <c r="C590">
        <v>7</v>
      </c>
      <c r="D590">
        <v>0.7</v>
      </c>
      <c r="E590">
        <v>-4.7481</v>
      </c>
    </row>
    <row r="591" spans="1:5" x14ac:dyDescent="0.3">
      <c r="A591" t="s">
        <v>473</v>
      </c>
      <c r="B591">
        <v>406.36799999999999</v>
      </c>
      <c r="C591">
        <v>4</v>
      </c>
      <c r="D591">
        <v>0.2</v>
      </c>
      <c r="E591">
        <v>30.477599999999999</v>
      </c>
    </row>
    <row r="592" spans="1:5" x14ac:dyDescent="0.3">
      <c r="A592" t="s">
        <v>1136</v>
      </c>
      <c r="B592">
        <v>70.98</v>
      </c>
      <c r="C592">
        <v>1</v>
      </c>
      <c r="D592">
        <v>0</v>
      </c>
      <c r="E592">
        <v>4.9686000000000003</v>
      </c>
    </row>
    <row r="593" spans="1:5" x14ac:dyDescent="0.3">
      <c r="A593" t="s">
        <v>1568</v>
      </c>
      <c r="B593">
        <v>294.93</v>
      </c>
      <c r="C593">
        <v>3</v>
      </c>
      <c r="D593">
        <v>0</v>
      </c>
      <c r="E593">
        <v>144.51570000000001</v>
      </c>
    </row>
    <row r="594" spans="1:5" x14ac:dyDescent="0.3">
      <c r="A594" t="s">
        <v>1572</v>
      </c>
      <c r="B594">
        <v>84.784000000000006</v>
      </c>
      <c r="C594">
        <v>2</v>
      </c>
      <c r="D594">
        <v>0.2</v>
      </c>
      <c r="E594">
        <v>-20.136199999999999</v>
      </c>
    </row>
    <row r="595" spans="1:5" x14ac:dyDescent="0.3">
      <c r="A595" t="s">
        <v>1574</v>
      </c>
      <c r="B595">
        <v>20.736000000000001</v>
      </c>
      <c r="C595">
        <v>4</v>
      </c>
      <c r="D595">
        <v>0.2</v>
      </c>
      <c r="E595">
        <v>7.2576000000000001</v>
      </c>
    </row>
    <row r="596" spans="1:5" x14ac:dyDescent="0.3">
      <c r="A596" t="s">
        <v>1354</v>
      </c>
      <c r="B596">
        <v>16.821000000000002</v>
      </c>
      <c r="C596">
        <v>3</v>
      </c>
      <c r="D596">
        <v>0.7</v>
      </c>
      <c r="E596">
        <v>-12.896100000000001</v>
      </c>
    </row>
    <row r="597" spans="1:5" x14ac:dyDescent="0.3">
      <c r="A597" t="s">
        <v>1576</v>
      </c>
      <c r="B597">
        <v>10.368</v>
      </c>
      <c r="C597">
        <v>2</v>
      </c>
      <c r="D597">
        <v>0.2</v>
      </c>
      <c r="E597">
        <v>3.6288</v>
      </c>
    </row>
    <row r="598" spans="1:5" x14ac:dyDescent="0.3">
      <c r="A598" t="s">
        <v>1580</v>
      </c>
      <c r="B598">
        <v>9.3439999999999994</v>
      </c>
      <c r="C598">
        <v>2</v>
      </c>
      <c r="D598">
        <v>0.2</v>
      </c>
      <c r="E598">
        <v>1.1679999999999999</v>
      </c>
    </row>
    <row r="599" spans="1:5" x14ac:dyDescent="0.3">
      <c r="A599" t="s">
        <v>642</v>
      </c>
      <c r="B599">
        <v>31.2</v>
      </c>
      <c r="C599">
        <v>3</v>
      </c>
      <c r="D599">
        <v>0.2</v>
      </c>
      <c r="E599">
        <v>9.75</v>
      </c>
    </row>
    <row r="600" spans="1:5" x14ac:dyDescent="0.3">
      <c r="A600" t="s">
        <v>1584</v>
      </c>
      <c r="B600">
        <v>76.12</v>
      </c>
      <c r="C600">
        <v>2</v>
      </c>
      <c r="D600">
        <v>0</v>
      </c>
      <c r="E600">
        <v>22.0748</v>
      </c>
    </row>
    <row r="601" spans="1:5" x14ac:dyDescent="0.3">
      <c r="A601" t="s">
        <v>1123</v>
      </c>
      <c r="B601">
        <v>1199.9760000000001</v>
      </c>
      <c r="C601">
        <v>3</v>
      </c>
      <c r="D601">
        <v>0.2</v>
      </c>
      <c r="E601">
        <v>434.99130000000002</v>
      </c>
    </row>
    <row r="602" spans="1:5" x14ac:dyDescent="0.3">
      <c r="A602" t="s">
        <v>897</v>
      </c>
      <c r="B602">
        <v>445.96</v>
      </c>
      <c r="C602">
        <v>5</v>
      </c>
      <c r="D602">
        <v>0.2</v>
      </c>
      <c r="E602">
        <v>55.744999999999997</v>
      </c>
    </row>
    <row r="603" spans="1:5" x14ac:dyDescent="0.3">
      <c r="A603" t="s">
        <v>1586</v>
      </c>
      <c r="B603">
        <v>327.76</v>
      </c>
      <c r="C603">
        <v>8</v>
      </c>
      <c r="D603">
        <v>0</v>
      </c>
      <c r="E603">
        <v>91.772800000000004</v>
      </c>
    </row>
    <row r="604" spans="1:5" x14ac:dyDescent="0.3">
      <c r="A604" t="s">
        <v>1590</v>
      </c>
      <c r="B604">
        <v>11.632</v>
      </c>
      <c r="C604">
        <v>2</v>
      </c>
      <c r="D604">
        <v>0.2</v>
      </c>
      <c r="E604">
        <v>1.0178</v>
      </c>
    </row>
    <row r="605" spans="1:5" x14ac:dyDescent="0.3">
      <c r="A605" t="s">
        <v>1594</v>
      </c>
      <c r="B605">
        <v>143.982</v>
      </c>
      <c r="C605">
        <v>3</v>
      </c>
      <c r="D605">
        <v>0.4</v>
      </c>
      <c r="E605">
        <v>-28.796399999999998</v>
      </c>
    </row>
    <row r="606" spans="1:5" x14ac:dyDescent="0.3">
      <c r="A606" t="s">
        <v>1596</v>
      </c>
      <c r="B606">
        <v>494.37599999999998</v>
      </c>
      <c r="C606">
        <v>4</v>
      </c>
      <c r="D606">
        <v>0.4</v>
      </c>
      <c r="E606">
        <v>-115.3544</v>
      </c>
    </row>
    <row r="607" spans="1:5" x14ac:dyDescent="0.3">
      <c r="A607" t="s">
        <v>1550</v>
      </c>
      <c r="B607">
        <v>5.84</v>
      </c>
      <c r="C607">
        <v>2</v>
      </c>
      <c r="D607">
        <v>0.2</v>
      </c>
      <c r="E607">
        <v>0.73</v>
      </c>
    </row>
    <row r="608" spans="1:5" x14ac:dyDescent="0.3">
      <c r="A608" t="s">
        <v>1600</v>
      </c>
      <c r="B608">
        <v>142.77600000000001</v>
      </c>
      <c r="C608">
        <v>1</v>
      </c>
      <c r="D608">
        <v>0.2</v>
      </c>
      <c r="E608">
        <v>17.847000000000001</v>
      </c>
    </row>
    <row r="609" spans="1:5" x14ac:dyDescent="0.3">
      <c r="A609" t="s">
        <v>887</v>
      </c>
      <c r="B609">
        <v>45.695999999999998</v>
      </c>
      <c r="C609">
        <v>3</v>
      </c>
      <c r="D609">
        <v>0.2</v>
      </c>
      <c r="E609">
        <v>5.1407999999999996</v>
      </c>
    </row>
    <row r="610" spans="1:5" x14ac:dyDescent="0.3">
      <c r="A610" t="s">
        <v>1195</v>
      </c>
      <c r="B610">
        <v>7.218</v>
      </c>
      <c r="C610">
        <v>3</v>
      </c>
      <c r="D610">
        <v>0.7</v>
      </c>
      <c r="E610">
        <v>-5.5338000000000003</v>
      </c>
    </row>
    <row r="611" spans="1:5" x14ac:dyDescent="0.3">
      <c r="A611" t="s">
        <v>1174</v>
      </c>
      <c r="B611">
        <v>43.188000000000002</v>
      </c>
      <c r="C611">
        <v>4</v>
      </c>
      <c r="D611">
        <v>0.7</v>
      </c>
      <c r="E611">
        <v>-31.671199999999999</v>
      </c>
    </row>
    <row r="612" spans="1:5" x14ac:dyDescent="0.3">
      <c r="A612" t="s">
        <v>1602</v>
      </c>
      <c r="B612">
        <v>131.904</v>
      </c>
      <c r="C612">
        <v>3</v>
      </c>
      <c r="D612">
        <v>0.2</v>
      </c>
      <c r="E612">
        <v>47.815199999999997</v>
      </c>
    </row>
    <row r="613" spans="1:5" x14ac:dyDescent="0.3">
      <c r="A613" t="s">
        <v>1606</v>
      </c>
      <c r="B613">
        <v>3.282</v>
      </c>
      <c r="C613">
        <v>2</v>
      </c>
      <c r="D613">
        <v>0.7</v>
      </c>
      <c r="E613">
        <v>-2.6255999999999999</v>
      </c>
    </row>
    <row r="614" spans="1:5" x14ac:dyDescent="0.3">
      <c r="A614" t="s">
        <v>1393</v>
      </c>
      <c r="B614">
        <v>21.167999999999999</v>
      </c>
      <c r="C614">
        <v>9</v>
      </c>
      <c r="D614">
        <v>0.2</v>
      </c>
      <c r="E614">
        <v>2.3814000000000002</v>
      </c>
    </row>
    <row r="615" spans="1:5" x14ac:dyDescent="0.3">
      <c r="A615" t="s">
        <v>1608</v>
      </c>
      <c r="B615">
        <v>55.188000000000002</v>
      </c>
      <c r="C615">
        <v>2</v>
      </c>
      <c r="D615">
        <v>0.4</v>
      </c>
      <c r="E615">
        <v>-10.117800000000001</v>
      </c>
    </row>
    <row r="616" spans="1:5" x14ac:dyDescent="0.3">
      <c r="A616" t="s">
        <v>1081</v>
      </c>
      <c r="B616">
        <v>369.57600000000002</v>
      </c>
      <c r="C616">
        <v>3</v>
      </c>
      <c r="D616">
        <v>0.2</v>
      </c>
      <c r="E616">
        <v>41.577300000000001</v>
      </c>
    </row>
    <row r="617" spans="1:5" x14ac:dyDescent="0.3">
      <c r="A617" t="s">
        <v>1612</v>
      </c>
      <c r="B617">
        <v>15.712</v>
      </c>
      <c r="C617">
        <v>4</v>
      </c>
      <c r="D617">
        <v>0.2</v>
      </c>
      <c r="E617">
        <v>5.6955999999999998</v>
      </c>
    </row>
    <row r="618" spans="1:5" x14ac:dyDescent="0.3">
      <c r="A618" t="s">
        <v>1616</v>
      </c>
      <c r="B618">
        <v>8.4480000000000004</v>
      </c>
      <c r="C618">
        <v>2</v>
      </c>
      <c r="D618">
        <v>0.2</v>
      </c>
      <c r="E618">
        <v>2.64</v>
      </c>
    </row>
    <row r="619" spans="1:5" x14ac:dyDescent="0.3">
      <c r="A619" t="s">
        <v>1618</v>
      </c>
      <c r="B619">
        <v>728.94600000000003</v>
      </c>
      <c r="C619">
        <v>9</v>
      </c>
      <c r="D619">
        <v>0.4</v>
      </c>
      <c r="E619">
        <v>-157.9383</v>
      </c>
    </row>
    <row r="620" spans="1:5" x14ac:dyDescent="0.3">
      <c r="A620" t="s">
        <v>709</v>
      </c>
      <c r="B620">
        <v>119.94</v>
      </c>
      <c r="C620">
        <v>10</v>
      </c>
      <c r="D620">
        <v>0.4</v>
      </c>
      <c r="E620">
        <v>15.992000000000001</v>
      </c>
    </row>
    <row r="621" spans="1:5" x14ac:dyDescent="0.3">
      <c r="A621" t="s">
        <v>1622</v>
      </c>
      <c r="B621">
        <v>3.6480000000000001</v>
      </c>
      <c r="C621">
        <v>2</v>
      </c>
      <c r="D621">
        <v>0.7</v>
      </c>
      <c r="E621">
        <v>-2.7968000000000002</v>
      </c>
    </row>
    <row r="622" spans="1:5" x14ac:dyDescent="0.3">
      <c r="A622" t="s">
        <v>1626</v>
      </c>
      <c r="B622">
        <v>40.479999999999997</v>
      </c>
      <c r="C622">
        <v>2</v>
      </c>
      <c r="D622">
        <v>0</v>
      </c>
      <c r="E622">
        <v>15.7872</v>
      </c>
    </row>
    <row r="623" spans="1:5" x14ac:dyDescent="0.3">
      <c r="A623" t="s">
        <v>1628</v>
      </c>
      <c r="B623">
        <v>9.94</v>
      </c>
      <c r="C623">
        <v>2</v>
      </c>
      <c r="D623">
        <v>0</v>
      </c>
      <c r="E623">
        <v>3.0813999999999999</v>
      </c>
    </row>
    <row r="624" spans="1:5" x14ac:dyDescent="0.3">
      <c r="A624" t="s">
        <v>1630</v>
      </c>
      <c r="B624">
        <v>107.42400000000001</v>
      </c>
      <c r="C624">
        <v>9</v>
      </c>
      <c r="D624">
        <v>0.2</v>
      </c>
      <c r="E624">
        <v>33.57</v>
      </c>
    </row>
    <row r="625" spans="1:5" x14ac:dyDescent="0.3">
      <c r="A625" t="s">
        <v>1632</v>
      </c>
      <c r="B625">
        <v>37.909999999999997</v>
      </c>
      <c r="C625">
        <v>1</v>
      </c>
      <c r="D625">
        <v>0</v>
      </c>
      <c r="E625">
        <v>10.9939</v>
      </c>
    </row>
    <row r="626" spans="1:5" x14ac:dyDescent="0.3">
      <c r="A626" t="s">
        <v>459</v>
      </c>
      <c r="B626">
        <v>88.02</v>
      </c>
      <c r="C626">
        <v>3</v>
      </c>
      <c r="D626">
        <v>0</v>
      </c>
      <c r="E626">
        <v>27.286200000000001</v>
      </c>
    </row>
    <row r="627" spans="1:5" x14ac:dyDescent="0.3">
      <c r="A627" t="s">
        <v>1636</v>
      </c>
      <c r="B627">
        <v>8.69</v>
      </c>
      <c r="C627">
        <v>5</v>
      </c>
      <c r="D627">
        <v>0.8</v>
      </c>
      <c r="E627">
        <v>-14.773</v>
      </c>
    </row>
    <row r="628" spans="1:5" x14ac:dyDescent="0.3">
      <c r="A628" t="s">
        <v>1640</v>
      </c>
      <c r="B628">
        <v>301.95999999999998</v>
      </c>
      <c r="C628">
        <v>2</v>
      </c>
      <c r="D628">
        <v>0</v>
      </c>
      <c r="E628">
        <v>87.568399999999997</v>
      </c>
    </row>
    <row r="629" spans="1:5" x14ac:dyDescent="0.3">
      <c r="A629" t="s">
        <v>1642</v>
      </c>
      <c r="B629">
        <v>555.21</v>
      </c>
      <c r="C629">
        <v>5</v>
      </c>
      <c r="D629">
        <v>0.1</v>
      </c>
      <c r="E629">
        <v>178.90100000000001</v>
      </c>
    </row>
    <row r="630" spans="1:5" x14ac:dyDescent="0.3">
      <c r="A630" t="s">
        <v>1644</v>
      </c>
      <c r="B630">
        <v>523.48</v>
      </c>
      <c r="C630">
        <v>4</v>
      </c>
      <c r="D630">
        <v>0</v>
      </c>
      <c r="E630">
        <v>130.87</v>
      </c>
    </row>
    <row r="631" spans="1:5" x14ac:dyDescent="0.3">
      <c r="A631" t="s">
        <v>132</v>
      </c>
      <c r="B631">
        <v>161.82</v>
      </c>
      <c r="C631">
        <v>9</v>
      </c>
      <c r="D631">
        <v>0</v>
      </c>
      <c r="E631">
        <v>46.927799999999998</v>
      </c>
    </row>
    <row r="632" spans="1:5" x14ac:dyDescent="0.3">
      <c r="A632" t="s">
        <v>1648</v>
      </c>
      <c r="B632">
        <v>35.56</v>
      </c>
      <c r="C632">
        <v>7</v>
      </c>
      <c r="D632">
        <v>0</v>
      </c>
      <c r="E632">
        <v>12.090400000000001</v>
      </c>
    </row>
    <row r="633" spans="1:5" x14ac:dyDescent="0.3">
      <c r="A633" t="s">
        <v>1652</v>
      </c>
      <c r="B633">
        <v>97.16</v>
      </c>
      <c r="C633">
        <v>2</v>
      </c>
      <c r="D633">
        <v>0</v>
      </c>
      <c r="E633">
        <v>28.176400000000001</v>
      </c>
    </row>
    <row r="634" spans="1:5" x14ac:dyDescent="0.3">
      <c r="A634" t="s">
        <v>1655</v>
      </c>
      <c r="B634">
        <v>15.24</v>
      </c>
      <c r="C634">
        <v>5</v>
      </c>
      <c r="D634">
        <v>0.2</v>
      </c>
      <c r="E634">
        <v>5.1435000000000004</v>
      </c>
    </row>
    <row r="635" spans="1:5" x14ac:dyDescent="0.3">
      <c r="A635" t="s">
        <v>793</v>
      </c>
      <c r="B635">
        <v>13.23</v>
      </c>
      <c r="C635">
        <v>3</v>
      </c>
      <c r="D635">
        <v>0</v>
      </c>
      <c r="E635">
        <v>6.0857999999999999</v>
      </c>
    </row>
    <row r="636" spans="1:5" x14ac:dyDescent="0.3">
      <c r="A636" t="s">
        <v>1659</v>
      </c>
      <c r="B636">
        <v>243.38399999999999</v>
      </c>
      <c r="C636">
        <v>3</v>
      </c>
      <c r="D636">
        <v>0.2</v>
      </c>
      <c r="E636">
        <v>-51.719099999999997</v>
      </c>
    </row>
    <row r="637" spans="1:5" x14ac:dyDescent="0.3">
      <c r="A637" t="s">
        <v>1661</v>
      </c>
      <c r="B637">
        <v>119.8</v>
      </c>
      <c r="C637">
        <v>5</v>
      </c>
      <c r="D637">
        <v>0.2</v>
      </c>
      <c r="E637">
        <v>29.95</v>
      </c>
    </row>
    <row r="638" spans="1:5" x14ac:dyDescent="0.3">
      <c r="A638" t="s">
        <v>1663</v>
      </c>
      <c r="B638">
        <v>300.76799999999997</v>
      </c>
      <c r="C638">
        <v>4</v>
      </c>
      <c r="D638">
        <v>0.2</v>
      </c>
      <c r="E638">
        <v>30.076799999999999</v>
      </c>
    </row>
    <row r="639" spans="1:5" x14ac:dyDescent="0.3">
      <c r="A639" t="s">
        <v>1666</v>
      </c>
      <c r="B639">
        <v>17.88</v>
      </c>
      <c r="C639">
        <v>3</v>
      </c>
      <c r="D639">
        <v>0.2</v>
      </c>
      <c r="E639">
        <v>2.4584999999999999</v>
      </c>
    </row>
    <row r="640" spans="1:5" x14ac:dyDescent="0.3">
      <c r="A640" t="s">
        <v>1568</v>
      </c>
      <c r="B640">
        <v>235.94399999999999</v>
      </c>
      <c r="C640">
        <v>3</v>
      </c>
      <c r="D640">
        <v>0.2</v>
      </c>
      <c r="E640">
        <v>85.529700000000005</v>
      </c>
    </row>
    <row r="641" spans="1:5" x14ac:dyDescent="0.3">
      <c r="A641" t="s">
        <v>1670</v>
      </c>
      <c r="B641">
        <v>392.94</v>
      </c>
      <c r="C641">
        <v>3</v>
      </c>
      <c r="D641">
        <v>0</v>
      </c>
      <c r="E641">
        <v>43.223399999999998</v>
      </c>
    </row>
    <row r="642" spans="1:5" x14ac:dyDescent="0.3">
      <c r="A642" t="s">
        <v>1674</v>
      </c>
      <c r="B642">
        <v>18.882000000000001</v>
      </c>
      <c r="C642">
        <v>3</v>
      </c>
      <c r="D642">
        <v>0.7</v>
      </c>
      <c r="E642">
        <v>-13.8468</v>
      </c>
    </row>
    <row r="643" spans="1:5" x14ac:dyDescent="0.3">
      <c r="A643" t="s">
        <v>1676</v>
      </c>
      <c r="B643">
        <v>122.328</v>
      </c>
      <c r="C643">
        <v>3</v>
      </c>
      <c r="D643">
        <v>0.2</v>
      </c>
      <c r="E643">
        <v>12.232799999999999</v>
      </c>
    </row>
    <row r="644" spans="1:5" x14ac:dyDescent="0.3">
      <c r="A644" t="s">
        <v>705</v>
      </c>
      <c r="B644">
        <v>1049.2</v>
      </c>
      <c r="C644">
        <v>5</v>
      </c>
      <c r="D644">
        <v>0</v>
      </c>
      <c r="E644">
        <v>272.79199999999997</v>
      </c>
    </row>
    <row r="645" spans="1:5" x14ac:dyDescent="0.3">
      <c r="A645" t="s">
        <v>1679</v>
      </c>
      <c r="B645">
        <v>15.423999999999999</v>
      </c>
      <c r="C645">
        <v>4</v>
      </c>
      <c r="D645">
        <v>0.2</v>
      </c>
      <c r="E645">
        <v>5.0128000000000004</v>
      </c>
    </row>
    <row r="646" spans="1:5" x14ac:dyDescent="0.3">
      <c r="A646" t="s">
        <v>1683</v>
      </c>
      <c r="B646">
        <v>18.84</v>
      </c>
      <c r="C646">
        <v>3</v>
      </c>
      <c r="D646">
        <v>0</v>
      </c>
      <c r="E646">
        <v>6.0288000000000004</v>
      </c>
    </row>
    <row r="647" spans="1:5" x14ac:dyDescent="0.3">
      <c r="A647" t="s">
        <v>1687</v>
      </c>
      <c r="B647">
        <v>330.4</v>
      </c>
      <c r="C647">
        <v>2</v>
      </c>
      <c r="D647">
        <v>0</v>
      </c>
      <c r="E647">
        <v>85.903999999999996</v>
      </c>
    </row>
    <row r="648" spans="1:5" x14ac:dyDescent="0.3">
      <c r="A648" t="s">
        <v>1689</v>
      </c>
      <c r="B648">
        <v>26.25</v>
      </c>
      <c r="C648">
        <v>7</v>
      </c>
      <c r="D648">
        <v>0</v>
      </c>
      <c r="E648">
        <v>12.6</v>
      </c>
    </row>
    <row r="649" spans="1:5" x14ac:dyDescent="0.3">
      <c r="A649" t="s">
        <v>1414</v>
      </c>
      <c r="B649">
        <v>132.52000000000001</v>
      </c>
      <c r="C649">
        <v>4</v>
      </c>
      <c r="D649">
        <v>0</v>
      </c>
      <c r="E649">
        <v>54.333199999999998</v>
      </c>
    </row>
    <row r="650" spans="1:5" x14ac:dyDescent="0.3">
      <c r="A650" t="s">
        <v>1694</v>
      </c>
      <c r="B650">
        <v>6.48</v>
      </c>
      <c r="C650">
        <v>1</v>
      </c>
      <c r="D650">
        <v>0</v>
      </c>
      <c r="E650">
        <v>3.1751999999999998</v>
      </c>
    </row>
    <row r="651" spans="1:5" x14ac:dyDescent="0.3">
      <c r="A651" t="s">
        <v>1698</v>
      </c>
      <c r="B651">
        <v>209.3</v>
      </c>
      <c r="C651">
        <v>2</v>
      </c>
      <c r="D651">
        <v>0</v>
      </c>
      <c r="E651">
        <v>56.511000000000003</v>
      </c>
    </row>
    <row r="652" spans="1:5" x14ac:dyDescent="0.3">
      <c r="A652" t="s">
        <v>424</v>
      </c>
      <c r="B652">
        <v>31.56</v>
      </c>
      <c r="C652">
        <v>5</v>
      </c>
      <c r="D652">
        <v>0.2</v>
      </c>
      <c r="E652">
        <v>9.8625000000000007</v>
      </c>
    </row>
    <row r="653" spans="1:5" x14ac:dyDescent="0.3">
      <c r="A653" t="s">
        <v>1702</v>
      </c>
      <c r="B653">
        <v>30.143999999999998</v>
      </c>
      <c r="C653">
        <v>2</v>
      </c>
      <c r="D653">
        <v>0.2</v>
      </c>
      <c r="E653">
        <v>3.0144000000000002</v>
      </c>
    </row>
    <row r="654" spans="1:5" x14ac:dyDescent="0.3">
      <c r="A654" t="s">
        <v>1069</v>
      </c>
      <c r="B654">
        <v>14.8</v>
      </c>
      <c r="C654">
        <v>4</v>
      </c>
      <c r="D654">
        <v>0</v>
      </c>
      <c r="E654">
        <v>6.0679999999999996</v>
      </c>
    </row>
    <row r="655" spans="1:5" x14ac:dyDescent="0.3">
      <c r="A655" t="s">
        <v>563</v>
      </c>
      <c r="B655">
        <v>302.37599999999998</v>
      </c>
      <c r="C655">
        <v>3</v>
      </c>
      <c r="D655">
        <v>0.2</v>
      </c>
      <c r="E655">
        <v>22.6782</v>
      </c>
    </row>
    <row r="656" spans="1:5" x14ac:dyDescent="0.3">
      <c r="A656" t="s">
        <v>1706</v>
      </c>
      <c r="B656">
        <v>316</v>
      </c>
      <c r="C656">
        <v>4</v>
      </c>
      <c r="D656">
        <v>0</v>
      </c>
      <c r="E656">
        <v>31.6</v>
      </c>
    </row>
    <row r="657" spans="1:5" x14ac:dyDescent="0.3">
      <c r="A657" t="s">
        <v>240</v>
      </c>
      <c r="B657">
        <v>379.4</v>
      </c>
      <c r="C657">
        <v>10</v>
      </c>
      <c r="D657">
        <v>0</v>
      </c>
      <c r="E657">
        <v>178.31800000000001</v>
      </c>
    </row>
    <row r="658" spans="1:5" x14ac:dyDescent="0.3">
      <c r="A658" t="s">
        <v>224</v>
      </c>
      <c r="B658">
        <v>97.82</v>
      </c>
      <c r="C658">
        <v>2</v>
      </c>
      <c r="D658">
        <v>0</v>
      </c>
      <c r="E658">
        <v>45.9754</v>
      </c>
    </row>
    <row r="659" spans="1:5" x14ac:dyDescent="0.3">
      <c r="A659" t="s">
        <v>1711</v>
      </c>
      <c r="B659">
        <v>103.12</v>
      </c>
      <c r="C659">
        <v>8</v>
      </c>
      <c r="D659">
        <v>0</v>
      </c>
      <c r="E659">
        <v>10.311999999999999</v>
      </c>
    </row>
    <row r="660" spans="1:5" x14ac:dyDescent="0.3">
      <c r="A660" t="s">
        <v>1715</v>
      </c>
      <c r="B660">
        <v>113.55200000000001</v>
      </c>
      <c r="C660">
        <v>2</v>
      </c>
      <c r="D660">
        <v>0.2</v>
      </c>
      <c r="E660">
        <v>8.5164000000000009</v>
      </c>
    </row>
    <row r="661" spans="1:5" x14ac:dyDescent="0.3">
      <c r="A661" t="s">
        <v>1717</v>
      </c>
      <c r="B661">
        <v>3.3180000000000001</v>
      </c>
      <c r="C661">
        <v>2</v>
      </c>
      <c r="D661">
        <v>0.7</v>
      </c>
      <c r="E661">
        <v>-2.6543999999999999</v>
      </c>
    </row>
    <row r="662" spans="1:5" x14ac:dyDescent="0.3">
      <c r="A662" t="s">
        <v>1719</v>
      </c>
      <c r="B662">
        <v>134.28800000000001</v>
      </c>
      <c r="C662">
        <v>2</v>
      </c>
      <c r="D662">
        <v>0.2</v>
      </c>
      <c r="E662">
        <v>45.322200000000002</v>
      </c>
    </row>
    <row r="663" spans="1:5" x14ac:dyDescent="0.3">
      <c r="A663" t="s">
        <v>1366</v>
      </c>
      <c r="B663">
        <v>701.37199999999996</v>
      </c>
      <c r="C663">
        <v>2</v>
      </c>
      <c r="D663">
        <v>0.3</v>
      </c>
      <c r="E663">
        <v>-50.097999999999999</v>
      </c>
    </row>
    <row r="664" spans="1:5" x14ac:dyDescent="0.3">
      <c r="A664" t="s">
        <v>244</v>
      </c>
      <c r="B664">
        <v>2.3079999999999998</v>
      </c>
      <c r="C664">
        <v>2</v>
      </c>
      <c r="D664">
        <v>0.8</v>
      </c>
      <c r="E664">
        <v>-3.4620000000000002</v>
      </c>
    </row>
    <row r="665" spans="1:5" x14ac:dyDescent="0.3">
      <c r="A665" t="s">
        <v>1600</v>
      </c>
      <c r="B665">
        <v>999.43200000000002</v>
      </c>
      <c r="C665">
        <v>7</v>
      </c>
      <c r="D665">
        <v>0.2</v>
      </c>
      <c r="E665">
        <v>124.929</v>
      </c>
    </row>
    <row r="666" spans="1:5" x14ac:dyDescent="0.3">
      <c r="A666" t="s">
        <v>1724</v>
      </c>
      <c r="B666">
        <v>724.08</v>
      </c>
      <c r="C666">
        <v>14</v>
      </c>
      <c r="D666">
        <v>0.2</v>
      </c>
      <c r="E666">
        <v>-135.76499999999999</v>
      </c>
    </row>
    <row r="667" spans="1:5" x14ac:dyDescent="0.3">
      <c r="A667" t="s">
        <v>383</v>
      </c>
      <c r="B667">
        <v>918.78499999999997</v>
      </c>
      <c r="C667">
        <v>5</v>
      </c>
      <c r="D667">
        <v>0.3</v>
      </c>
      <c r="E667">
        <v>-118.12949999999999</v>
      </c>
    </row>
    <row r="668" spans="1:5" x14ac:dyDescent="0.3">
      <c r="A668" t="s">
        <v>370</v>
      </c>
      <c r="B668">
        <v>2.7240000000000002</v>
      </c>
      <c r="C668">
        <v>3</v>
      </c>
      <c r="D668">
        <v>0.8</v>
      </c>
      <c r="E668">
        <v>-4.2222</v>
      </c>
    </row>
    <row r="669" spans="1:5" x14ac:dyDescent="0.3">
      <c r="A669" t="s">
        <v>638</v>
      </c>
      <c r="B669">
        <v>459.95</v>
      </c>
      <c r="C669">
        <v>5</v>
      </c>
      <c r="D669">
        <v>0</v>
      </c>
      <c r="E669">
        <v>18.398</v>
      </c>
    </row>
    <row r="670" spans="1:5" x14ac:dyDescent="0.3">
      <c r="A670" t="s">
        <v>374</v>
      </c>
      <c r="B670">
        <v>10.74</v>
      </c>
      <c r="C670">
        <v>3</v>
      </c>
      <c r="D670">
        <v>0</v>
      </c>
      <c r="E670">
        <v>5.2625999999999999</v>
      </c>
    </row>
    <row r="671" spans="1:5" x14ac:dyDescent="0.3">
      <c r="A671" t="s">
        <v>1731</v>
      </c>
      <c r="B671">
        <v>23.76</v>
      </c>
      <c r="C671">
        <v>3</v>
      </c>
      <c r="D671">
        <v>0.2</v>
      </c>
      <c r="E671">
        <v>2.0790000000000002</v>
      </c>
    </row>
    <row r="672" spans="1:5" x14ac:dyDescent="0.3">
      <c r="A672" t="s">
        <v>140</v>
      </c>
      <c r="B672">
        <v>85.055999999999997</v>
      </c>
      <c r="C672">
        <v>3</v>
      </c>
      <c r="D672">
        <v>0.2</v>
      </c>
      <c r="E672">
        <v>28.706399999999999</v>
      </c>
    </row>
    <row r="673" spans="1:5" x14ac:dyDescent="0.3">
      <c r="A673" t="s">
        <v>1733</v>
      </c>
      <c r="B673">
        <v>381.57600000000002</v>
      </c>
      <c r="C673">
        <v>3</v>
      </c>
      <c r="D673">
        <v>0.2</v>
      </c>
      <c r="E673">
        <v>28.618200000000002</v>
      </c>
    </row>
    <row r="674" spans="1:5" x14ac:dyDescent="0.3">
      <c r="A674" t="s">
        <v>1737</v>
      </c>
      <c r="B674">
        <v>30.36</v>
      </c>
      <c r="C674">
        <v>5</v>
      </c>
      <c r="D674">
        <v>0.2</v>
      </c>
      <c r="E674">
        <v>8.7285000000000004</v>
      </c>
    </row>
    <row r="675" spans="1:5" x14ac:dyDescent="0.3">
      <c r="A675" t="s">
        <v>1740</v>
      </c>
      <c r="B675">
        <v>23.975999999999999</v>
      </c>
      <c r="C675">
        <v>3</v>
      </c>
      <c r="D675">
        <v>0.6</v>
      </c>
      <c r="E675">
        <v>-14.3856</v>
      </c>
    </row>
    <row r="676" spans="1:5" x14ac:dyDescent="0.3">
      <c r="A676" t="s">
        <v>1742</v>
      </c>
      <c r="B676">
        <v>108.925</v>
      </c>
      <c r="C676">
        <v>1</v>
      </c>
      <c r="D676">
        <v>0.5</v>
      </c>
      <c r="E676">
        <v>-71.890500000000003</v>
      </c>
    </row>
    <row r="677" spans="1:5" x14ac:dyDescent="0.3">
      <c r="A677" t="s">
        <v>1743</v>
      </c>
      <c r="B677">
        <v>36.351999999999997</v>
      </c>
      <c r="C677">
        <v>8</v>
      </c>
      <c r="D677">
        <v>0.2</v>
      </c>
      <c r="E677">
        <v>11.36</v>
      </c>
    </row>
    <row r="678" spans="1:5" x14ac:dyDescent="0.3">
      <c r="A678" t="s">
        <v>1746</v>
      </c>
      <c r="B678">
        <v>19.559999999999999</v>
      </c>
      <c r="C678">
        <v>5</v>
      </c>
      <c r="D678">
        <v>0.2</v>
      </c>
      <c r="E678">
        <v>1.7115</v>
      </c>
    </row>
    <row r="679" spans="1:5" x14ac:dyDescent="0.3">
      <c r="A679" t="s">
        <v>1750</v>
      </c>
      <c r="B679">
        <v>61.44</v>
      </c>
      <c r="C679">
        <v>3</v>
      </c>
      <c r="D679">
        <v>0</v>
      </c>
      <c r="E679">
        <v>16.588799999999999</v>
      </c>
    </row>
    <row r="680" spans="1:5" x14ac:dyDescent="0.3">
      <c r="A680" t="s">
        <v>1752</v>
      </c>
      <c r="B680">
        <v>38.9</v>
      </c>
      <c r="C680">
        <v>5</v>
      </c>
      <c r="D680">
        <v>0</v>
      </c>
      <c r="E680">
        <v>17.504999999999999</v>
      </c>
    </row>
    <row r="681" spans="1:5" x14ac:dyDescent="0.3">
      <c r="A681" t="s">
        <v>1414</v>
      </c>
      <c r="B681">
        <v>99.39</v>
      </c>
      <c r="C681">
        <v>3</v>
      </c>
      <c r="D681">
        <v>0</v>
      </c>
      <c r="E681">
        <v>40.749899999999997</v>
      </c>
    </row>
    <row r="682" spans="1:5" x14ac:dyDescent="0.3">
      <c r="A682" t="s">
        <v>1756</v>
      </c>
      <c r="B682">
        <v>2.6880000000000002</v>
      </c>
      <c r="C682">
        <v>3</v>
      </c>
      <c r="D682">
        <v>0.8</v>
      </c>
      <c r="E682">
        <v>-7.3920000000000003</v>
      </c>
    </row>
    <row r="683" spans="1:5" x14ac:dyDescent="0.3">
      <c r="A683" t="s">
        <v>1758</v>
      </c>
      <c r="B683">
        <v>27.815999999999999</v>
      </c>
      <c r="C683">
        <v>3</v>
      </c>
      <c r="D683">
        <v>0.2</v>
      </c>
      <c r="E683">
        <v>4.5201000000000002</v>
      </c>
    </row>
    <row r="684" spans="1:5" x14ac:dyDescent="0.3">
      <c r="A684" t="s">
        <v>1760</v>
      </c>
      <c r="B684">
        <v>82.524000000000001</v>
      </c>
      <c r="C684">
        <v>3</v>
      </c>
      <c r="D684">
        <v>0.6</v>
      </c>
      <c r="E684">
        <v>-41.262</v>
      </c>
    </row>
    <row r="685" spans="1:5" x14ac:dyDescent="0.3">
      <c r="A685" t="s">
        <v>1762</v>
      </c>
      <c r="B685">
        <v>182.994</v>
      </c>
      <c r="C685">
        <v>3</v>
      </c>
      <c r="D685">
        <v>0.8</v>
      </c>
      <c r="E685">
        <v>-320.23950000000002</v>
      </c>
    </row>
    <row r="686" spans="1:5" x14ac:dyDescent="0.3">
      <c r="A686" t="s">
        <v>1766</v>
      </c>
      <c r="B686">
        <v>14.352</v>
      </c>
      <c r="C686">
        <v>3</v>
      </c>
      <c r="D686">
        <v>0.2</v>
      </c>
      <c r="E686">
        <v>4.6643999999999997</v>
      </c>
    </row>
    <row r="687" spans="1:5" x14ac:dyDescent="0.3">
      <c r="A687" t="s">
        <v>1768</v>
      </c>
      <c r="B687">
        <v>64.959999999999994</v>
      </c>
      <c r="C687">
        <v>2</v>
      </c>
      <c r="D687">
        <v>0</v>
      </c>
      <c r="E687">
        <v>2.5983999999999998</v>
      </c>
    </row>
    <row r="688" spans="1:5" x14ac:dyDescent="0.3">
      <c r="A688" t="s">
        <v>1398</v>
      </c>
      <c r="B688">
        <v>68.599999999999994</v>
      </c>
      <c r="C688">
        <v>4</v>
      </c>
      <c r="D688">
        <v>0</v>
      </c>
      <c r="E688">
        <v>18.521999999999998</v>
      </c>
    </row>
    <row r="689" spans="1:5" x14ac:dyDescent="0.3">
      <c r="A689" t="s">
        <v>1772</v>
      </c>
      <c r="B689">
        <v>7999.98</v>
      </c>
      <c r="C689">
        <v>4</v>
      </c>
      <c r="D689">
        <v>0.5</v>
      </c>
      <c r="E689">
        <v>-3839.9904000000001</v>
      </c>
    </row>
    <row r="690" spans="1:5" x14ac:dyDescent="0.3">
      <c r="A690" t="s">
        <v>1698</v>
      </c>
      <c r="B690">
        <v>167.44</v>
      </c>
      <c r="C690">
        <v>2</v>
      </c>
      <c r="D690">
        <v>0.2</v>
      </c>
      <c r="E690">
        <v>14.651</v>
      </c>
    </row>
    <row r="691" spans="1:5" x14ac:dyDescent="0.3">
      <c r="A691" t="s">
        <v>1027</v>
      </c>
      <c r="B691">
        <v>479.97</v>
      </c>
      <c r="C691">
        <v>3</v>
      </c>
      <c r="D691">
        <v>0</v>
      </c>
      <c r="E691">
        <v>163.18979999999999</v>
      </c>
    </row>
    <row r="692" spans="1:5" x14ac:dyDescent="0.3">
      <c r="A692" t="s">
        <v>1776</v>
      </c>
      <c r="B692">
        <v>14.62</v>
      </c>
      <c r="C692">
        <v>2</v>
      </c>
      <c r="D692">
        <v>0</v>
      </c>
      <c r="E692">
        <v>6.8714000000000004</v>
      </c>
    </row>
    <row r="693" spans="1:5" x14ac:dyDescent="0.3">
      <c r="A693" t="s">
        <v>304</v>
      </c>
      <c r="B693">
        <v>19.440000000000001</v>
      </c>
      <c r="C693">
        <v>3</v>
      </c>
      <c r="D693">
        <v>0</v>
      </c>
      <c r="E693">
        <v>9.3312000000000008</v>
      </c>
    </row>
    <row r="694" spans="1:5" x14ac:dyDescent="0.3">
      <c r="A694" t="s">
        <v>1780</v>
      </c>
      <c r="B694">
        <v>191.98400000000001</v>
      </c>
      <c r="C694">
        <v>2</v>
      </c>
      <c r="D694">
        <v>0.2</v>
      </c>
      <c r="E694">
        <v>4.7995999999999999</v>
      </c>
    </row>
    <row r="695" spans="1:5" x14ac:dyDescent="0.3">
      <c r="A695" t="s">
        <v>1784</v>
      </c>
      <c r="B695">
        <v>104.01</v>
      </c>
      <c r="C695">
        <v>1</v>
      </c>
      <c r="D695">
        <v>0</v>
      </c>
      <c r="E695">
        <v>14.561400000000001</v>
      </c>
    </row>
    <row r="696" spans="1:5" x14ac:dyDescent="0.3">
      <c r="A696" t="s">
        <v>66</v>
      </c>
      <c r="B696">
        <v>284.82</v>
      </c>
      <c r="C696">
        <v>1</v>
      </c>
      <c r="D696">
        <v>0</v>
      </c>
      <c r="E696">
        <v>74.053200000000004</v>
      </c>
    </row>
    <row r="697" spans="1:5" x14ac:dyDescent="0.3">
      <c r="A697" t="s">
        <v>1786</v>
      </c>
      <c r="B697">
        <v>36.840000000000003</v>
      </c>
      <c r="C697">
        <v>3</v>
      </c>
      <c r="D697">
        <v>0</v>
      </c>
      <c r="E697">
        <v>10.315200000000001</v>
      </c>
    </row>
    <row r="698" spans="1:5" x14ac:dyDescent="0.3">
      <c r="A698" t="s">
        <v>1790</v>
      </c>
      <c r="B698">
        <v>166.24</v>
      </c>
      <c r="C698">
        <v>1</v>
      </c>
      <c r="D698">
        <v>0</v>
      </c>
      <c r="E698">
        <v>24.936</v>
      </c>
    </row>
    <row r="699" spans="1:5" x14ac:dyDescent="0.3">
      <c r="A699" t="s">
        <v>1792</v>
      </c>
      <c r="B699">
        <v>33.4</v>
      </c>
      <c r="C699">
        <v>5</v>
      </c>
      <c r="D699">
        <v>0</v>
      </c>
      <c r="E699">
        <v>16.032</v>
      </c>
    </row>
    <row r="700" spans="1:5" x14ac:dyDescent="0.3">
      <c r="A700" t="s">
        <v>903</v>
      </c>
      <c r="B700">
        <v>198.27199999999999</v>
      </c>
      <c r="C700">
        <v>8</v>
      </c>
      <c r="D700">
        <v>0.2</v>
      </c>
      <c r="E700">
        <v>17.348800000000001</v>
      </c>
    </row>
    <row r="701" spans="1:5" x14ac:dyDescent="0.3">
      <c r="A701" t="s">
        <v>1796</v>
      </c>
      <c r="B701">
        <v>47.36</v>
      </c>
      <c r="C701">
        <v>4</v>
      </c>
      <c r="D701">
        <v>0.2</v>
      </c>
      <c r="E701">
        <v>17.760000000000002</v>
      </c>
    </row>
    <row r="702" spans="1:5" x14ac:dyDescent="0.3">
      <c r="A702" t="s">
        <v>281</v>
      </c>
      <c r="B702">
        <v>200.98400000000001</v>
      </c>
      <c r="C702">
        <v>7</v>
      </c>
      <c r="D702">
        <v>0.2</v>
      </c>
      <c r="E702">
        <v>62.807499999999997</v>
      </c>
    </row>
    <row r="703" spans="1:5" x14ac:dyDescent="0.3">
      <c r="A703" t="s">
        <v>1798</v>
      </c>
      <c r="B703">
        <v>97.695999999999998</v>
      </c>
      <c r="C703">
        <v>4</v>
      </c>
      <c r="D703">
        <v>0.2</v>
      </c>
      <c r="E703">
        <v>31.751200000000001</v>
      </c>
    </row>
    <row r="704" spans="1:5" x14ac:dyDescent="0.3">
      <c r="A704" t="s">
        <v>1800</v>
      </c>
      <c r="B704">
        <v>2.6960000000000002</v>
      </c>
      <c r="C704">
        <v>1</v>
      </c>
      <c r="D704">
        <v>0.2</v>
      </c>
      <c r="E704">
        <v>0.80879999999999996</v>
      </c>
    </row>
    <row r="705" spans="1:5" x14ac:dyDescent="0.3">
      <c r="A705" t="s">
        <v>1802</v>
      </c>
      <c r="B705">
        <v>18.588000000000001</v>
      </c>
      <c r="C705">
        <v>2</v>
      </c>
      <c r="D705">
        <v>0.7</v>
      </c>
      <c r="E705">
        <v>-13.6312</v>
      </c>
    </row>
    <row r="706" spans="1:5" x14ac:dyDescent="0.3">
      <c r="A706" t="s">
        <v>943</v>
      </c>
      <c r="B706">
        <v>4.8959999999999999</v>
      </c>
      <c r="C706">
        <v>3</v>
      </c>
      <c r="D706">
        <v>0.7</v>
      </c>
      <c r="E706">
        <v>-3.4272</v>
      </c>
    </row>
    <row r="707" spans="1:5" x14ac:dyDescent="0.3">
      <c r="A707" t="s">
        <v>624</v>
      </c>
      <c r="B707">
        <v>15.071999999999999</v>
      </c>
      <c r="C707">
        <v>3</v>
      </c>
      <c r="D707">
        <v>0.2</v>
      </c>
      <c r="E707">
        <v>4.1448</v>
      </c>
    </row>
    <row r="708" spans="1:5" x14ac:dyDescent="0.3">
      <c r="A708" t="s">
        <v>1806</v>
      </c>
      <c r="B708">
        <v>209.88</v>
      </c>
      <c r="C708">
        <v>3</v>
      </c>
      <c r="D708">
        <v>0</v>
      </c>
      <c r="E708">
        <v>35.679600000000001</v>
      </c>
    </row>
    <row r="709" spans="1:5" x14ac:dyDescent="0.3">
      <c r="A709" t="s">
        <v>1810</v>
      </c>
      <c r="B709">
        <v>369.91199999999998</v>
      </c>
      <c r="C709">
        <v>3</v>
      </c>
      <c r="D709">
        <v>0.2</v>
      </c>
      <c r="E709">
        <v>-13.871700000000001</v>
      </c>
    </row>
    <row r="710" spans="1:5" x14ac:dyDescent="0.3">
      <c r="A710" t="s">
        <v>1814</v>
      </c>
      <c r="B710">
        <v>10.368</v>
      </c>
      <c r="C710">
        <v>2</v>
      </c>
      <c r="D710">
        <v>0.2</v>
      </c>
      <c r="E710">
        <v>3.6288</v>
      </c>
    </row>
    <row r="711" spans="1:5" x14ac:dyDescent="0.3">
      <c r="A711" t="s">
        <v>1816</v>
      </c>
      <c r="B711">
        <v>166.84</v>
      </c>
      <c r="C711">
        <v>5</v>
      </c>
      <c r="D711">
        <v>0.2</v>
      </c>
      <c r="E711">
        <v>18.769500000000001</v>
      </c>
    </row>
    <row r="712" spans="1:5" x14ac:dyDescent="0.3">
      <c r="A712" t="s">
        <v>1386</v>
      </c>
      <c r="B712">
        <v>15.215999999999999</v>
      </c>
      <c r="C712">
        <v>1</v>
      </c>
      <c r="D712">
        <v>0.2</v>
      </c>
      <c r="E712">
        <v>2.2824</v>
      </c>
    </row>
    <row r="713" spans="1:5" x14ac:dyDescent="0.3">
      <c r="A713" t="s">
        <v>785</v>
      </c>
      <c r="B713">
        <v>119.96</v>
      </c>
      <c r="C713">
        <v>4</v>
      </c>
      <c r="D713">
        <v>0</v>
      </c>
      <c r="E713">
        <v>52.782400000000003</v>
      </c>
    </row>
    <row r="714" spans="1:5" x14ac:dyDescent="0.3">
      <c r="A714" t="s">
        <v>1820</v>
      </c>
      <c r="B714">
        <v>883.92</v>
      </c>
      <c r="C714">
        <v>5</v>
      </c>
      <c r="D714">
        <v>0.2</v>
      </c>
      <c r="E714">
        <v>-110.49</v>
      </c>
    </row>
    <row r="715" spans="1:5" x14ac:dyDescent="0.3">
      <c r="A715" t="s">
        <v>1077</v>
      </c>
      <c r="B715">
        <v>46.72</v>
      </c>
      <c r="C715">
        <v>8</v>
      </c>
      <c r="D715">
        <v>0.2</v>
      </c>
      <c r="E715">
        <v>15.768000000000001</v>
      </c>
    </row>
    <row r="716" spans="1:5" x14ac:dyDescent="0.3">
      <c r="A716" t="s">
        <v>1282</v>
      </c>
      <c r="B716">
        <v>55.48</v>
      </c>
      <c r="C716">
        <v>1</v>
      </c>
      <c r="D716">
        <v>0</v>
      </c>
      <c r="E716">
        <v>26.630400000000002</v>
      </c>
    </row>
    <row r="717" spans="1:5" x14ac:dyDescent="0.3">
      <c r="A717" t="s">
        <v>1826</v>
      </c>
      <c r="B717">
        <v>24.448</v>
      </c>
      <c r="C717">
        <v>4</v>
      </c>
      <c r="D717">
        <v>0.2</v>
      </c>
      <c r="E717">
        <v>8.8623999999999992</v>
      </c>
    </row>
    <row r="718" spans="1:5" x14ac:dyDescent="0.3">
      <c r="A718" t="s">
        <v>1830</v>
      </c>
      <c r="B718">
        <v>281.33999999999997</v>
      </c>
      <c r="C718">
        <v>6</v>
      </c>
      <c r="D718">
        <v>0</v>
      </c>
      <c r="E718">
        <v>109.7226</v>
      </c>
    </row>
    <row r="719" spans="1:5" x14ac:dyDescent="0.3">
      <c r="A719" t="s">
        <v>1081</v>
      </c>
      <c r="B719">
        <v>307.98</v>
      </c>
      <c r="C719">
        <v>2</v>
      </c>
      <c r="D719">
        <v>0</v>
      </c>
      <c r="E719">
        <v>89.3142</v>
      </c>
    </row>
    <row r="720" spans="1:5" x14ac:dyDescent="0.3">
      <c r="A720" t="s">
        <v>1832</v>
      </c>
      <c r="B720">
        <v>299.97000000000003</v>
      </c>
      <c r="C720">
        <v>3</v>
      </c>
      <c r="D720">
        <v>0</v>
      </c>
      <c r="E720">
        <v>113.98860000000001</v>
      </c>
    </row>
    <row r="721" spans="1:5" x14ac:dyDescent="0.3">
      <c r="A721" t="s">
        <v>1835</v>
      </c>
      <c r="B721">
        <v>19.920000000000002</v>
      </c>
      <c r="C721">
        <v>5</v>
      </c>
      <c r="D721">
        <v>0.2</v>
      </c>
      <c r="E721">
        <v>6.9720000000000004</v>
      </c>
    </row>
    <row r="722" spans="1:5" x14ac:dyDescent="0.3">
      <c r="A722" t="s">
        <v>1628</v>
      </c>
      <c r="B722">
        <v>9.94</v>
      </c>
      <c r="C722">
        <v>2</v>
      </c>
      <c r="D722">
        <v>0</v>
      </c>
      <c r="E722">
        <v>3.0813999999999999</v>
      </c>
    </row>
    <row r="723" spans="1:5" x14ac:dyDescent="0.3">
      <c r="A723" t="s">
        <v>1840</v>
      </c>
      <c r="B723">
        <v>103.056</v>
      </c>
      <c r="C723">
        <v>3</v>
      </c>
      <c r="D723">
        <v>0.2</v>
      </c>
      <c r="E723">
        <v>24.4758</v>
      </c>
    </row>
    <row r="724" spans="1:5" x14ac:dyDescent="0.3">
      <c r="A724" t="s">
        <v>1364</v>
      </c>
      <c r="B724">
        <v>59.808</v>
      </c>
      <c r="C724">
        <v>3</v>
      </c>
      <c r="D724">
        <v>0.2</v>
      </c>
      <c r="E724">
        <v>19.4376</v>
      </c>
    </row>
    <row r="725" spans="1:5" x14ac:dyDescent="0.3">
      <c r="A725" t="s">
        <v>1211</v>
      </c>
      <c r="B725">
        <v>73.319999999999993</v>
      </c>
      <c r="C725">
        <v>6</v>
      </c>
      <c r="D725">
        <v>0</v>
      </c>
      <c r="E725">
        <v>21.995999999999999</v>
      </c>
    </row>
    <row r="726" spans="1:5" x14ac:dyDescent="0.3">
      <c r="A726" t="s">
        <v>1846</v>
      </c>
      <c r="B726">
        <v>146.82</v>
      </c>
      <c r="C726">
        <v>3</v>
      </c>
      <c r="D726">
        <v>0</v>
      </c>
      <c r="E726">
        <v>73.41</v>
      </c>
    </row>
    <row r="727" spans="1:5" x14ac:dyDescent="0.3">
      <c r="A727" t="s">
        <v>1849</v>
      </c>
      <c r="B727">
        <v>1652.94</v>
      </c>
      <c r="C727">
        <v>3</v>
      </c>
      <c r="D727">
        <v>0</v>
      </c>
      <c r="E727">
        <v>231.41159999999999</v>
      </c>
    </row>
    <row r="728" spans="1:5" x14ac:dyDescent="0.3">
      <c r="A728" t="s">
        <v>1851</v>
      </c>
      <c r="B728">
        <v>296.37</v>
      </c>
      <c r="C728">
        <v>3</v>
      </c>
      <c r="D728">
        <v>0</v>
      </c>
      <c r="E728">
        <v>80.019900000000007</v>
      </c>
    </row>
    <row r="729" spans="1:5" x14ac:dyDescent="0.3">
      <c r="A729" t="s">
        <v>1855</v>
      </c>
      <c r="B729">
        <v>129.91999999999999</v>
      </c>
      <c r="C729">
        <v>5</v>
      </c>
      <c r="D729">
        <v>0.2</v>
      </c>
      <c r="E729">
        <v>21.111999999999998</v>
      </c>
    </row>
    <row r="730" spans="1:5" x14ac:dyDescent="0.3">
      <c r="A730" t="s">
        <v>1859</v>
      </c>
      <c r="B730">
        <v>45.584000000000003</v>
      </c>
      <c r="C730">
        <v>7</v>
      </c>
      <c r="D730">
        <v>0.2</v>
      </c>
      <c r="E730">
        <v>5.1281999999999996</v>
      </c>
    </row>
    <row r="731" spans="1:5" x14ac:dyDescent="0.3">
      <c r="A731" t="s">
        <v>1863</v>
      </c>
      <c r="B731">
        <v>17.568000000000001</v>
      </c>
      <c r="C731">
        <v>2</v>
      </c>
      <c r="D731">
        <v>0.2</v>
      </c>
      <c r="E731">
        <v>6.3684000000000003</v>
      </c>
    </row>
    <row r="732" spans="1:5" x14ac:dyDescent="0.3">
      <c r="A732" t="s">
        <v>1865</v>
      </c>
      <c r="B732">
        <v>55.991999999999997</v>
      </c>
      <c r="C732">
        <v>1</v>
      </c>
      <c r="D732">
        <v>0.2</v>
      </c>
      <c r="E732">
        <v>5.5991999999999997</v>
      </c>
    </row>
    <row r="733" spans="1:5" x14ac:dyDescent="0.3">
      <c r="A733" t="s">
        <v>1869</v>
      </c>
      <c r="B733">
        <v>182.72</v>
      </c>
      <c r="C733">
        <v>8</v>
      </c>
      <c r="D733">
        <v>0</v>
      </c>
      <c r="E733">
        <v>84.051199999999994</v>
      </c>
    </row>
    <row r="734" spans="1:5" x14ac:dyDescent="0.3">
      <c r="A734" t="s">
        <v>1871</v>
      </c>
      <c r="B734">
        <v>400.03199999999998</v>
      </c>
      <c r="C734">
        <v>2</v>
      </c>
      <c r="D734">
        <v>0.4</v>
      </c>
      <c r="E734">
        <v>-153.34559999999999</v>
      </c>
    </row>
    <row r="735" spans="1:5" x14ac:dyDescent="0.3">
      <c r="A735" t="s">
        <v>1873</v>
      </c>
      <c r="B735">
        <v>33.630000000000003</v>
      </c>
      <c r="C735">
        <v>3</v>
      </c>
      <c r="D735">
        <v>0</v>
      </c>
      <c r="E735">
        <v>10.089</v>
      </c>
    </row>
    <row r="736" spans="1:5" x14ac:dyDescent="0.3">
      <c r="A736" t="s">
        <v>725</v>
      </c>
      <c r="B736">
        <v>542.64599999999996</v>
      </c>
      <c r="C736">
        <v>3</v>
      </c>
      <c r="D736">
        <v>0.1</v>
      </c>
      <c r="E736">
        <v>102.49979999999999</v>
      </c>
    </row>
    <row r="737" spans="1:5" x14ac:dyDescent="0.3">
      <c r="A737" t="s">
        <v>1220</v>
      </c>
      <c r="B737">
        <v>6.3</v>
      </c>
      <c r="C737">
        <v>2</v>
      </c>
      <c r="D737">
        <v>0</v>
      </c>
      <c r="E737">
        <v>3.024</v>
      </c>
    </row>
    <row r="738" spans="1:5" x14ac:dyDescent="0.3">
      <c r="A738" t="s">
        <v>1406</v>
      </c>
      <c r="B738">
        <v>242.94</v>
      </c>
      <c r="C738">
        <v>3</v>
      </c>
      <c r="D738">
        <v>0</v>
      </c>
      <c r="E738">
        <v>9.7175999999999991</v>
      </c>
    </row>
    <row r="739" spans="1:5" x14ac:dyDescent="0.3">
      <c r="A739" t="s">
        <v>1877</v>
      </c>
      <c r="B739">
        <v>179.97</v>
      </c>
      <c r="C739">
        <v>3</v>
      </c>
      <c r="D739">
        <v>0</v>
      </c>
      <c r="E739">
        <v>86.385599999999997</v>
      </c>
    </row>
    <row r="740" spans="1:5" x14ac:dyDescent="0.3">
      <c r="A740" t="s">
        <v>1087</v>
      </c>
      <c r="B740">
        <v>99.695999999999998</v>
      </c>
      <c r="C740">
        <v>6</v>
      </c>
      <c r="D740">
        <v>0.2</v>
      </c>
      <c r="E740">
        <v>33.647399999999998</v>
      </c>
    </row>
    <row r="741" spans="1:5" x14ac:dyDescent="0.3">
      <c r="A741" t="s">
        <v>175</v>
      </c>
      <c r="B741">
        <v>27.936</v>
      </c>
      <c r="C741">
        <v>4</v>
      </c>
      <c r="D741">
        <v>0.2</v>
      </c>
      <c r="E741">
        <v>9.4283999999999999</v>
      </c>
    </row>
    <row r="742" spans="1:5" x14ac:dyDescent="0.3">
      <c r="A742" t="s">
        <v>1879</v>
      </c>
      <c r="B742">
        <v>84.98</v>
      </c>
      <c r="C742">
        <v>1</v>
      </c>
      <c r="D742">
        <v>0</v>
      </c>
      <c r="E742">
        <v>18.695599999999999</v>
      </c>
    </row>
    <row r="743" spans="1:5" x14ac:dyDescent="0.3">
      <c r="A743" t="s">
        <v>1881</v>
      </c>
      <c r="B743">
        <v>18.72</v>
      </c>
      <c r="C743">
        <v>5</v>
      </c>
      <c r="D743">
        <v>0.2</v>
      </c>
      <c r="E743">
        <v>6.5519999999999996</v>
      </c>
    </row>
    <row r="744" spans="1:5" x14ac:dyDescent="0.3">
      <c r="A744" t="s">
        <v>1884</v>
      </c>
      <c r="B744">
        <v>49.98</v>
      </c>
      <c r="C744">
        <v>2</v>
      </c>
      <c r="D744">
        <v>0</v>
      </c>
      <c r="E744">
        <v>8.4966000000000008</v>
      </c>
    </row>
    <row r="745" spans="1:5" x14ac:dyDescent="0.3">
      <c r="A745" t="s">
        <v>1888</v>
      </c>
      <c r="B745">
        <v>11.784000000000001</v>
      </c>
      <c r="C745">
        <v>3</v>
      </c>
      <c r="D745">
        <v>0.2</v>
      </c>
      <c r="E745">
        <v>4.2717000000000001</v>
      </c>
    </row>
    <row r="746" spans="1:5" x14ac:dyDescent="0.3">
      <c r="A746" t="s">
        <v>1286</v>
      </c>
      <c r="B746">
        <v>272.73599999999999</v>
      </c>
      <c r="C746">
        <v>3</v>
      </c>
      <c r="D746">
        <v>0.2</v>
      </c>
      <c r="E746">
        <v>-64.774799999999999</v>
      </c>
    </row>
    <row r="747" spans="1:5" x14ac:dyDescent="0.3">
      <c r="A747" t="s">
        <v>1890</v>
      </c>
      <c r="B747">
        <v>3.54</v>
      </c>
      <c r="C747">
        <v>2</v>
      </c>
      <c r="D747">
        <v>0.8</v>
      </c>
      <c r="E747">
        <v>-5.4870000000000001</v>
      </c>
    </row>
    <row r="748" spans="1:5" x14ac:dyDescent="0.3">
      <c r="A748" t="s">
        <v>1558</v>
      </c>
      <c r="B748">
        <v>51.52</v>
      </c>
      <c r="C748">
        <v>5</v>
      </c>
      <c r="D748">
        <v>0.2</v>
      </c>
      <c r="E748">
        <v>-10.948</v>
      </c>
    </row>
    <row r="749" spans="1:5" x14ac:dyDescent="0.3">
      <c r="A749" t="s">
        <v>793</v>
      </c>
      <c r="B749">
        <v>3.528</v>
      </c>
      <c r="C749">
        <v>1</v>
      </c>
      <c r="D749">
        <v>0.2</v>
      </c>
      <c r="E749">
        <v>1.1466000000000001</v>
      </c>
    </row>
    <row r="750" spans="1:5" x14ac:dyDescent="0.3">
      <c r="A750" t="s">
        <v>1894</v>
      </c>
      <c r="B750">
        <v>4.6239999999999997</v>
      </c>
      <c r="C750">
        <v>1</v>
      </c>
      <c r="D750">
        <v>0.2</v>
      </c>
      <c r="E750">
        <v>1.6761999999999999</v>
      </c>
    </row>
    <row r="751" spans="1:5" x14ac:dyDescent="0.3">
      <c r="A751" t="s">
        <v>1896</v>
      </c>
      <c r="B751">
        <v>55.167999999999999</v>
      </c>
      <c r="C751">
        <v>4</v>
      </c>
      <c r="D751">
        <v>0.2</v>
      </c>
      <c r="E751">
        <v>6.2064000000000004</v>
      </c>
    </row>
    <row r="752" spans="1:5" x14ac:dyDescent="0.3">
      <c r="A752" t="s">
        <v>711</v>
      </c>
      <c r="B752">
        <v>567.12</v>
      </c>
      <c r="C752">
        <v>10</v>
      </c>
      <c r="D752">
        <v>0.2</v>
      </c>
      <c r="E752">
        <v>-28.356000000000002</v>
      </c>
    </row>
    <row r="753" spans="1:5" x14ac:dyDescent="0.3">
      <c r="A753" t="s">
        <v>1337</v>
      </c>
      <c r="B753">
        <v>359.32</v>
      </c>
      <c r="C753">
        <v>4</v>
      </c>
      <c r="D753">
        <v>0</v>
      </c>
      <c r="E753">
        <v>7.1863999999999999</v>
      </c>
    </row>
    <row r="754" spans="1:5" x14ac:dyDescent="0.3">
      <c r="A754" t="s">
        <v>1901</v>
      </c>
      <c r="B754">
        <v>11.992000000000001</v>
      </c>
      <c r="C754">
        <v>1</v>
      </c>
      <c r="D754">
        <v>0.2</v>
      </c>
      <c r="E754">
        <v>0.89939999999999998</v>
      </c>
    </row>
    <row r="755" spans="1:5" x14ac:dyDescent="0.3">
      <c r="A755" t="s">
        <v>1905</v>
      </c>
      <c r="B755">
        <v>58.05</v>
      </c>
      <c r="C755">
        <v>3</v>
      </c>
      <c r="D755">
        <v>0</v>
      </c>
      <c r="E755">
        <v>26.702999999999999</v>
      </c>
    </row>
    <row r="756" spans="1:5" x14ac:dyDescent="0.3">
      <c r="A756" t="s">
        <v>1907</v>
      </c>
      <c r="B756">
        <v>157.74</v>
      </c>
      <c r="C756">
        <v>11</v>
      </c>
      <c r="D756">
        <v>0</v>
      </c>
      <c r="E756">
        <v>56.7864</v>
      </c>
    </row>
    <row r="757" spans="1:5" x14ac:dyDescent="0.3">
      <c r="A757" t="s">
        <v>1115</v>
      </c>
      <c r="B757">
        <v>56.98</v>
      </c>
      <c r="C757">
        <v>7</v>
      </c>
      <c r="D757">
        <v>0</v>
      </c>
      <c r="E757">
        <v>22.792000000000002</v>
      </c>
    </row>
    <row r="758" spans="1:5" x14ac:dyDescent="0.3">
      <c r="A758" t="s">
        <v>1909</v>
      </c>
      <c r="B758">
        <v>2.88</v>
      </c>
      <c r="C758">
        <v>1</v>
      </c>
      <c r="D758">
        <v>0</v>
      </c>
      <c r="E758">
        <v>1.4112</v>
      </c>
    </row>
    <row r="759" spans="1:5" x14ac:dyDescent="0.3">
      <c r="A759" t="s">
        <v>1913</v>
      </c>
      <c r="B759">
        <v>1199.9760000000001</v>
      </c>
      <c r="C759">
        <v>3</v>
      </c>
      <c r="D759">
        <v>0.2</v>
      </c>
      <c r="E759">
        <v>374.99250000000001</v>
      </c>
    </row>
    <row r="760" spans="1:5" x14ac:dyDescent="0.3">
      <c r="A760" t="s">
        <v>1740</v>
      </c>
      <c r="B760">
        <v>79.92</v>
      </c>
      <c r="C760">
        <v>4</v>
      </c>
      <c r="D760">
        <v>0</v>
      </c>
      <c r="E760">
        <v>28.7712</v>
      </c>
    </row>
    <row r="761" spans="1:5" x14ac:dyDescent="0.3">
      <c r="A761" t="s">
        <v>1917</v>
      </c>
      <c r="B761">
        <v>383.43799999999999</v>
      </c>
      <c r="C761">
        <v>4</v>
      </c>
      <c r="D761">
        <v>0.45</v>
      </c>
      <c r="E761">
        <v>-167.3184</v>
      </c>
    </row>
    <row r="762" spans="1:5" x14ac:dyDescent="0.3">
      <c r="A762" t="s">
        <v>1786</v>
      </c>
      <c r="B762">
        <v>24.56</v>
      </c>
      <c r="C762">
        <v>2</v>
      </c>
      <c r="D762">
        <v>0</v>
      </c>
      <c r="E762">
        <v>6.8768000000000002</v>
      </c>
    </row>
    <row r="763" spans="1:5" x14ac:dyDescent="0.3">
      <c r="A763" t="s">
        <v>1661</v>
      </c>
      <c r="B763">
        <v>119.8</v>
      </c>
      <c r="C763">
        <v>4</v>
      </c>
      <c r="D763">
        <v>0</v>
      </c>
      <c r="E763">
        <v>47.92</v>
      </c>
    </row>
    <row r="764" spans="1:5" x14ac:dyDescent="0.3">
      <c r="A764" t="s">
        <v>1606</v>
      </c>
      <c r="B764">
        <v>13.128</v>
      </c>
      <c r="C764">
        <v>3</v>
      </c>
      <c r="D764">
        <v>0.2</v>
      </c>
      <c r="E764">
        <v>4.2666000000000004</v>
      </c>
    </row>
    <row r="765" spans="1:5" x14ac:dyDescent="0.3">
      <c r="A765" t="s">
        <v>1743</v>
      </c>
      <c r="B765">
        <v>22.72</v>
      </c>
      <c r="C765">
        <v>4</v>
      </c>
      <c r="D765">
        <v>0</v>
      </c>
      <c r="E765">
        <v>10.224</v>
      </c>
    </row>
    <row r="766" spans="1:5" x14ac:dyDescent="0.3">
      <c r="A766" t="s">
        <v>1508</v>
      </c>
      <c r="B766">
        <v>58.32</v>
      </c>
      <c r="C766">
        <v>9</v>
      </c>
      <c r="D766">
        <v>0</v>
      </c>
      <c r="E766">
        <v>27.993600000000001</v>
      </c>
    </row>
    <row r="767" spans="1:5" x14ac:dyDescent="0.3">
      <c r="A767" t="s">
        <v>1927</v>
      </c>
      <c r="B767">
        <v>12.39</v>
      </c>
      <c r="C767">
        <v>3</v>
      </c>
      <c r="D767">
        <v>0</v>
      </c>
      <c r="E767">
        <v>5.6993999999999998</v>
      </c>
    </row>
    <row r="768" spans="1:5" x14ac:dyDescent="0.3">
      <c r="A768" t="s">
        <v>526</v>
      </c>
      <c r="B768">
        <v>107.982</v>
      </c>
      <c r="C768">
        <v>3</v>
      </c>
      <c r="D768">
        <v>0.4</v>
      </c>
      <c r="E768">
        <v>-26.9955</v>
      </c>
    </row>
    <row r="769" spans="1:5" x14ac:dyDescent="0.3">
      <c r="A769" t="s">
        <v>505</v>
      </c>
      <c r="B769">
        <v>11.36</v>
      </c>
      <c r="C769">
        <v>2</v>
      </c>
      <c r="D769">
        <v>0</v>
      </c>
      <c r="E769">
        <v>5.3391999999999999</v>
      </c>
    </row>
    <row r="770" spans="1:5" x14ac:dyDescent="0.3">
      <c r="A770" t="s">
        <v>1933</v>
      </c>
      <c r="B770">
        <v>50.94</v>
      </c>
      <c r="C770">
        <v>3</v>
      </c>
      <c r="D770">
        <v>0</v>
      </c>
      <c r="E770">
        <v>25.47</v>
      </c>
    </row>
    <row r="771" spans="1:5" x14ac:dyDescent="0.3">
      <c r="A771" t="s">
        <v>1935</v>
      </c>
      <c r="B771">
        <v>646.74</v>
      </c>
      <c r="C771">
        <v>6</v>
      </c>
      <c r="D771">
        <v>0</v>
      </c>
      <c r="E771">
        <v>258.69600000000003</v>
      </c>
    </row>
    <row r="772" spans="1:5" x14ac:dyDescent="0.3">
      <c r="A772" t="s">
        <v>1937</v>
      </c>
      <c r="B772">
        <v>5.64</v>
      </c>
      <c r="C772">
        <v>3</v>
      </c>
      <c r="D772">
        <v>0</v>
      </c>
      <c r="E772">
        <v>2.7071999999999998</v>
      </c>
    </row>
    <row r="773" spans="1:5" x14ac:dyDescent="0.3">
      <c r="A773" t="s">
        <v>1939</v>
      </c>
      <c r="B773">
        <v>572.58000000000004</v>
      </c>
      <c r="C773">
        <v>6</v>
      </c>
      <c r="D773">
        <v>0</v>
      </c>
      <c r="E773">
        <v>34.354799999999997</v>
      </c>
    </row>
    <row r="774" spans="1:5" x14ac:dyDescent="0.3">
      <c r="A774" t="s">
        <v>1943</v>
      </c>
      <c r="B774">
        <v>310.88</v>
      </c>
      <c r="C774">
        <v>2</v>
      </c>
      <c r="D774">
        <v>0.2</v>
      </c>
      <c r="E774">
        <v>23.315999999999999</v>
      </c>
    </row>
    <row r="775" spans="1:5" x14ac:dyDescent="0.3">
      <c r="A775" t="s">
        <v>1946</v>
      </c>
      <c r="B775">
        <v>641.96</v>
      </c>
      <c r="C775">
        <v>2</v>
      </c>
      <c r="D775">
        <v>0</v>
      </c>
      <c r="E775">
        <v>179.74879999999999</v>
      </c>
    </row>
    <row r="776" spans="1:5" x14ac:dyDescent="0.3">
      <c r="A776" t="s">
        <v>1950</v>
      </c>
      <c r="B776">
        <v>18.28</v>
      </c>
      <c r="C776">
        <v>2</v>
      </c>
      <c r="D776">
        <v>0</v>
      </c>
      <c r="E776">
        <v>9.14</v>
      </c>
    </row>
    <row r="777" spans="1:5" x14ac:dyDescent="0.3">
      <c r="A777" t="s">
        <v>939</v>
      </c>
      <c r="B777">
        <v>207</v>
      </c>
      <c r="C777">
        <v>3</v>
      </c>
      <c r="D777">
        <v>0</v>
      </c>
      <c r="E777">
        <v>51.75</v>
      </c>
    </row>
    <row r="778" spans="1:5" x14ac:dyDescent="0.3">
      <c r="A778" t="s">
        <v>1952</v>
      </c>
      <c r="B778">
        <v>32.35</v>
      </c>
      <c r="C778">
        <v>5</v>
      </c>
      <c r="D778">
        <v>0</v>
      </c>
      <c r="E778">
        <v>16.175000000000001</v>
      </c>
    </row>
    <row r="779" spans="1:5" x14ac:dyDescent="0.3">
      <c r="A779" t="s">
        <v>59</v>
      </c>
      <c r="B779">
        <v>7.71</v>
      </c>
      <c r="C779">
        <v>1</v>
      </c>
      <c r="D779">
        <v>0</v>
      </c>
      <c r="E779">
        <v>3.4695</v>
      </c>
    </row>
    <row r="780" spans="1:5" x14ac:dyDescent="0.3">
      <c r="A780" t="s">
        <v>1954</v>
      </c>
      <c r="B780">
        <v>40.299999999999997</v>
      </c>
      <c r="C780">
        <v>2</v>
      </c>
      <c r="D780">
        <v>0</v>
      </c>
      <c r="E780">
        <v>10.881</v>
      </c>
    </row>
    <row r="781" spans="1:5" x14ac:dyDescent="0.3">
      <c r="A781" t="s">
        <v>1956</v>
      </c>
      <c r="B781">
        <v>34.58</v>
      </c>
      <c r="C781">
        <v>7</v>
      </c>
      <c r="D781">
        <v>0</v>
      </c>
      <c r="E781">
        <v>14.5236</v>
      </c>
    </row>
    <row r="782" spans="1:5" x14ac:dyDescent="0.3">
      <c r="A782" t="s">
        <v>1960</v>
      </c>
      <c r="B782">
        <v>32.76</v>
      </c>
      <c r="C782">
        <v>7</v>
      </c>
      <c r="D782">
        <v>0.2</v>
      </c>
      <c r="E782">
        <v>3.6855000000000002</v>
      </c>
    </row>
    <row r="783" spans="1:5" x14ac:dyDescent="0.3">
      <c r="A783" t="s">
        <v>1963</v>
      </c>
      <c r="B783">
        <v>544.00800000000004</v>
      </c>
      <c r="C783">
        <v>3</v>
      </c>
      <c r="D783">
        <v>0.2</v>
      </c>
      <c r="E783">
        <v>40.800600000000003</v>
      </c>
    </row>
    <row r="784" spans="1:5" x14ac:dyDescent="0.3">
      <c r="A784" t="s">
        <v>1140</v>
      </c>
      <c r="B784">
        <v>59.94</v>
      </c>
      <c r="C784">
        <v>3</v>
      </c>
      <c r="D784">
        <v>0</v>
      </c>
      <c r="E784">
        <v>28.171800000000001</v>
      </c>
    </row>
    <row r="785" spans="1:5" x14ac:dyDescent="0.3">
      <c r="A785" t="s">
        <v>1112</v>
      </c>
      <c r="B785">
        <v>23.92</v>
      </c>
      <c r="C785">
        <v>4</v>
      </c>
      <c r="D785">
        <v>0</v>
      </c>
      <c r="E785">
        <v>11.720800000000001</v>
      </c>
    </row>
    <row r="786" spans="1:5" x14ac:dyDescent="0.3">
      <c r="A786" t="s">
        <v>1965</v>
      </c>
      <c r="B786">
        <v>4.28</v>
      </c>
      <c r="C786">
        <v>1</v>
      </c>
      <c r="D786">
        <v>0</v>
      </c>
      <c r="E786">
        <v>1.9259999999999999</v>
      </c>
    </row>
    <row r="787" spans="1:5" x14ac:dyDescent="0.3">
      <c r="A787" t="s">
        <v>1260</v>
      </c>
      <c r="B787">
        <v>32.07</v>
      </c>
      <c r="C787">
        <v>5</v>
      </c>
      <c r="D787">
        <v>0.7</v>
      </c>
      <c r="E787">
        <v>-22.449000000000002</v>
      </c>
    </row>
    <row r="788" spans="1:5" x14ac:dyDescent="0.3">
      <c r="A788" t="s">
        <v>183</v>
      </c>
      <c r="B788">
        <v>24</v>
      </c>
      <c r="C788">
        <v>2</v>
      </c>
      <c r="D788">
        <v>0.2</v>
      </c>
      <c r="E788">
        <v>-2.7</v>
      </c>
    </row>
    <row r="789" spans="1:5" x14ac:dyDescent="0.3">
      <c r="A789" t="s">
        <v>1969</v>
      </c>
      <c r="B789">
        <v>35.49</v>
      </c>
      <c r="C789">
        <v>1</v>
      </c>
      <c r="D789">
        <v>0.5</v>
      </c>
      <c r="E789">
        <v>-15.615600000000001</v>
      </c>
    </row>
    <row r="790" spans="1:5" x14ac:dyDescent="0.3">
      <c r="A790" t="s">
        <v>1971</v>
      </c>
      <c r="B790">
        <v>47.984000000000002</v>
      </c>
      <c r="C790">
        <v>2</v>
      </c>
      <c r="D790">
        <v>0.2</v>
      </c>
      <c r="E790">
        <v>0.5998</v>
      </c>
    </row>
    <row r="791" spans="1:5" x14ac:dyDescent="0.3">
      <c r="A791" t="s">
        <v>1974</v>
      </c>
      <c r="B791">
        <v>186.69</v>
      </c>
      <c r="C791">
        <v>3</v>
      </c>
      <c r="D791">
        <v>0</v>
      </c>
      <c r="E791">
        <v>87.744299999999996</v>
      </c>
    </row>
    <row r="792" spans="1:5" x14ac:dyDescent="0.3">
      <c r="A792" t="s">
        <v>1977</v>
      </c>
      <c r="B792">
        <v>17.456</v>
      </c>
      <c r="C792">
        <v>2</v>
      </c>
      <c r="D792">
        <v>0.2</v>
      </c>
      <c r="E792">
        <v>5.8914</v>
      </c>
    </row>
    <row r="793" spans="1:5" x14ac:dyDescent="0.3">
      <c r="A793" t="s">
        <v>1981</v>
      </c>
      <c r="B793">
        <v>348.928</v>
      </c>
      <c r="C793">
        <v>2</v>
      </c>
      <c r="D793">
        <v>0.2</v>
      </c>
      <c r="E793">
        <v>34.892800000000001</v>
      </c>
    </row>
    <row r="794" spans="1:5" x14ac:dyDescent="0.3">
      <c r="A794" t="s">
        <v>1174</v>
      </c>
      <c r="B794">
        <v>143.96</v>
      </c>
      <c r="C794">
        <v>4</v>
      </c>
      <c r="D794">
        <v>0</v>
      </c>
      <c r="E794">
        <v>69.100800000000007</v>
      </c>
    </row>
    <row r="795" spans="1:5" x14ac:dyDescent="0.3">
      <c r="A795" t="s">
        <v>1292</v>
      </c>
      <c r="B795">
        <v>15.42</v>
      </c>
      <c r="C795">
        <v>1</v>
      </c>
      <c r="D795">
        <v>0</v>
      </c>
      <c r="E795">
        <v>4.1634000000000002</v>
      </c>
    </row>
    <row r="796" spans="1:5" x14ac:dyDescent="0.3">
      <c r="A796" t="s">
        <v>1984</v>
      </c>
      <c r="B796">
        <v>43.04</v>
      </c>
      <c r="C796">
        <v>8</v>
      </c>
      <c r="D796">
        <v>0</v>
      </c>
      <c r="E796">
        <v>21.089600000000001</v>
      </c>
    </row>
    <row r="797" spans="1:5" x14ac:dyDescent="0.3">
      <c r="A797" t="s">
        <v>1986</v>
      </c>
      <c r="B797">
        <v>332.94</v>
      </c>
      <c r="C797">
        <v>3</v>
      </c>
      <c r="D797">
        <v>0</v>
      </c>
      <c r="E797">
        <v>79.905600000000007</v>
      </c>
    </row>
    <row r="798" spans="1:5" x14ac:dyDescent="0.3">
      <c r="A798" t="s">
        <v>1990</v>
      </c>
      <c r="B798">
        <v>1363.96</v>
      </c>
      <c r="C798">
        <v>5</v>
      </c>
      <c r="D798">
        <v>0.2</v>
      </c>
      <c r="E798">
        <v>85.247500000000002</v>
      </c>
    </row>
    <row r="799" spans="1:5" x14ac:dyDescent="0.3">
      <c r="A799" t="s">
        <v>1994</v>
      </c>
      <c r="B799">
        <v>9.9600000000000009</v>
      </c>
      <c r="C799">
        <v>2</v>
      </c>
      <c r="D799">
        <v>0</v>
      </c>
      <c r="E799">
        <v>4.5815999999999999</v>
      </c>
    </row>
    <row r="800" spans="1:5" x14ac:dyDescent="0.3">
      <c r="A800" t="s">
        <v>1125</v>
      </c>
      <c r="B800">
        <v>21.72</v>
      </c>
      <c r="C800">
        <v>4</v>
      </c>
      <c r="D800">
        <v>0</v>
      </c>
      <c r="E800">
        <v>10.642799999999999</v>
      </c>
    </row>
    <row r="801" spans="1:5" x14ac:dyDescent="0.3">
      <c r="A801" t="s">
        <v>1909</v>
      </c>
      <c r="B801">
        <v>20.16</v>
      </c>
      <c r="C801">
        <v>7</v>
      </c>
      <c r="D801">
        <v>0</v>
      </c>
      <c r="E801">
        <v>9.8783999999999992</v>
      </c>
    </row>
    <row r="802" spans="1:5" x14ac:dyDescent="0.3">
      <c r="A802" t="s">
        <v>1999</v>
      </c>
      <c r="B802">
        <v>132.79</v>
      </c>
      <c r="C802">
        <v>7</v>
      </c>
      <c r="D802">
        <v>0</v>
      </c>
      <c r="E802">
        <v>63.739199999999997</v>
      </c>
    </row>
    <row r="803" spans="1:5" x14ac:dyDescent="0.3">
      <c r="A803" t="s">
        <v>71</v>
      </c>
      <c r="B803">
        <v>12.96</v>
      </c>
      <c r="C803">
        <v>2</v>
      </c>
      <c r="D803">
        <v>0</v>
      </c>
      <c r="E803">
        <v>6.2207999999999997</v>
      </c>
    </row>
    <row r="804" spans="1:5" x14ac:dyDescent="0.3">
      <c r="A804" t="s">
        <v>2001</v>
      </c>
      <c r="B804">
        <v>21.56</v>
      </c>
      <c r="C804">
        <v>7</v>
      </c>
      <c r="D804">
        <v>0</v>
      </c>
      <c r="E804">
        <v>10.348800000000001</v>
      </c>
    </row>
    <row r="805" spans="1:5" x14ac:dyDescent="0.3">
      <c r="A805" t="s">
        <v>1458</v>
      </c>
      <c r="B805">
        <v>283.92</v>
      </c>
      <c r="C805">
        <v>5</v>
      </c>
      <c r="D805">
        <v>0.2</v>
      </c>
      <c r="E805">
        <v>17.745000000000001</v>
      </c>
    </row>
    <row r="806" spans="1:5" x14ac:dyDescent="0.3">
      <c r="A806" t="s">
        <v>2007</v>
      </c>
      <c r="B806">
        <v>22.23</v>
      </c>
      <c r="C806">
        <v>1</v>
      </c>
      <c r="D806">
        <v>0</v>
      </c>
      <c r="E806">
        <v>7.3358999999999996</v>
      </c>
    </row>
    <row r="807" spans="1:5" x14ac:dyDescent="0.3">
      <c r="A807" t="s">
        <v>741</v>
      </c>
      <c r="B807">
        <v>215.96799999999999</v>
      </c>
      <c r="C807">
        <v>2</v>
      </c>
      <c r="D807">
        <v>0.2</v>
      </c>
      <c r="E807">
        <v>18.897200000000002</v>
      </c>
    </row>
    <row r="808" spans="1:5" x14ac:dyDescent="0.3">
      <c r="A808" t="s">
        <v>2010</v>
      </c>
      <c r="B808">
        <v>355.32</v>
      </c>
      <c r="C808">
        <v>9</v>
      </c>
      <c r="D808">
        <v>0</v>
      </c>
      <c r="E808">
        <v>99.489599999999996</v>
      </c>
    </row>
    <row r="809" spans="1:5" x14ac:dyDescent="0.3">
      <c r="A809" t="s">
        <v>2014</v>
      </c>
      <c r="B809">
        <v>12.96</v>
      </c>
      <c r="C809">
        <v>2</v>
      </c>
      <c r="D809">
        <v>0</v>
      </c>
      <c r="E809">
        <v>6.2207999999999997</v>
      </c>
    </row>
    <row r="810" spans="1:5" x14ac:dyDescent="0.3">
      <c r="A810" t="s">
        <v>2018</v>
      </c>
      <c r="B810">
        <v>18.28</v>
      </c>
      <c r="C810">
        <v>2</v>
      </c>
      <c r="D810">
        <v>0</v>
      </c>
      <c r="E810">
        <v>6.2152000000000003</v>
      </c>
    </row>
    <row r="811" spans="1:5" x14ac:dyDescent="0.3">
      <c r="A811" t="s">
        <v>2021</v>
      </c>
      <c r="B811">
        <v>43.176000000000002</v>
      </c>
      <c r="C811">
        <v>3</v>
      </c>
      <c r="D811">
        <v>0.2</v>
      </c>
      <c r="E811">
        <v>4.3175999999999997</v>
      </c>
    </row>
    <row r="812" spans="1:5" x14ac:dyDescent="0.3">
      <c r="A812" t="s">
        <v>2023</v>
      </c>
      <c r="B812">
        <v>1983.9680000000001</v>
      </c>
      <c r="C812">
        <v>4</v>
      </c>
      <c r="D812">
        <v>0.2</v>
      </c>
      <c r="E812">
        <v>247.99600000000001</v>
      </c>
    </row>
    <row r="813" spans="1:5" x14ac:dyDescent="0.3">
      <c r="A813" t="s">
        <v>1172</v>
      </c>
      <c r="B813">
        <v>28.4</v>
      </c>
      <c r="C813">
        <v>2</v>
      </c>
      <c r="D813">
        <v>0</v>
      </c>
      <c r="E813">
        <v>11.076000000000001</v>
      </c>
    </row>
    <row r="814" spans="1:5" x14ac:dyDescent="0.3">
      <c r="A814" t="s">
        <v>2026</v>
      </c>
      <c r="B814">
        <v>149.97</v>
      </c>
      <c r="C814">
        <v>3</v>
      </c>
      <c r="D814">
        <v>0</v>
      </c>
      <c r="E814">
        <v>50.989800000000002</v>
      </c>
    </row>
    <row r="815" spans="1:5" x14ac:dyDescent="0.3">
      <c r="A815" t="s">
        <v>2029</v>
      </c>
      <c r="B815">
        <v>11.52</v>
      </c>
      <c r="C815">
        <v>4</v>
      </c>
      <c r="D815">
        <v>0</v>
      </c>
      <c r="E815">
        <v>3.2256</v>
      </c>
    </row>
    <row r="816" spans="1:5" x14ac:dyDescent="0.3">
      <c r="A816" t="s">
        <v>814</v>
      </c>
      <c r="B816">
        <v>1298.55</v>
      </c>
      <c r="C816">
        <v>5</v>
      </c>
      <c r="D816">
        <v>0</v>
      </c>
      <c r="E816">
        <v>311.65199999999999</v>
      </c>
    </row>
    <row r="817" spans="1:5" x14ac:dyDescent="0.3">
      <c r="A817" t="s">
        <v>2031</v>
      </c>
      <c r="B817">
        <v>213.92</v>
      </c>
      <c r="C817">
        <v>4</v>
      </c>
      <c r="D817">
        <v>0</v>
      </c>
      <c r="E817">
        <v>62.036799999999999</v>
      </c>
    </row>
    <row r="818" spans="1:5" x14ac:dyDescent="0.3">
      <c r="A818" t="s">
        <v>1711</v>
      </c>
      <c r="B818">
        <v>25.78</v>
      </c>
      <c r="C818">
        <v>2</v>
      </c>
      <c r="D818">
        <v>0</v>
      </c>
      <c r="E818">
        <v>2.5779999999999998</v>
      </c>
    </row>
    <row r="819" spans="1:5" x14ac:dyDescent="0.3">
      <c r="A819" t="s">
        <v>2018</v>
      </c>
      <c r="B819">
        <v>18.28</v>
      </c>
      <c r="C819">
        <v>2</v>
      </c>
      <c r="D819">
        <v>0</v>
      </c>
      <c r="E819">
        <v>6.2152000000000003</v>
      </c>
    </row>
    <row r="820" spans="1:5" x14ac:dyDescent="0.3">
      <c r="A820" t="s">
        <v>2035</v>
      </c>
      <c r="B820">
        <v>1399.93</v>
      </c>
      <c r="C820">
        <v>7</v>
      </c>
      <c r="D820">
        <v>0</v>
      </c>
      <c r="E820">
        <v>601.96990000000005</v>
      </c>
    </row>
    <row r="821" spans="1:5" x14ac:dyDescent="0.3">
      <c r="A821" t="s">
        <v>587</v>
      </c>
      <c r="B821">
        <v>51.84</v>
      </c>
      <c r="C821">
        <v>8</v>
      </c>
      <c r="D821">
        <v>0</v>
      </c>
      <c r="E821">
        <v>24.883199999999999</v>
      </c>
    </row>
    <row r="822" spans="1:5" x14ac:dyDescent="0.3">
      <c r="A822" t="s">
        <v>2040</v>
      </c>
      <c r="B822">
        <v>5.3440000000000003</v>
      </c>
      <c r="C822">
        <v>1</v>
      </c>
      <c r="D822">
        <v>0.2</v>
      </c>
      <c r="E822">
        <v>1.8704000000000001</v>
      </c>
    </row>
    <row r="823" spans="1:5" x14ac:dyDescent="0.3">
      <c r="A823" t="s">
        <v>304</v>
      </c>
      <c r="B823">
        <v>41.472000000000001</v>
      </c>
      <c r="C823">
        <v>8</v>
      </c>
      <c r="D823">
        <v>0.2</v>
      </c>
      <c r="E823">
        <v>14.5152</v>
      </c>
    </row>
    <row r="824" spans="1:5" x14ac:dyDescent="0.3">
      <c r="A824" t="s">
        <v>2043</v>
      </c>
      <c r="B824">
        <v>3.1680000000000001</v>
      </c>
      <c r="C824">
        <v>3</v>
      </c>
      <c r="D824">
        <v>0.7</v>
      </c>
      <c r="E824">
        <v>-2.4287999999999998</v>
      </c>
    </row>
    <row r="825" spans="1:5" x14ac:dyDescent="0.3">
      <c r="A825" t="s">
        <v>2045</v>
      </c>
      <c r="B825">
        <v>1228.4649999999999</v>
      </c>
      <c r="C825">
        <v>5</v>
      </c>
      <c r="D825">
        <v>0.3</v>
      </c>
      <c r="E825">
        <v>0</v>
      </c>
    </row>
    <row r="826" spans="1:5" x14ac:dyDescent="0.3">
      <c r="A826" t="s">
        <v>2047</v>
      </c>
      <c r="B826">
        <v>31.085999999999999</v>
      </c>
      <c r="C826">
        <v>3</v>
      </c>
      <c r="D826">
        <v>0.7</v>
      </c>
      <c r="E826">
        <v>-22.796399999999998</v>
      </c>
    </row>
    <row r="827" spans="1:5" x14ac:dyDescent="0.3">
      <c r="A827" t="s">
        <v>2049</v>
      </c>
      <c r="B827">
        <v>335.52</v>
      </c>
      <c r="C827">
        <v>4</v>
      </c>
      <c r="D827">
        <v>0.2</v>
      </c>
      <c r="E827">
        <v>117.432</v>
      </c>
    </row>
    <row r="828" spans="1:5" x14ac:dyDescent="0.3">
      <c r="A828" t="s">
        <v>2053</v>
      </c>
      <c r="B828">
        <v>239.97</v>
      </c>
      <c r="C828">
        <v>3</v>
      </c>
      <c r="D828">
        <v>0</v>
      </c>
      <c r="E828">
        <v>71.991</v>
      </c>
    </row>
    <row r="829" spans="1:5" x14ac:dyDescent="0.3">
      <c r="A829" t="s">
        <v>1888</v>
      </c>
      <c r="B829">
        <v>9.82</v>
      </c>
      <c r="C829">
        <v>2</v>
      </c>
      <c r="D829">
        <v>0</v>
      </c>
      <c r="E829">
        <v>4.8117999999999999</v>
      </c>
    </row>
    <row r="830" spans="1:5" x14ac:dyDescent="0.3">
      <c r="A830" t="s">
        <v>2057</v>
      </c>
      <c r="B830">
        <v>67.8</v>
      </c>
      <c r="C830">
        <v>4</v>
      </c>
      <c r="D830">
        <v>0</v>
      </c>
      <c r="E830">
        <v>4.0679999999999996</v>
      </c>
    </row>
    <row r="831" spans="1:5" x14ac:dyDescent="0.3">
      <c r="A831" t="s">
        <v>652</v>
      </c>
      <c r="B831">
        <v>167.97</v>
      </c>
      <c r="C831">
        <v>3</v>
      </c>
      <c r="D831">
        <v>0</v>
      </c>
      <c r="E831">
        <v>40.312800000000003</v>
      </c>
    </row>
    <row r="832" spans="1:5" x14ac:dyDescent="0.3">
      <c r="A832" t="s">
        <v>2060</v>
      </c>
      <c r="B832">
        <v>35</v>
      </c>
      <c r="C832">
        <v>7</v>
      </c>
      <c r="D832">
        <v>0</v>
      </c>
      <c r="E832">
        <v>16.8</v>
      </c>
    </row>
    <row r="833" spans="1:5" x14ac:dyDescent="0.3">
      <c r="A833" t="s">
        <v>2062</v>
      </c>
      <c r="B833">
        <v>37.24</v>
      </c>
      <c r="C833">
        <v>4</v>
      </c>
      <c r="D833">
        <v>0</v>
      </c>
      <c r="E833">
        <v>10.7996</v>
      </c>
    </row>
    <row r="834" spans="1:5" x14ac:dyDescent="0.3">
      <c r="A834" t="s">
        <v>2064</v>
      </c>
      <c r="B834">
        <v>15.28</v>
      </c>
      <c r="C834">
        <v>2</v>
      </c>
      <c r="D834">
        <v>0</v>
      </c>
      <c r="E834">
        <v>7.4871999999999996</v>
      </c>
    </row>
    <row r="835" spans="1:5" x14ac:dyDescent="0.3">
      <c r="A835" t="s">
        <v>2067</v>
      </c>
      <c r="B835">
        <v>301.95999999999998</v>
      </c>
      <c r="C835">
        <v>2</v>
      </c>
      <c r="D835">
        <v>0</v>
      </c>
      <c r="E835">
        <v>90.587999999999994</v>
      </c>
    </row>
    <row r="836" spans="1:5" x14ac:dyDescent="0.3">
      <c r="A836" t="s">
        <v>2069</v>
      </c>
      <c r="B836">
        <v>180.66</v>
      </c>
      <c r="C836">
        <v>3</v>
      </c>
      <c r="D836">
        <v>0</v>
      </c>
      <c r="E836">
        <v>50.584800000000001</v>
      </c>
    </row>
    <row r="837" spans="1:5" x14ac:dyDescent="0.3">
      <c r="A837" t="s">
        <v>2071</v>
      </c>
      <c r="B837">
        <v>191.98</v>
      </c>
      <c r="C837">
        <v>2</v>
      </c>
      <c r="D837">
        <v>0</v>
      </c>
      <c r="E837">
        <v>51.834600000000002</v>
      </c>
    </row>
    <row r="838" spans="1:5" x14ac:dyDescent="0.3">
      <c r="A838" t="s">
        <v>2073</v>
      </c>
      <c r="B838">
        <v>65.989999999999995</v>
      </c>
      <c r="C838">
        <v>1</v>
      </c>
      <c r="D838">
        <v>0</v>
      </c>
      <c r="E838">
        <v>17.157399999999999</v>
      </c>
    </row>
    <row r="839" spans="1:5" x14ac:dyDescent="0.3">
      <c r="A839" t="s">
        <v>2076</v>
      </c>
      <c r="B839">
        <v>35.216000000000001</v>
      </c>
      <c r="C839">
        <v>2</v>
      </c>
      <c r="D839">
        <v>0.2</v>
      </c>
      <c r="E839">
        <v>2.6412</v>
      </c>
    </row>
    <row r="840" spans="1:5" x14ac:dyDescent="0.3">
      <c r="A840" t="s">
        <v>2078</v>
      </c>
      <c r="B840">
        <v>23.696000000000002</v>
      </c>
      <c r="C840">
        <v>2</v>
      </c>
      <c r="D840">
        <v>0.2</v>
      </c>
      <c r="E840">
        <v>6.5164</v>
      </c>
    </row>
    <row r="841" spans="1:5" x14ac:dyDescent="0.3">
      <c r="A841" t="s">
        <v>2080</v>
      </c>
      <c r="B841">
        <v>265.47500000000002</v>
      </c>
      <c r="C841">
        <v>1</v>
      </c>
      <c r="D841">
        <v>0.5</v>
      </c>
      <c r="E841">
        <v>-111.4995</v>
      </c>
    </row>
    <row r="842" spans="1:5" x14ac:dyDescent="0.3">
      <c r="A842" t="s">
        <v>2083</v>
      </c>
      <c r="B842">
        <v>51.183999999999997</v>
      </c>
      <c r="C842">
        <v>4</v>
      </c>
      <c r="D842">
        <v>0.8</v>
      </c>
      <c r="E842">
        <v>-79.3352</v>
      </c>
    </row>
    <row r="843" spans="1:5" x14ac:dyDescent="0.3">
      <c r="A843" t="s">
        <v>2087</v>
      </c>
      <c r="B843">
        <v>9.6639999999999997</v>
      </c>
      <c r="C843">
        <v>2</v>
      </c>
      <c r="D843">
        <v>0.2</v>
      </c>
      <c r="E843">
        <v>3.2616000000000001</v>
      </c>
    </row>
    <row r="844" spans="1:5" x14ac:dyDescent="0.3">
      <c r="A844" t="s">
        <v>1238</v>
      </c>
      <c r="B844">
        <v>21.071999999999999</v>
      </c>
      <c r="C844">
        <v>3</v>
      </c>
      <c r="D844">
        <v>0.2</v>
      </c>
      <c r="E844">
        <v>1.5804</v>
      </c>
    </row>
    <row r="845" spans="1:5" x14ac:dyDescent="0.3">
      <c r="A845" t="s">
        <v>1954</v>
      </c>
      <c r="B845">
        <v>60.45</v>
      </c>
      <c r="C845">
        <v>3</v>
      </c>
      <c r="D845">
        <v>0</v>
      </c>
      <c r="E845">
        <v>16.3215</v>
      </c>
    </row>
    <row r="846" spans="1:5" x14ac:dyDescent="0.3">
      <c r="A846" t="s">
        <v>2092</v>
      </c>
      <c r="B846">
        <v>11.52</v>
      </c>
      <c r="C846">
        <v>4</v>
      </c>
      <c r="D846">
        <v>0</v>
      </c>
      <c r="E846">
        <v>3.3408000000000002</v>
      </c>
    </row>
    <row r="847" spans="1:5" x14ac:dyDescent="0.3">
      <c r="A847" t="s">
        <v>2094</v>
      </c>
      <c r="B847">
        <v>186.048</v>
      </c>
      <c r="C847">
        <v>4</v>
      </c>
      <c r="D847">
        <v>0.2</v>
      </c>
      <c r="E847">
        <v>9.3024000000000004</v>
      </c>
    </row>
    <row r="848" spans="1:5" x14ac:dyDescent="0.3">
      <c r="A848" t="s">
        <v>2098</v>
      </c>
      <c r="B848">
        <v>37.44</v>
      </c>
      <c r="C848">
        <v>4</v>
      </c>
      <c r="D848">
        <v>0.2</v>
      </c>
      <c r="E848">
        <v>11.7</v>
      </c>
    </row>
    <row r="849" spans="1:5" x14ac:dyDescent="0.3">
      <c r="A849" t="s">
        <v>2100</v>
      </c>
      <c r="B849">
        <v>26.975999999999999</v>
      </c>
      <c r="C849">
        <v>4</v>
      </c>
      <c r="D849">
        <v>0.2</v>
      </c>
      <c r="E849">
        <v>8.7672000000000008</v>
      </c>
    </row>
    <row r="850" spans="1:5" x14ac:dyDescent="0.3">
      <c r="A850" t="s">
        <v>2102</v>
      </c>
      <c r="B850">
        <v>11.36</v>
      </c>
      <c r="C850">
        <v>2</v>
      </c>
      <c r="D850">
        <v>0</v>
      </c>
      <c r="E850">
        <v>3.2944</v>
      </c>
    </row>
    <row r="851" spans="1:5" x14ac:dyDescent="0.3">
      <c r="A851" t="s">
        <v>2104</v>
      </c>
      <c r="B851">
        <v>14.62</v>
      </c>
      <c r="C851">
        <v>2</v>
      </c>
      <c r="D851">
        <v>0</v>
      </c>
      <c r="E851">
        <v>6.8714000000000004</v>
      </c>
    </row>
    <row r="852" spans="1:5" x14ac:dyDescent="0.3">
      <c r="A852" t="s">
        <v>585</v>
      </c>
      <c r="B852">
        <v>83.72</v>
      </c>
      <c r="C852">
        <v>7</v>
      </c>
      <c r="D852">
        <v>0</v>
      </c>
      <c r="E852">
        <v>23.441600000000001</v>
      </c>
    </row>
    <row r="853" spans="1:5" x14ac:dyDescent="0.3">
      <c r="A853" t="s">
        <v>842</v>
      </c>
      <c r="B853">
        <v>287.94</v>
      </c>
      <c r="C853">
        <v>3</v>
      </c>
      <c r="D853">
        <v>0</v>
      </c>
      <c r="E853">
        <v>77.743799999999993</v>
      </c>
    </row>
    <row r="854" spans="1:5" x14ac:dyDescent="0.3">
      <c r="A854" t="s">
        <v>2110</v>
      </c>
      <c r="B854">
        <v>48.896000000000001</v>
      </c>
      <c r="C854">
        <v>4</v>
      </c>
      <c r="D854">
        <v>0.2</v>
      </c>
      <c r="E854">
        <v>8.5568000000000008</v>
      </c>
    </row>
    <row r="855" spans="1:5" x14ac:dyDescent="0.3">
      <c r="A855" t="s">
        <v>2114</v>
      </c>
      <c r="B855">
        <v>115.36</v>
      </c>
      <c r="C855">
        <v>7</v>
      </c>
      <c r="D855">
        <v>0</v>
      </c>
      <c r="E855">
        <v>49.604799999999997</v>
      </c>
    </row>
    <row r="856" spans="1:5" x14ac:dyDescent="0.3">
      <c r="A856" t="s">
        <v>2118</v>
      </c>
      <c r="B856">
        <v>5.16</v>
      </c>
      <c r="C856">
        <v>2</v>
      </c>
      <c r="D856">
        <v>0</v>
      </c>
      <c r="E856">
        <v>1.3415999999999999</v>
      </c>
    </row>
    <row r="857" spans="1:5" x14ac:dyDescent="0.3">
      <c r="A857" t="s">
        <v>2120</v>
      </c>
      <c r="B857">
        <v>38.880000000000003</v>
      </c>
      <c r="C857">
        <v>6</v>
      </c>
      <c r="D857">
        <v>0</v>
      </c>
      <c r="E857">
        <v>18.662400000000002</v>
      </c>
    </row>
    <row r="858" spans="1:5" x14ac:dyDescent="0.3">
      <c r="A858" t="s">
        <v>903</v>
      </c>
      <c r="B858">
        <v>185.88</v>
      </c>
      <c r="C858">
        <v>6</v>
      </c>
      <c r="D858">
        <v>0</v>
      </c>
      <c r="E858">
        <v>50.187600000000003</v>
      </c>
    </row>
    <row r="859" spans="1:5" x14ac:dyDescent="0.3">
      <c r="A859" t="s">
        <v>2007</v>
      </c>
      <c r="B859">
        <v>44.46</v>
      </c>
      <c r="C859">
        <v>2</v>
      </c>
      <c r="D859">
        <v>0</v>
      </c>
      <c r="E859">
        <v>14.671799999999999</v>
      </c>
    </row>
    <row r="860" spans="1:5" x14ac:dyDescent="0.3">
      <c r="A860" t="s">
        <v>1406</v>
      </c>
      <c r="B860">
        <v>242.94</v>
      </c>
      <c r="C860">
        <v>3</v>
      </c>
      <c r="D860">
        <v>0</v>
      </c>
      <c r="E860">
        <v>9.7175999999999991</v>
      </c>
    </row>
    <row r="861" spans="1:5" x14ac:dyDescent="0.3">
      <c r="A861" t="s">
        <v>2126</v>
      </c>
      <c r="B861">
        <v>39.96</v>
      </c>
      <c r="C861">
        <v>2</v>
      </c>
      <c r="D861">
        <v>0</v>
      </c>
      <c r="E861">
        <v>18.781199999999998</v>
      </c>
    </row>
    <row r="862" spans="1:5" x14ac:dyDescent="0.3">
      <c r="A862" t="s">
        <v>2128</v>
      </c>
      <c r="B862">
        <v>102.3</v>
      </c>
      <c r="C862">
        <v>10</v>
      </c>
      <c r="D862">
        <v>0</v>
      </c>
      <c r="E862">
        <v>26.597999999999999</v>
      </c>
    </row>
    <row r="863" spans="1:5" x14ac:dyDescent="0.3">
      <c r="A863" t="s">
        <v>2130</v>
      </c>
      <c r="B863">
        <v>21.36</v>
      </c>
      <c r="C863">
        <v>2</v>
      </c>
      <c r="D863">
        <v>0</v>
      </c>
      <c r="E863">
        <v>5.7671999999999999</v>
      </c>
    </row>
    <row r="864" spans="1:5" x14ac:dyDescent="0.3">
      <c r="A864" t="s">
        <v>729</v>
      </c>
      <c r="B864">
        <v>7.61</v>
      </c>
      <c r="C864">
        <v>1</v>
      </c>
      <c r="D864">
        <v>0</v>
      </c>
      <c r="E864">
        <v>3.5767000000000002</v>
      </c>
    </row>
    <row r="865" spans="1:5" x14ac:dyDescent="0.3">
      <c r="A865" t="s">
        <v>915</v>
      </c>
      <c r="B865">
        <v>7.16</v>
      </c>
      <c r="C865">
        <v>2</v>
      </c>
      <c r="D865">
        <v>0</v>
      </c>
      <c r="E865">
        <v>3.58</v>
      </c>
    </row>
    <row r="866" spans="1:5" x14ac:dyDescent="0.3">
      <c r="A866" t="s">
        <v>1015</v>
      </c>
      <c r="B866">
        <v>7.36</v>
      </c>
      <c r="C866">
        <v>2</v>
      </c>
      <c r="D866">
        <v>0</v>
      </c>
      <c r="E866">
        <v>0.1472</v>
      </c>
    </row>
    <row r="867" spans="1:5" x14ac:dyDescent="0.3">
      <c r="A867" t="s">
        <v>2136</v>
      </c>
      <c r="B867">
        <v>23.1</v>
      </c>
      <c r="C867">
        <v>2</v>
      </c>
      <c r="D867">
        <v>0</v>
      </c>
      <c r="E867">
        <v>10.625999999999999</v>
      </c>
    </row>
    <row r="868" spans="1:5" x14ac:dyDescent="0.3">
      <c r="A868" t="s">
        <v>2139</v>
      </c>
      <c r="B868">
        <v>191.47200000000001</v>
      </c>
      <c r="C868">
        <v>6</v>
      </c>
      <c r="D868">
        <v>0.2</v>
      </c>
      <c r="E868">
        <v>40.687800000000003</v>
      </c>
    </row>
    <row r="869" spans="1:5" x14ac:dyDescent="0.3">
      <c r="A869" t="s">
        <v>2141</v>
      </c>
      <c r="B869">
        <v>5.2480000000000002</v>
      </c>
      <c r="C869">
        <v>2</v>
      </c>
      <c r="D869">
        <v>0.2</v>
      </c>
      <c r="E869">
        <v>0.59040000000000004</v>
      </c>
    </row>
    <row r="870" spans="1:5" x14ac:dyDescent="0.3">
      <c r="A870" t="s">
        <v>2143</v>
      </c>
      <c r="B870">
        <v>59.183999999999997</v>
      </c>
      <c r="C870">
        <v>2</v>
      </c>
      <c r="D870">
        <v>0.2</v>
      </c>
      <c r="E870">
        <v>5.1786000000000003</v>
      </c>
    </row>
    <row r="871" spans="1:5" x14ac:dyDescent="0.3">
      <c r="A871" t="s">
        <v>2147</v>
      </c>
      <c r="B871">
        <v>2.89</v>
      </c>
      <c r="C871">
        <v>1</v>
      </c>
      <c r="D871">
        <v>0</v>
      </c>
      <c r="E871">
        <v>1.3583000000000001</v>
      </c>
    </row>
    <row r="872" spans="1:5" x14ac:dyDescent="0.3">
      <c r="A872" t="s">
        <v>2149</v>
      </c>
      <c r="B872">
        <v>51.94</v>
      </c>
      <c r="C872">
        <v>1</v>
      </c>
      <c r="D872">
        <v>0</v>
      </c>
      <c r="E872">
        <v>21.295400000000001</v>
      </c>
    </row>
    <row r="873" spans="1:5" x14ac:dyDescent="0.3">
      <c r="A873" t="s">
        <v>2153</v>
      </c>
      <c r="B873">
        <v>15.936</v>
      </c>
      <c r="C873">
        <v>4</v>
      </c>
      <c r="D873">
        <v>0.2</v>
      </c>
      <c r="E873">
        <v>5.1791999999999998</v>
      </c>
    </row>
    <row r="874" spans="1:5" x14ac:dyDescent="0.3">
      <c r="A874" t="s">
        <v>2157</v>
      </c>
      <c r="B874">
        <v>44.91</v>
      </c>
      <c r="C874">
        <v>6</v>
      </c>
      <c r="D874">
        <v>0.7</v>
      </c>
      <c r="E874">
        <v>-35.927999999999997</v>
      </c>
    </row>
    <row r="875" spans="1:5" x14ac:dyDescent="0.3">
      <c r="A875" t="s">
        <v>2161</v>
      </c>
      <c r="B875">
        <v>1141.47</v>
      </c>
      <c r="C875">
        <v>5</v>
      </c>
      <c r="D875">
        <v>0.7</v>
      </c>
      <c r="E875">
        <v>-760.98</v>
      </c>
    </row>
    <row r="876" spans="1:5" x14ac:dyDescent="0.3">
      <c r="A876" t="s">
        <v>1526</v>
      </c>
      <c r="B876">
        <v>280.78199999999998</v>
      </c>
      <c r="C876">
        <v>3</v>
      </c>
      <c r="D876">
        <v>0.4</v>
      </c>
      <c r="E876">
        <v>-46.796999999999997</v>
      </c>
    </row>
    <row r="877" spans="1:5" x14ac:dyDescent="0.3">
      <c r="A877" t="s">
        <v>2164</v>
      </c>
      <c r="B877">
        <v>34.44</v>
      </c>
      <c r="C877">
        <v>3</v>
      </c>
      <c r="D877">
        <v>0</v>
      </c>
      <c r="E877">
        <v>17.22</v>
      </c>
    </row>
    <row r="878" spans="1:5" x14ac:dyDescent="0.3">
      <c r="A878" t="s">
        <v>801</v>
      </c>
      <c r="B878">
        <v>11.36</v>
      </c>
      <c r="C878">
        <v>2</v>
      </c>
      <c r="D878">
        <v>0</v>
      </c>
      <c r="E878">
        <v>5.2256</v>
      </c>
    </row>
    <row r="879" spans="1:5" x14ac:dyDescent="0.3">
      <c r="A879" t="s">
        <v>1266</v>
      </c>
      <c r="B879">
        <v>106.34399999999999</v>
      </c>
      <c r="C879">
        <v>7</v>
      </c>
      <c r="D879">
        <v>0.2</v>
      </c>
      <c r="E879">
        <v>37.220399999999998</v>
      </c>
    </row>
    <row r="880" spans="1:5" x14ac:dyDescent="0.3">
      <c r="A880" t="s">
        <v>2169</v>
      </c>
      <c r="B880">
        <v>192.16</v>
      </c>
      <c r="C880">
        <v>5</v>
      </c>
      <c r="D880">
        <v>0.2</v>
      </c>
      <c r="E880">
        <v>67.256</v>
      </c>
    </row>
    <row r="881" spans="1:5" x14ac:dyDescent="0.3">
      <c r="A881" t="s">
        <v>693</v>
      </c>
      <c r="B881">
        <v>322.58999999999997</v>
      </c>
      <c r="C881">
        <v>3</v>
      </c>
      <c r="D881">
        <v>0</v>
      </c>
      <c r="E881">
        <v>64.518000000000001</v>
      </c>
    </row>
    <row r="882" spans="1:5" x14ac:dyDescent="0.3">
      <c r="A882" t="s">
        <v>785</v>
      </c>
      <c r="B882">
        <v>29.99</v>
      </c>
      <c r="C882">
        <v>1</v>
      </c>
      <c r="D882">
        <v>0</v>
      </c>
      <c r="E882">
        <v>13.195600000000001</v>
      </c>
    </row>
    <row r="883" spans="1:5" x14ac:dyDescent="0.3">
      <c r="A883" t="s">
        <v>2172</v>
      </c>
      <c r="B883">
        <v>371.97</v>
      </c>
      <c r="C883">
        <v>3</v>
      </c>
      <c r="D883">
        <v>0</v>
      </c>
      <c r="E883">
        <v>66.954599999999999</v>
      </c>
    </row>
    <row r="884" spans="1:5" x14ac:dyDescent="0.3">
      <c r="A884" t="s">
        <v>2176</v>
      </c>
      <c r="B884">
        <v>5.8920000000000003</v>
      </c>
      <c r="C884">
        <v>4</v>
      </c>
      <c r="D884">
        <v>0.7</v>
      </c>
      <c r="E884">
        <v>-4.1243999999999996</v>
      </c>
    </row>
    <row r="885" spans="1:5" x14ac:dyDescent="0.3">
      <c r="A885" t="s">
        <v>2179</v>
      </c>
      <c r="B885">
        <v>68.471999999999994</v>
      </c>
      <c r="C885">
        <v>3</v>
      </c>
      <c r="D885">
        <v>0.2</v>
      </c>
      <c r="E885">
        <v>23.109300000000001</v>
      </c>
    </row>
    <row r="886" spans="1:5" x14ac:dyDescent="0.3">
      <c r="A886" t="s">
        <v>520</v>
      </c>
      <c r="B886">
        <v>1242.9000000000001</v>
      </c>
      <c r="C886">
        <v>5</v>
      </c>
      <c r="D886">
        <v>0.1</v>
      </c>
      <c r="E886">
        <v>262.39</v>
      </c>
    </row>
    <row r="887" spans="1:5" x14ac:dyDescent="0.3">
      <c r="A887" t="s">
        <v>1292</v>
      </c>
      <c r="B887">
        <v>30.84</v>
      </c>
      <c r="C887">
        <v>2</v>
      </c>
      <c r="D887">
        <v>0</v>
      </c>
      <c r="E887">
        <v>8.3268000000000004</v>
      </c>
    </row>
    <row r="888" spans="1:5" x14ac:dyDescent="0.3">
      <c r="A888" t="s">
        <v>1800</v>
      </c>
      <c r="B888">
        <v>13.48</v>
      </c>
      <c r="C888">
        <v>4</v>
      </c>
      <c r="D888">
        <v>0</v>
      </c>
      <c r="E888">
        <v>5.9311999999999996</v>
      </c>
    </row>
    <row r="889" spans="1:5" x14ac:dyDescent="0.3">
      <c r="A889" t="s">
        <v>1683</v>
      </c>
      <c r="B889">
        <v>31.4</v>
      </c>
      <c r="C889">
        <v>5</v>
      </c>
      <c r="D889">
        <v>0</v>
      </c>
      <c r="E889">
        <v>10.048</v>
      </c>
    </row>
    <row r="890" spans="1:5" x14ac:dyDescent="0.3">
      <c r="A890" t="s">
        <v>2187</v>
      </c>
      <c r="B890">
        <v>17.46</v>
      </c>
      <c r="C890">
        <v>2</v>
      </c>
      <c r="D890">
        <v>0</v>
      </c>
      <c r="E890">
        <v>5.9363999999999999</v>
      </c>
    </row>
    <row r="891" spans="1:5" x14ac:dyDescent="0.3">
      <c r="A891" t="s">
        <v>2191</v>
      </c>
      <c r="B891">
        <v>13.944000000000001</v>
      </c>
      <c r="C891">
        <v>3</v>
      </c>
      <c r="D891">
        <v>0.2</v>
      </c>
      <c r="E891">
        <v>4.5317999999999996</v>
      </c>
    </row>
    <row r="892" spans="1:5" x14ac:dyDescent="0.3">
      <c r="A892" t="s">
        <v>2194</v>
      </c>
      <c r="B892">
        <v>83.76</v>
      </c>
      <c r="C892">
        <v>12</v>
      </c>
      <c r="D892">
        <v>0</v>
      </c>
      <c r="E892">
        <v>1.6752</v>
      </c>
    </row>
    <row r="893" spans="1:5" x14ac:dyDescent="0.3">
      <c r="A893" t="s">
        <v>222</v>
      </c>
      <c r="B893">
        <v>37.659999999999997</v>
      </c>
      <c r="C893">
        <v>7</v>
      </c>
      <c r="D893">
        <v>0</v>
      </c>
      <c r="E893">
        <v>18.453399999999998</v>
      </c>
    </row>
    <row r="894" spans="1:5" x14ac:dyDescent="0.3">
      <c r="A894" t="s">
        <v>1151</v>
      </c>
      <c r="B894">
        <v>34.68</v>
      </c>
      <c r="C894">
        <v>6</v>
      </c>
      <c r="D894">
        <v>0</v>
      </c>
      <c r="E894">
        <v>16.993200000000002</v>
      </c>
    </row>
    <row r="895" spans="1:5" x14ac:dyDescent="0.3">
      <c r="A895" t="s">
        <v>2200</v>
      </c>
      <c r="B895">
        <v>149.94999999999999</v>
      </c>
      <c r="C895">
        <v>5</v>
      </c>
      <c r="D895">
        <v>0</v>
      </c>
      <c r="E895">
        <v>14.994999999999999</v>
      </c>
    </row>
    <row r="896" spans="1:5" x14ac:dyDescent="0.3">
      <c r="A896" t="s">
        <v>1260</v>
      </c>
      <c r="B896">
        <v>51.311999999999998</v>
      </c>
      <c r="C896">
        <v>3</v>
      </c>
      <c r="D896">
        <v>0.2</v>
      </c>
      <c r="E896">
        <v>18.6006</v>
      </c>
    </row>
    <row r="897" spans="1:5" x14ac:dyDescent="0.3">
      <c r="A897" t="s">
        <v>2203</v>
      </c>
      <c r="B897">
        <v>4.54</v>
      </c>
      <c r="C897">
        <v>1</v>
      </c>
      <c r="D897">
        <v>0</v>
      </c>
      <c r="E897">
        <v>2.0430000000000001</v>
      </c>
    </row>
    <row r="898" spans="1:5" x14ac:dyDescent="0.3">
      <c r="A898" t="s">
        <v>2205</v>
      </c>
      <c r="B898">
        <v>15.92</v>
      </c>
      <c r="C898">
        <v>4</v>
      </c>
      <c r="D898">
        <v>0</v>
      </c>
      <c r="E898">
        <v>5.4127999999999998</v>
      </c>
    </row>
    <row r="899" spans="1:5" x14ac:dyDescent="0.3">
      <c r="A899" t="s">
        <v>2207</v>
      </c>
      <c r="B899">
        <v>543.91999999999996</v>
      </c>
      <c r="C899">
        <v>8</v>
      </c>
      <c r="D899">
        <v>0</v>
      </c>
      <c r="E899">
        <v>135.97999999999999</v>
      </c>
    </row>
    <row r="900" spans="1:5" x14ac:dyDescent="0.3">
      <c r="A900" t="s">
        <v>1023</v>
      </c>
      <c r="B900">
        <v>155.82</v>
      </c>
      <c r="C900">
        <v>7</v>
      </c>
      <c r="D900">
        <v>0</v>
      </c>
      <c r="E900">
        <v>42.071399999999997</v>
      </c>
    </row>
    <row r="901" spans="1:5" x14ac:dyDescent="0.3">
      <c r="A901" t="s">
        <v>2211</v>
      </c>
      <c r="B901">
        <v>70.007999999999996</v>
      </c>
      <c r="C901">
        <v>3</v>
      </c>
      <c r="D901">
        <v>0.2</v>
      </c>
      <c r="E901">
        <v>24.502800000000001</v>
      </c>
    </row>
    <row r="902" spans="1:5" x14ac:dyDescent="0.3">
      <c r="A902" t="s">
        <v>505</v>
      </c>
      <c r="B902">
        <v>15.648</v>
      </c>
      <c r="C902">
        <v>2</v>
      </c>
      <c r="D902">
        <v>0.2</v>
      </c>
      <c r="E902">
        <v>5.0856000000000003</v>
      </c>
    </row>
    <row r="903" spans="1:5" x14ac:dyDescent="0.3">
      <c r="A903" t="s">
        <v>1319</v>
      </c>
      <c r="B903">
        <v>103.6</v>
      </c>
      <c r="C903">
        <v>7</v>
      </c>
      <c r="D903">
        <v>0</v>
      </c>
      <c r="E903">
        <v>51.8</v>
      </c>
    </row>
    <row r="904" spans="1:5" x14ac:dyDescent="0.3">
      <c r="A904" t="s">
        <v>2220</v>
      </c>
      <c r="B904">
        <v>46.96</v>
      </c>
      <c r="C904">
        <v>8</v>
      </c>
      <c r="D904">
        <v>0</v>
      </c>
      <c r="E904">
        <v>22.540800000000001</v>
      </c>
    </row>
    <row r="905" spans="1:5" x14ac:dyDescent="0.3">
      <c r="A905" t="s">
        <v>2224</v>
      </c>
      <c r="B905">
        <v>8.9039999999999999</v>
      </c>
      <c r="C905">
        <v>2</v>
      </c>
      <c r="D905">
        <v>0.7</v>
      </c>
      <c r="E905">
        <v>-6.5296000000000003</v>
      </c>
    </row>
    <row r="906" spans="1:5" x14ac:dyDescent="0.3">
      <c r="A906" t="s">
        <v>2227</v>
      </c>
      <c r="B906">
        <v>10.44</v>
      </c>
      <c r="C906">
        <v>5</v>
      </c>
      <c r="D906">
        <v>0.2</v>
      </c>
      <c r="E906">
        <v>3.3929999999999998</v>
      </c>
    </row>
    <row r="907" spans="1:5" x14ac:dyDescent="0.3">
      <c r="A907" t="s">
        <v>2229</v>
      </c>
      <c r="B907">
        <v>18.335999999999999</v>
      </c>
      <c r="C907">
        <v>4</v>
      </c>
      <c r="D907">
        <v>0.8</v>
      </c>
      <c r="E907">
        <v>-32.088000000000001</v>
      </c>
    </row>
    <row r="908" spans="1:5" x14ac:dyDescent="0.3">
      <c r="A908" t="s">
        <v>493</v>
      </c>
      <c r="B908">
        <v>323.976</v>
      </c>
      <c r="C908">
        <v>3</v>
      </c>
      <c r="D908">
        <v>0.2</v>
      </c>
      <c r="E908">
        <v>20.2485</v>
      </c>
    </row>
    <row r="909" spans="1:5" x14ac:dyDescent="0.3">
      <c r="A909" t="s">
        <v>2233</v>
      </c>
      <c r="B909">
        <v>20.04</v>
      </c>
      <c r="C909">
        <v>3</v>
      </c>
      <c r="D909">
        <v>0</v>
      </c>
      <c r="E909">
        <v>9.6191999999999993</v>
      </c>
    </row>
    <row r="910" spans="1:5" x14ac:dyDescent="0.3">
      <c r="A910" t="s">
        <v>1768</v>
      </c>
      <c r="B910">
        <v>64.959999999999994</v>
      </c>
      <c r="C910">
        <v>2</v>
      </c>
      <c r="D910">
        <v>0</v>
      </c>
      <c r="E910">
        <v>2.5983999999999998</v>
      </c>
    </row>
    <row r="911" spans="1:5" x14ac:dyDescent="0.3">
      <c r="A911" t="s">
        <v>2235</v>
      </c>
      <c r="B911">
        <v>12.96</v>
      </c>
      <c r="C911">
        <v>2</v>
      </c>
      <c r="D911">
        <v>0</v>
      </c>
      <c r="E911">
        <v>6.2207999999999997</v>
      </c>
    </row>
    <row r="912" spans="1:5" x14ac:dyDescent="0.3">
      <c r="A912" t="s">
        <v>2238</v>
      </c>
      <c r="B912">
        <v>323.13600000000002</v>
      </c>
      <c r="C912">
        <v>4</v>
      </c>
      <c r="D912">
        <v>0.2</v>
      </c>
      <c r="E912">
        <v>12.117599999999999</v>
      </c>
    </row>
    <row r="913" spans="1:5" x14ac:dyDescent="0.3">
      <c r="A913" t="s">
        <v>2240</v>
      </c>
      <c r="B913">
        <v>90.93</v>
      </c>
      <c r="C913">
        <v>7</v>
      </c>
      <c r="D913">
        <v>0</v>
      </c>
      <c r="E913">
        <v>2.7279</v>
      </c>
    </row>
    <row r="914" spans="1:5" x14ac:dyDescent="0.3">
      <c r="A914" t="s">
        <v>2242</v>
      </c>
      <c r="B914">
        <v>52.776000000000003</v>
      </c>
      <c r="C914">
        <v>3</v>
      </c>
      <c r="D914">
        <v>0.2</v>
      </c>
      <c r="E914">
        <v>19.791</v>
      </c>
    </row>
    <row r="915" spans="1:5" x14ac:dyDescent="0.3">
      <c r="A915" t="s">
        <v>2246</v>
      </c>
      <c r="B915">
        <v>1199.8</v>
      </c>
      <c r="C915">
        <v>4</v>
      </c>
      <c r="D915">
        <v>0</v>
      </c>
      <c r="E915">
        <v>323.94600000000003</v>
      </c>
    </row>
    <row r="916" spans="1:5" x14ac:dyDescent="0.3">
      <c r="A916" t="s">
        <v>2248</v>
      </c>
      <c r="B916">
        <v>1928.78</v>
      </c>
      <c r="C916">
        <v>7</v>
      </c>
      <c r="D916">
        <v>0</v>
      </c>
      <c r="E916">
        <v>829.37540000000001</v>
      </c>
    </row>
    <row r="917" spans="1:5" x14ac:dyDescent="0.3">
      <c r="A917" t="s">
        <v>2250</v>
      </c>
      <c r="B917">
        <v>352.38</v>
      </c>
      <c r="C917">
        <v>2</v>
      </c>
      <c r="D917">
        <v>0</v>
      </c>
      <c r="E917">
        <v>81.047399999999996</v>
      </c>
    </row>
    <row r="918" spans="1:5" x14ac:dyDescent="0.3">
      <c r="A918" t="s">
        <v>1069</v>
      </c>
      <c r="B918">
        <v>22.2</v>
      </c>
      <c r="C918">
        <v>6</v>
      </c>
      <c r="D918">
        <v>0</v>
      </c>
      <c r="E918">
        <v>9.1020000000000003</v>
      </c>
    </row>
    <row r="919" spans="1:5" x14ac:dyDescent="0.3">
      <c r="A919" t="s">
        <v>840</v>
      </c>
      <c r="B919">
        <v>46.94</v>
      </c>
      <c r="C919">
        <v>1</v>
      </c>
      <c r="D919">
        <v>0</v>
      </c>
      <c r="E919">
        <v>19.2454</v>
      </c>
    </row>
    <row r="920" spans="1:5" x14ac:dyDescent="0.3">
      <c r="A920" t="s">
        <v>1245</v>
      </c>
      <c r="B920">
        <v>143.72999999999999</v>
      </c>
      <c r="C920">
        <v>9</v>
      </c>
      <c r="D920">
        <v>0</v>
      </c>
      <c r="E920">
        <v>56.054699999999997</v>
      </c>
    </row>
    <row r="921" spans="1:5" x14ac:dyDescent="0.3">
      <c r="A921" t="s">
        <v>2256</v>
      </c>
      <c r="B921">
        <v>99.918000000000006</v>
      </c>
      <c r="C921">
        <v>2</v>
      </c>
      <c r="D921">
        <v>0.3</v>
      </c>
      <c r="E921">
        <v>-18.5562</v>
      </c>
    </row>
    <row r="922" spans="1:5" x14ac:dyDescent="0.3">
      <c r="A922" t="s">
        <v>1421</v>
      </c>
      <c r="B922">
        <v>797.94399999999996</v>
      </c>
      <c r="C922">
        <v>4</v>
      </c>
      <c r="D922">
        <v>0.3</v>
      </c>
      <c r="E922">
        <v>-56.996000000000002</v>
      </c>
    </row>
    <row r="923" spans="1:5" x14ac:dyDescent="0.3">
      <c r="A923" t="s">
        <v>859</v>
      </c>
      <c r="B923">
        <v>8.5679999999999996</v>
      </c>
      <c r="C923">
        <v>3</v>
      </c>
      <c r="D923">
        <v>0.8</v>
      </c>
      <c r="E923">
        <v>-14.5656</v>
      </c>
    </row>
    <row r="924" spans="1:5" x14ac:dyDescent="0.3">
      <c r="A924" t="s">
        <v>1974</v>
      </c>
      <c r="B924">
        <v>149.352</v>
      </c>
      <c r="C924">
        <v>3</v>
      </c>
      <c r="D924">
        <v>0.2</v>
      </c>
      <c r="E924">
        <v>50.406300000000002</v>
      </c>
    </row>
    <row r="925" spans="1:5" x14ac:dyDescent="0.3">
      <c r="A925" t="s">
        <v>2260</v>
      </c>
      <c r="B925">
        <v>12.992000000000001</v>
      </c>
      <c r="C925">
        <v>1</v>
      </c>
      <c r="D925">
        <v>0.2</v>
      </c>
      <c r="E925">
        <v>-0.81200000000000006</v>
      </c>
    </row>
    <row r="926" spans="1:5" x14ac:dyDescent="0.3">
      <c r="A926" t="s">
        <v>1786</v>
      </c>
      <c r="B926">
        <v>24.56</v>
      </c>
      <c r="C926">
        <v>2</v>
      </c>
      <c r="D926">
        <v>0</v>
      </c>
      <c r="E926">
        <v>6.8768000000000002</v>
      </c>
    </row>
    <row r="927" spans="1:5" x14ac:dyDescent="0.3">
      <c r="A927" t="s">
        <v>2265</v>
      </c>
      <c r="B927">
        <v>85.14</v>
      </c>
      <c r="C927">
        <v>3</v>
      </c>
      <c r="D927">
        <v>0</v>
      </c>
      <c r="E927">
        <v>34.907400000000003</v>
      </c>
    </row>
    <row r="928" spans="1:5" x14ac:dyDescent="0.3">
      <c r="A928" t="s">
        <v>2267</v>
      </c>
      <c r="B928">
        <v>21.99</v>
      </c>
      <c r="C928">
        <v>1</v>
      </c>
      <c r="D928">
        <v>0</v>
      </c>
      <c r="E928">
        <v>10.555199999999999</v>
      </c>
    </row>
    <row r="929" spans="1:5" x14ac:dyDescent="0.3">
      <c r="A929" t="s">
        <v>2269</v>
      </c>
      <c r="B929">
        <v>406.6</v>
      </c>
      <c r="C929">
        <v>5</v>
      </c>
      <c r="D929">
        <v>0</v>
      </c>
      <c r="E929">
        <v>113.848</v>
      </c>
    </row>
    <row r="930" spans="1:5" x14ac:dyDescent="0.3">
      <c r="A930" t="s">
        <v>387</v>
      </c>
      <c r="B930">
        <v>841.56799999999998</v>
      </c>
      <c r="C930">
        <v>2</v>
      </c>
      <c r="D930">
        <v>0.2</v>
      </c>
      <c r="E930">
        <v>294.54880000000003</v>
      </c>
    </row>
    <row r="931" spans="1:5" x14ac:dyDescent="0.3">
      <c r="A931" t="s">
        <v>2275</v>
      </c>
      <c r="B931">
        <v>15.552</v>
      </c>
      <c r="C931">
        <v>3</v>
      </c>
      <c r="D931">
        <v>0.2</v>
      </c>
      <c r="E931">
        <v>5.4432</v>
      </c>
    </row>
    <row r="932" spans="1:5" x14ac:dyDescent="0.3">
      <c r="A932" t="s">
        <v>2277</v>
      </c>
      <c r="B932">
        <v>252</v>
      </c>
      <c r="C932">
        <v>5</v>
      </c>
      <c r="D932">
        <v>0.2</v>
      </c>
      <c r="E932">
        <v>53.55</v>
      </c>
    </row>
    <row r="933" spans="1:5" x14ac:dyDescent="0.3">
      <c r="A933" t="s">
        <v>1029</v>
      </c>
      <c r="B933">
        <v>46.2</v>
      </c>
      <c r="C933">
        <v>4</v>
      </c>
      <c r="D933">
        <v>0</v>
      </c>
      <c r="E933">
        <v>12.936</v>
      </c>
    </row>
    <row r="934" spans="1:5" x14ac:dyDescent="0.3">
      <c r="A934" t="s">
        <v>1043</v>
      </c>
      <c r="B934">
        <v>28.84</v>
      </c>
      <c r="C934">
        <v>2</v>
      </c>
      <c r="D934">
        <v>0</v>
      </c>
      <c r="E934">
        <v>9.5172000000000008</v>
      </c>
    </row>
    <row r="935" spans="1:5" x14ac:dyDescent="0.3">
      <c r="A935" t="s">
        <v>1500</v>
      </c>
      <c r="B935">
        <v>14.592000000000001</v>
      </c>
      <c r="C935">
        <v>3</v>
      </c>
      <c r="D935">
        <v>0.2</v>
      </c>
      <c r="E935">
        <v>2.5535999999999999</v>
      </c>
    </row>
    <row r="936" spans="1:5" x14ac:dyDescent="0.3">
      <c r="A936" t="s">
        <v>2282</v>
      </c>
      <c r="B936">
        <v>89.855999999999995</v>
      </c>
      <c r="C936">
        <v>3</v>
      </c>
      <c r="D936">
        <v>0.2</v>
      </c>
      <c r="E936">
        <v>21.340800000000002</v>
      </c>
    </row>
    <row r="937" spans="1:5" x14ac:dyDescent="0.3">
      <c r="A937" t="s">
        <v>1894</v>
      </c>
      <c r="B937">
        <v>13.872</v>
      </c>
      <c r="C937">
        <v>3</v>
      </c>
      <c r="D937">
        <v>0.2</v>
      </c>
      <c r="E937">
        <v>5.0286</v>
      </c>
    </row>
    <row r="938" spans="1:5" x14ac:dyDescent="0.3">
      <c r="A938" t="s">
        <v>2286</v>
      </c>
      <c r="B938">
        <v>12.192</v>
      </c>
      <c r="C938">
        <v>3</v>
      </c>
      <c r="D938">
        <v>0.2</v>
      </c>
      <c r="E938">
        <v>4.1147999999999998</v>
      </c>
    </row>
    <row r="939" spans="1:5" x14ac:dyDescent="0.3">
      <c r="A939" t="s">
        <v>2290</v>
      </c>
      <c r="B939">
        <v>45.055999999999997</v>
      </c>
      <c r="C939">
        <v>8</v>
      </c>
      <c r="D939">
        <v>0.2</v>
      </c>
      <c r="E939">
        <v>15.2064</v>
      </c>
    </row>
    <row r="940" spans="1:5" x14ac:dyDescent="0.3">
      <c r="A940" t="s">
        <v>2292</v>
      </c>
      <c r="B940">
        <v>29.718</v>
      </c>
      <c r="C940">
        <v>6</v>
      </c>
      <c r="D940">
        <v>0.7</v>
      </c>
      <c r="E940">
        <v>-21.793199999999999</v>
      </c>
    </row>
    <row r="941" spans="1:5" x14ac:dyDescent="0.3">
      <c r="A941" t="s">
        <v>2120</v>
      </c>
      <c r="B941">
        <v>15.552</v>
      </c>
      <c r="C941">
        <v>3</v>
      </c>
      <c r="D941">
        <v>0.2</v>
      </c>
      <c r="E941">
        <v>5.4432</v>
      </c>
    </row>
    <row r="942" spans="1:5" x14ac:dyDescent="0.3">
      <c r="A942" t="s">
        <v>453</v>
      </c>
      <c r="B942">
        <v>447.69600000000003</v>
      </c>
      <c r="C942">
        <v>2</v>
      </c>
      <c r="D942">
        <v>0.2</v>
      </c>
      <c r="E942">
        <v>33.577199999999998</v>
      </c>
    </row>
    <row r="943" spans="1:5" x14ac:dyDescent="0.3">
      <c r="A943" t="s">
        <v>1027</v>
      </c>
      <c r="B943">
        <v>159.99</v>
      </c>
      <c r="C943">
        <v>1</v>
      </c>
      <c r="D943">
        <v>0</v>
      </c>
      <c r="E943">
        <v>54.396599999999999</v>
      </c>
    </row>
    <row r="944" spans="1:5" x14ac:dyDescent="0.3">
      <c r="A944" t="s">
        <v>2297</v>
      </c>
      <c r="B944">
        <v>12.96</v>
      </c>
      <c r="C944">
        <v>2</v>
      </c>
      <c r="D944">
        <v>0</v>
      </c>
      <c r="E944">
        <v>6.2207999999999997</v>
      </c>
    </row>
    <row r="945" spans="1:5" x14ac:dyDescent="0.3">
      <c r="A945" t="s">
        <v>2299</v>
      </c>
      <c r="B945">
        <v>134.47999999999999</v>
      </c>
      <c r="C945">
        <v>4</v>
      </c>
      <c r="D945">
        <v>0</v>
      </c>
      <c r="E945">
        <v>34.964799999999997</v>
      </c>
    </row>
    <row r="946" spans="1:5" x14ac:dyDescent="0.3">
      <c r="A946" t="s">
        <v>2303</v>
      </c>
      <c r="B946">
        <v>17.12</v>
      </c>
      <c r="C946">
        <v>2</v>
      </c>
      <c r="D946">
        <v>0</v>
      </c>
      <c r="E946">
        <v>8.0464000000000002</v>
      </c>
    </row>
    <row r="947" spans="1:5" x14ac:dyDescent="0.3">
      <c r="A947" t="s">
        <v>2306</v>
      </c>
      <c r="B947">
        <v>6.0960000000000001</v>
      </c>
      <c r="C947">
        <v>2</v>
      </c>
      <c r="D947">
        <v>0.2</v>
      </c>
      <c r="E947">
        <v>2.2098</v>
      </c>
    </row>
    <row r="948" spans="1:5" x14ac:dyDescent="0.3">
      <c r="A948" t="s">
        <v>41</v>
      </c>
      <c r="B948">
        <v>1114.2719999999999</v>
      </c>
      <c r="C948">
        <v>4</v>
      </c>
      <c r="D948">
        <v>0.2</v>
      </c>
      <c r="E948">
        <v>41.785200000000003</v>
      </c>
    </row>
    <row r="949" spans="1:5" x14ac:dyDescent="0.3">
      <c r="A949" t="s">
        <v>1576</v>
      </c>
      <c r="B949">
        <v>32.4</v>
      </c>
      <c r="C949">
        <v>5</v>
      </c>
      <c r="D949">
        <v>0</v>
      </c>
      <c r="E949">
        <v>15.552</v>
      </c>
    </row>
    <row r="950" spans="1:5" x14ac:dyDescent="0.3">
      <c r="A950" t="s">
        <v>2309</v>
      </c>
      <c r="B950">
        <v>540.57000000000005</v>
      </c>
      <c r="C950">
        <v>3</v>
      </c>
      <c r="D950">
        <v>0</v>
      </c>
      <c r="E950">
        <v>140.54820000000001</v>
      </c>
    </row>
    <row r="951" spans="1:5" x14ac:dyDescent="0.3">
      <c r="A951" t="s">
        <v>2311</v>
      </c>
      <c r="B951">
        <v>167.76</v>
      </c>
      <c r="C951">
        <v>5</v>
      </c>
      <c r="D951">
        <v>0.2</v>
      </c>
      <c r="E951">
        <v>62.91</v>
      </c>
    </row>
    <row r="952" spans="1:5" x14ac:dyDescent="0.3">
      <c r="A952" t="s">
        <v>2314</v>
      </c>
      <c r="B952">
        <v>393.16500000000002</v>
      </c>
      <c r="C952">
        <v>3</v>
      </c>
      <c r="D952">
        <v>0.5</v>
      </c>
      <c r="E952">
        <v>-204.44579999999999</v>
      </c>
    </row>
    <row r="953" spans="1:5" x14ac:dyDescent="0.3">
      <c r="A953" t="s">
        <v>2317</v>
      </c>
      <c r="B953">
        <v>516.48800000000006</v>
      </c>
      <c r="C953">
        <v>7</v>
      </c>
      <c r="D953">
        <v>0.2</v>
      </c>
      <c r="E953">
        <v>-12.9122</v>
      </c>
    </row>
    <row r="954" spans="1:5" x14ac:dyDescent="0.3">
      <c r="A954" t="s">
        <v>705</v>
      </c>
      <c r="B954">
        <v>1007.232</v>
      </c>
      <c r="C954">
        <v>6</v>
      </c>
      <c r="D954">
        <v>0.2</v>
      </c>
      <c r="E954">
        <v>75.542400000000001</v>
      </c>
    </row>
    <row r="955" spans="1:5" x14ac:dyDescent="0.3">
      <c r="A955" t="s">
        <v>2319</v>
      </c>
      <c r="B955">
        <v>2065.3200000000002</v>
      </c>
      <c r="C955">
        <v>12</v>
      </c>
      <c r="D955">
        <v>0.4</v>
      </c>
      <c r="E955">
        <v>-619.596</v>
      </c>
    </row>
    <row r="956" spans="1:5" x14ac:dyDescent="0.3">
      <c r="A956" t="s">
        <v>2321</v>
      </c>
      <c r="B956">
        <v>15.552</v>
      </c>
      <c r="C956">
        <v>3</v>
      </c>
      <c r="D956">
        <v>0.2</v>
      </c>
      <c r="E956">
        <v>5.4432</v>
      </c>
    </row>
    <row r="957" spans="1:5" x14ac:dyDescent="0.3">
      <c r="A957" t="s">
        <v>699</v>
      </c>
      <c r="B957">
        <v>25.344000000000001</v>
      </c>
      <c r="C957">
        <v>6</v>
      </c>
      <c r="D957">
        <v>0.2</v>
      </c>
      <c r="E957">
        <v>7.92</v>
      </c>
    </row>
    <row r="958" spans="1:5" x14ac:dyDescent="0.3">
      <c r="A958" t="s">
        <v>707</v>
      </c>
      <c r="B958">
        <v>25.472000000000001</v>
      </c>
      <c r="C958">
        <v>4</v>
      </c>
      <c r="D958">
        <v>0.2</v>
      </c>
      <c r="E958">
        <v>7.6416000000000004</v>
      </c>
    </row>
    <row r="959" spans="1:5" x14ac:dyDescent="0.3">
      <c r="A959" t="s">
        <v>668</v>
      </c>
      <c r="B959">
        <v>27.167999999999999</v>
      </c>
      <c r="C959">
        <v>2</v>
      </c>
      <c r="D959">
        <v>0.2</v>
      </c>
      <c r="E959">
        <v>2.7168000000000001</v>
      </c>
    </row>
    <row r="960" spans="1:5" x14ac:dyDescent="0.3">
      <c r="A960" t="s">
        <v>836</v>
      </c>
      <c r="B960">
        <v>78.852800000000002</v>
      </c>
      <c r="C960">
        <v>2</v>
      </c>
      <c r="D960">
        <v>0.32</v>
      </c>
      <c r="E960">
        <v>-11.596</v>
      </c>
    </row>
    <row r="961" spans="1:5" x14ac:dyDescent="0.3">
      <c r="A961" t="s">
        <v>206</v>
      </c>
      <c r="B961">
        <v>173.8</v>
      </c>
      <c r="C961">
        <v>5</v>
      </c>
      <c r="D961">
        <v>0</v>
      </c>
      <c r="E961">
        <v>43.45</v>
      </c>
    </row>
    <row r="962" spans="1:5" x14ac:dyDescent="0.3">
      <c r="A962" t="s">
        <v>2143</v>
      </c>
      <c r="B962">
        <v>29.591999999999999</v>
      </c>
      <c r="C962">
        <v>1</v>
      </c>
      <c r="D962">
        <v>0.2</v>
      </c>
      <c r="E962">
        <v>2.5893000000000002</v>
      </c>
    </row>
    <row r="963" spans="1:5" x14ac:dyDescent="0.3">
      <c r="A963" t="s">
        <v>2332</v>
      </c>
      <c r="B963">
        <v>4.7519999999999998</v>
      </c>
      <c r="C963">
        <v>2</v>
      </c>
      <c r="D963">
        <v>0.7</v>
      </c>
      <c r="E963">
        <v>-3.1680000000000001</v>
      </c>
    </row>
    <row r="964" spans="1:5" x14ac:dyDescent="0.3">
      <c r="A964" t="s">
        <v>2334</v>
      </c>
      <c r="B964">
        <v>15.552</v>
      </c>
      <c r="C964">
        <v>3</v>
      </c>
      <c r="D964">
        <v>0.2</v>
      </c>
      <c r="E964">
        <v>5.6375999999999999</v>
      </c>
    </row>
    <row r="965" spans="1:5" x14ac:dyDescent="0.3">
      <c r="A965" t="s">
        <v>2338</v>
      </c>
      <c r="B965">
        <v>204.6</v>
      </c>
      <c r="C965">
        <v>2</v>
      </c>
      <c r="D965">
        <v>0</v>
      </c>
      <c r="E965">
        <v>53.195999999999998</v>
      </c>
    </row>
    <row r="966" spans="1:5" x14ac:dyDescent="0.3">
      <c r="A966" t="s">
        <v>725</v>
      </c>
      <c r="B966">
        <v>321.56799999999998</v>
      </c>
      <c r="C966">
        <v>2</v>
      </c>
      <c r="D966">
        <v>0.2</v>
      </c>
      <c r="E966">
        <v>28.1372</v>
      </c>
    </row>
    <row r="967" spans="1:5" x14ac:dyDescent="0.3">
      <c r="A967" t="s">
        <v>2344</v>
      </c>
      <c r="B967">
        <v>6.24</v>
      </c>
      <c r="C967">
        <v>2</v>
      </c>
      <c r="D967">
        <v>0</v>
      </c>
      <c r="E967">
        <v>3.0575999999999999</v>
      </c>
    </row>
    <row r="968" spans="1:5" x14ac:dyDescent="0.3">
      <c r="A968" t="s">
        <v>1429</v>
      </c>
      <c r="B968">
        <v>21.88</v>
      </c>
      <c r="C968">
        <v>2</v>
      </c>
      <c r="D968">
        <v>0</v>
      </c>
      <c r="E968">
        <v>10.94</v>
      </c>
    </row>
    <row r="969" spans="1:5" x14ac:dyDescent="0.3">
      <c r="A969" t="s">
        <v>2348</v>
      </c>
      <c r="B969">
        <v>4.6079999999999997</v>
      </c>
      <c r="C969">
        <v>2</v>
      </c>
      <c r="D969">
        <v>0.2</v>
      </c>
      <c r="E969">
        <v>1.6704000000000001</v>
      </c>
    </row>
    <row r="970" spans="1:5" x14ac:dyDescent="0.3">
      <c r="A970" t="s">
        <v>2352</v>
      </c>
      <c r="B970">
        <v>9.82</v>
      </c>
      <c r="C970">
        <v>2</v>
      </c>
      <c r="D970">
        <v>0</v>
      </c>
      <c r="E970">
        <v>4.8117999999999999</v>
      </c>
    </row>
    <row r="971" spans="1:5" x14ac:dyDescent="0.3">
      <c r="A971" t="s">
        <v>1144</v>
      </c>
      <c r="B971">
        <v>35.97</v>
      </c>
      <c r="C971">
        <v>3</v>
      </c>
      <c r="D971">
        <v>0</v>
      </c>
      <c r="E971">
        <v>9.7119</v>
      </c>
    </row>
    <row r="972" spans="1:5" x14ac:dyDescent="0.3">
      <c r="A972" t="s">
        <v>2354</v>
      </c>
      <c r="B972">
        <v>12.96</v>
      </c>
      <c r="C972">
        <v>2</v>
      </c>
      <c r="D972">
        <v>0</v>
      </c>
      <c r="E972">
        <v>6.2207999999999997</v>
      </c>
    </row>
    <row r="973" spans="1:5" x14ac:dyDescent="0.3">
      <c r="A973" t="s">
        <v>2356</v>
      </c>
      <c r="B973">
        <v>191.6</v>
      </c>
      <c r="C973">
        <v>4</v>
      </c>
      <c r="D973">
        <v>0</v>
      </c>
      <c r="E973">
        <v>91.968000000000004</v>
      </c>
    </row>
    <row r="974" spans="1:5" x14ac:dyDescent="0.3">
      <c r="A974" t="s">
        <v>2348</v>
      </c>
      <c r="B974">
        <v>8.64</v>
      </c>
      <c r="C974">
        <v>3</v>
      </c>
      <c r="D974">
        <v>0</v>
      </c>
      <c r="E974">
        <v>4.2336</v>
      </c>
    </row>
    <row r="975" spans="1:5" x14ac:dyDescent="0.3">
      <c r="A975" t="s">
        <v>2358</v>
      </c>
      <c r="B975">
        <v>501.81</v>
      </c>
      <c r="C975">
        <v>3</v>
      </c>
      <c r="D975">
        <v>0</v>
      </c>
      <c r="E975">
        <v>0</v>
      </c>
    </row>
    <row r="976" spans="1:5" x14ac:dyDescent="0.3">
      <c r="A976" t="s">
        <v>2361</v>
      </c>
      <c r="B976">
        <v>127.104</v>
      </c>
      <c r="C976">
        <v>6</v>
      </c>
      <c r="D976">
        <v>0.2</v>
      </c>
      <c r="E976">
        <v>28.598400000000002</v>
      </c>
    </row>
    <row r="977" spans="1:5" x14ac:dyDescent="0.3">
      <c r="A977" t="s">
        <v>939</v>
      </c>
      <c r="B977">
        <v>124.2</v>
      </c>
      <c r="C977">
        <v>3</v>
      </c>
      <c r="D977">
        <v>0.4</v>
      </c>
      <c r="E977">
        <v>-31.05</v>
      </c>
    </row>
    <row r="978" spans="1:5" x14ac:dyDescent="0.3">
      <c r="A978" t="s">
        <v>1802</v>
      </c>
      <c r="B978">
        <v>18.588000000000001</v>
      </c>
      <c r="C978">
        <v>2</v>
      </c>
      <c r="D978">
        <v>0.7</v>
      </c>
      <c r="E978">
        <v>-13.6312</v>
      </c>
    </row>
    <row r="979" spans="1:5" x14ac:dyDescent="0.3">
      <c r="A979" t="s">
        <v>933</v>
      </c>
      <c r="B979">
        <v>30.071999999999999</v>
      </c>
      <c r="C979">
        <v>3</v>
      </c>
      <c r="D979">
        <v>0.2</v>
      </c>
      <c r="E979">
        <v>10.1493</v>
      </c>
    </row>
    <row r="980" spans="1:5" x14ac:dyDescent="0.3">
      <c r="A980" t="s">
        <v>1413</v>
      </c>
      <c r="B980">
        <v>160.93</v>
      </c>
      <c r="C980">
        <v>7</v>
      </c>
      <c r="D980">
        <v>0</v>
      </c>
      <c r="E980">
        <v>3.2185999999999999</v>
      </c>
    </row>
    <row r="981" spans="1:5" x14ac:dyDescent="0.3">
      <c r="A981" t="s">
        <v>1091</v>
      </c>
      <c r="B981">
        <v>75.792000000000002</v>
      </c>
      <c r="C981">
        <v>3</v>
      </c>
      <c r="D981">
        <v>0.2</v>
      </c>
      <c r="E981">
        <v>25.579799999999999</v>
      </c>
    </row>
    <row r="982" spans="1:5" x14ac:dyDescent="0.3">
      <c r="A982" t="s">
        <v>2365</v>
      </c>
      <c r="B982">
        <v>1.08</v>
      </c>
      <c r="C982">
        <v>2</v>
      </c>
      <c r="D982">
        <v>0.7</v>
      </c>
      <c r="E982">
        <v>-0.79200000000000004</v>
      </c>
    </row>
    <row r="983" spans="1:5" x14ac:dyDescent="0.3">
      <c r="A983" t="s">
        <v>516</v>
      </c>
      <c r="B983">
        <v>3059.982</v>
      </c>
      <c r="C983">
        <v>2</v>
      </c>
      <c r="D983">
        <v>0.1</v>
      </c>
      <c r="E983">
        <v>679.99599999999998</v>
      </c>
    </row>
    <row r="984" spans="1:5" x14ac:dyDescent="0.3">
      <c r="A984" t="s">
        <v>1606</v>
      </c>
      <c r="B984">
        <v>3.282</v>
      </c>
      <c r="C984">
        <v>2</v>
      </c>
      <c r="D984">
        <v>0.7</v>
      </c>
      <c r="E984">
        <v>-2.6255999999999999</v>
      </c>
    </row>
    <row r="985" spans="1:5" x14ac:dyDescent="0.3">
      <c r="A985" t="s">
        <v>2371</v>
      </c>
      <c r="B985">
        <v>34.020000000000003</v>
      </c>
      <c r="C985">
        <v>3</v>
      </c>
      <c r="D985">
        <v>0</v>
      </c>
      <c r="E985">
        <v>16.669799999999999</v>
      </c>
    </row>
    <row r="986" spans="1:5" x14ac:dyDescent="0.3">
      <c r="A986" t="s">
        <v>1986</v>
      </c>
      <c r="B986">
        <v>599.29200000000003</v>
      </c>
      <c r="C986">
        <v>6</v>
      </c>
      <c r="D986">
        <v>0.1</v>
      </c>
      <c r="E986">
        <v>93.223200000000006</v>
      </c>
    </row>
    <row r="987" spans="1:5" x14ac:dyDescent="0.3">
      <c r="A987" t="s">
        <v>2376</v>
      </c>
      <c r="B987">
        <v>3.3919999999999999</v>
      </c>
      <c r="C987">
        <v>1</v>
      </c>
      <c r="D987">
        <v>0.2</v>
      </c>
      <c r="E987">
        <v>0.80559999999999998</v>
      </c>
    </row>
    <row r="988" spans="1:5" x14ac:dyDescent="0.3">
      <c r="A988" t="s">
        <v>2378</v>
      </c>
      <c r="B988">
        <v>559.98400000000004</v>
      </c>
      <c r="C988">
        <v>2</v>
      </c>
      <c r="D988">
        <v>0.2</v>
      </c>
      <c r="E988">
        <v>55.998399999999997</v>
      </c>
    </row>
    <row r="989" spans="1:5" x14ac:dyDescent="0.3">
      <c r="A989" t="s">
        <v>2067</v>
      </c>
      <c r="B989">
        <v>603.91999999999996</v>
      </c>
      <c r="C989">
        <v>5</v>
      </c>
      <c r="D989">
        <v>0.2</v>
      </c>
      <c r="E989">
        <v>75.489999999999995</v>
      </c>
    </row>
    <row r="990" spans="1:5" x14ac:dyDescent="0.3">
      <c r="A990" t="s">
        <v>1994</v>
      </c>
      <c r="B990">
        <v>7.968</v>
      </c>
      <c r="C990">
        <v>2</v>
      </c>
      <c r="D990">
        <v>0.2</v>
      </c>
      <c r="E990">
        <v>2.5895999999999999</v>
      </c>
    </row>
    <row r="991" spans="1:5" x14ac:dyDescent="0.3">
      <c r="A991" t="s">
        <v>2382</v>
      </c>
      <c r="B991">
        <v>27.968</v>
      </c>
      <c r="C991">
        <v>4</v>
      </c>
      <c r="D991">
        <v>0.2</v>
      </c>
      <c r="E991">
        <v>9.4391999999999996</v>
      </c>
    </row>
    <row r="992" spans="1:5" x14ac:dyDescent="0.3">
      <c r="A992" t="s">
        <v>2384</v>
      </c>
      <c r="B992">
        <v>336.51</v>
      </c>
      <c r="C992">
        <v>3</v>
      </c>
      <c r="D992">
        <v>0.4</v>
      </c>
      <c r="E992">
        <v>44.868000000000002</v>
      </c>
    </row>
    <row r="993" spans="1:5" x14ac:dyDescent="0.3">
      <c r="A993" t="s">
        <v>2388</v>
      </c>
      <c r="B993">
        <v>1.1120000000000001</v>
      </c>
      <c r="C993">
        <v>2</v>
      </c>
      <c r="D993">
        <v>0.8</v>
      </c>
      <c r="E993">
        <v>-1.8904000000000001</v>
      </c>
    </row>
    <row r="994" spans="1:5" x14ac:dyDescent="0.3">
      <c r="A994" t="s">
        <v>1784</v>
      </c>
      <c r="B994">
        <v>520.04999999999995</v>
      </c>
      <c r="C994">
        <v>5</v>
      </c>
      <c r="D994">
        <v>0</v>
      </c>
      <c r="E994">
        <v>72.807000000000002</v>
      </c>
    </row>
    <row r="995" spans="1:5" x14ac:dyDescent="0.3">
      <c r="A995" t="s">
        <v>2391</v>
      </c>
      <c r="B995">
        <v>17.97</v>
      </c>
      <c r="C995">
        <v>3</v>
      </c>
      <c r="D995">
        <v>0</v>
      </c>
      <c r="E995">
        <v>5.2112999999999996</v>
      </c>
    </row>
    <row r="996" spans="1:5" x14ac:dyDescent="0.3">
      <c r="A996" t="s">
        <v>885</v>
      </c>
      <c r="B996">
        <v>1166.92</v>
      </c>
      <c r="C996">
        <v>5</v>
      </c>
      <c r="D996">
        <v>0.2</v>
      </c>
      <c r="E996">
        <v>131.27850000000001</v>
      </c>
    </row>
    <row r="997" spans="1:5" x14ac:dyDescent="0.3">
      <c r="A997" t="s">
        <v>1950</v>
      </c>
      <c r="B997">
        <v>14.624000000000001</v>
      </c>
      <c r="C997">
        <v>2</v>
      </c>
      <c r="D997">
        <v>0.2</v>
      </c>
      <c r="E997">
        <v>5.484</v>
      </c>
    </row>
    <row r="998" spans="1:5" x14ac:dyDescent="0.3">
      <c r="A998" t="s">
        <v>830</v>
      </c>
      <c r="B998">
        <v>10.23</v>
      </c>
      <c r="C998">
        <v>3</v>
      </c>
      <c r="D998">
        <v>0</v>
      </c>
      <c r="E998">
        <v>4.9104000000000001</v>
      </c>
    </row>
    <row r="999" spans="1:5" x14ac:dyDescent="0.3">
      <c r="A999" t="s">
        <v>2397</v>
      </c>
      <c r="B999">
        <v>154.9</v>
      </c>
      <c r="C999">
        <v>5</v>
      </c>
      <c r="D999">
        <v>0</v>
      </c>
      <c r="E999">
        <v>69.704999999999998</v>
      </c>
    </row>
    <row r="1000" spans="1:5" x14ac:dyDescent="0.3">
      <c r="A1000" t="s">
        <v>2401</v>
      </c>
      <c r="B1000">
        <v>2715.93</v>
      </c>
      <c r="C1000">
        <v>7</v>
      </c>
      <c r="D1000">
        <v>0</v>
      </c>
      <c r="E1000">
        <v>1276.4871000000001</v>
      </c>
    </row>
    <row r="1001" spans="1:5" x14ac:dyDescent="0.3">
      <c r="A1001" t="s">
        <v>2402</v>
      </c>
      <c r="B1001">
        <v>617.97</v>
      </c>
      <c r="C1001">
        <v>3</v>
      </c>
      <c r="D1001">
        <v>0</v>
      </c>
      <c r="E1001">
        <v>173.0316</v>
      </c>
    </row>
    <row r="1002" spans="1:5" x14ac:dyDescent="0.3">
      <c r="A1002" t="s">
        <v>2406</v>
      </c>
      <c r="B1002">
        <v>10.67</v>
      </c>
      <c r="C1002">
        <v>1</v>
      </c>
      <c r="D1002">
        <v>0</v>
      </c>
      <c r="E1002">
        <v>4.9081999999999999</v>
      </c>
    </row>
    <row r="1003" spans="1:5" x14ac:dyDescent="0.3">
      <c r="A1003" t="s">
        <v>2408</v>
      </c>
      <c r="B1003">
        <v>36.630000000000003</v>
      </c>
      <c r="C1003">
        <v>3</v>
      </c>
      <c r="D1003">
        <v>0</v>
      </c>
      <c r="E1003">
        <v>9.8901000000000003</v>
      </c>
    </row>
    <row r="1004" spans="1:5" x14ac:dyDescent="0.3">
      <c r="A1004" t="s">
        <v>2410</v>
      </c>
      <c r="B1004">
        <v>24.1</v>
      </c>
      <c r="C1004">
        <v>5</v>
      </c>
      <c r="D1004">
        <v>0</v>
      </c>
      <c r="E1004">
        <v>9.1579999999999995</v>
      </c>
    </row>
    <row r="1005" spans="1:5" x14ac:dyDescent="0.3">
      <c r="A1005" t="s">
        <v>883</v>
      </c>
      <c r="B1005">
        <v>33.11</v>
      </c>
      <c r="C1005">
        <v>7</v>
      </c>
      <c r="D1005">
        <v>0</v>
      </c>
      <c r="E1005">
        <v>12.9129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7FC3FC1-2E62-4A03-88E1-4A191381AD0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Sales data</vt:lpstr>
      <vt:lpstr>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2020-04-16T21:41:12Z</dcterms:created>
  <dcterms:modified xsi:type="dcterms:W3CDTF">2026-05-09T04:07:04Z</dcterms:modified>
  <cp:category/>
  <cp:contentStatus/>
</cp:coreProperties>
</file>