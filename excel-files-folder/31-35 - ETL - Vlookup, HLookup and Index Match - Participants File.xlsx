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3FD5C25C-4D7A-410E-8F75-51D54A8A1CE5}" xr6:coauthVersionLast="47" xr6:coauthVersionMax="47" xr10:uidLastSave="{00000000-0000-0000-0000-000000000000}"/>
  <bookViews>
    <workbookView xWindow="-110" yWindow="-110" windowWidth="19420" windowHeight="12220" firstSheet="5" activeTab="8" xr2:uid="{00000000-000D-0000-FFFF-FFFF00000000}"/>
  </bookViews>
  <sheets>
    <sheet name="1 - Understanding" sheetId="13" r:id="rId1"/>
    <sheet name="2 - From Worksheet - Workbook" sheetId="12" r:id="rId2"/>
    <sheet name="Item List" sheetId="7" r:id="rId3"/>
    <sheet name="3 - Using Range Name" sheetId="34" r:id="rId4"/>
    <sheet name="4- Find in List" sheetId="36" r:id="rId5"/>
    <sheet name="5- Range VLookup" sheetId="35" r:id="rId6"/>
    <sheet name="6- HLookup" sheetId="37" r:id="rId7"/>
    <sheet name="7- Duplicate Data" sheetId="17" r:id="rId8"/>
    <sheet name="8- Index Match" sheetId="33" r:id="rId9"/>
  </sheets>
  <definedNames>
    <definedName name="ee" localSheetId="1" hidden="1">{"FirstQ",#N/A,FALSE,"Budget2000";"SecondQ",#N/A,FALSE,"Budget2000";"Summary",#N/A,FALSE,"Budget2000"}</definedName>
    <definedName name="ee" localSheetId="3" hidden="1">{"FirstQ",#N/A,FALSE,"Budget2000";"SecondQ",#N/A,FALSE,"Budget2000";"Summary",#N/A,FALSE,"Budget2000"}</definedName>
    <definedName name="ee" localSheetId="6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GRADES">'5- Range VLookup'!$H$7:$I$13</definedName>
    <definedName name="ItemList">'Item List'!$B$2:$D$12</definedName>
    <definedName name="JS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localSheetId="3" hidden="1">{"FirstQ",#N/A,FALSE,"Budget2000";"SecondQ",#N/A,FALSE,"Budget2000";"Summary",#N/A,FALSE,"Budget2000"}</definedName>
    <definedName name="k" localSheetId="6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localSheetId="3" hidden="1">{"FirstQ",#N/A,FALSE,"Budget2000";"SecondQ",#N/A,FALSE,"Budget2000";"Summary",#N/A,FALSE,"Budget2000"}</definedName>
    <definedName name="q" localSheetId="6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" hidden="1">{"FirstQ",#N/A,FALSE,"Budget2000";"SecondQ",#N/A,FALSE,"Budget2000"}</definedName>
    <definedName name="rr" localSheetId="3" hidden="1">{"FirstQ",#N/A,FALSE,"Budget2000";"SecondQ",#N/A,FALSE,"Budget2000"}</definedName>
    <definedName name="rr" localSheetId="6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localSheetId="3" hidden="1">{"AllDetail",#N/A,FALSE,"Research Budget";"1stQuarter",#N/A,FALSE,"Research Budget";"2nd Quarter",#N/A,FALSE,"Research Budget";"Summary",#N/A,FALSE,"Research Budget"}</definedName>
    <definedName name="rrr" localSheetId="6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" hidden="1">{"FirstQ",#N/A,FALSE,"Budget2000";"SecondQ",#N/A,FALSE,"Budget2000";"Summary",#N/A,FALSE,"Budget2000"}</definedName>
    <definedName name="wrn.AllData." localSheetId="3" hidden="1">{"FirstQ",#N/A,FALSE,"Budget2000";"SecondQ",#N/A,FALSE,"Budget2000";"Summary",#N/A,FALSE,"Budget2000"}</definedName>
    <definedName name="wrn.AllData." localSheetId="6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localSheetId="3" hidden="1">{"FirstQ",#N/A,FALSE,"Budget2000";"SecondQ",#N/A,FALSE,"Budget2000"}</definedName>
    <definedName name="wrn.FirstHalf." localSheetId="6" hidden="1">{"FirstQ",#N/A,FALSE,"Budget2000";"SecondQ",#N/A,FALSE,"Budget2000"}</definedName>
    <definedName name="wrn.FirstHalf." hidden="1">{"FirstQ",#N/A,FALSE,"Budget2000";"SecondQ",#N/A,FALSE,"Budget2000"}</definedName>
    <definedName name="x" localSheetId="1" hidden="1">{"FirstQ",#N/A,FALSE,"Budget2000";"SecondQ",#N/A,FALSE,"Budget2000";"Summary",#N/A,FALSE,"Budget2000"}</definedName>
    <definedName name="x" localSheetId="3" hidden="1">{"FirstQ",#N/A,FALSE,"Budget2000";"SecondQ",#N/A,FALSE,"Budget2000";"Summary",#N/A,FALSE,"Budget2000"}</definedName>
    <definedName name="x" localSheetId="6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localSheetId="3" hidden="1">{"AllDetail",#N/A,FALSE,"Research Budget";"1stQuarter",#N/A,FALSE,"Research Budget";"2nd Quarter",#N/A,FALSE,"Research Budget";"Summary",#N/A,FALSE,"Research Budget"}</definedName>
    <definedName name="xxxxxxxxxxxxxxxxxxx" localSheetId="6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3" l="1"/>
  <c r="C8" i="33"/>
  <c r="E7" i="17"/>
  <c r="E8" i="17"/>
  <c r="E9" i="17"/>
  <c r="E10" i="17"/>
  <c r="E11" i="17"/>
  <c r="E12" i="17"/>
  <c r="E13" i="17"/>
  <c r="E14" i="17"/>
  <c r="E15" i="17"/>
  <c r="E16" i="17"/>
  <c r="E17" i="17"/>
  <c r="E18" i="17"/>
  <c r="E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6" i="17"/>
  <c r="C6" i="37"/>
  <c r="C7" i="37"/>
  <c r="C8" i="37"/>
  <c r="C5" i="37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8" i="35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8" i="36"/>
  <c r="E8" i="34"/>
  <c r="E9" i="34"/>
  <c r="E10" i="34"/>
  <c r="E11" i="34"/>
  <c r="E12" i="34"/>
  <c r="E7" i="34"/>
  <c r="D8" i="34"/>
  <c r="D9" i="34"/>
  <c r="D10" i="34"/>
  <c r="D11" i="34"/>
  <c r="D12" i="34"/>
  <c r="D7" i="34"/>
  <c r="E8" i="12"/>
  <c r="E9" i="12"/>
  <c r="E10" i="12"/>
  <c r="E11" i="12"/>
  <c r="E12" i="12"/>
  <c r="E7" i="12"/>
  <c r="D8" i="12"/>
  <c r="D9" i="12"/>
  <c r="D10" i="12"/>
  <c r="D11" i="12"/>
  <c r="D12" i="12"/>
  <c r="D7" i="12"/>
  <c r="C7" i="13"/>
  <c r="C8" i="13"/>
  <c r="C9" i="13"/>
  <c r="C10" i="13"/>
  <c r="C6" i="13"/>
  <c r="B7" i="13"/>
  <c r="B8" i="13"/>
  <c r="B9" i="13"/>
  <c r="B10" i="13"/>
  <c r="B6" i="13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E20" i="35"/>
  <c r="E21" i="35" s="1"/>
  <c r="E19" i="35"/>
  <c r="E18" i="35"/>
  <c r="E17" i="35"/>
  <c r="E16" i="35"/>
  <c r="E15" i="35"/>
  <c r="E14" i="35"/>
  <c r="E13" i="35"/>
  <c r="E12" i="35"/>
  <c r="E11" i="35"/>
  <c r="E10" i="35"/>
  <c r="E9" i="35"/>
  <c r="E8" i="35"/>
  <c r="F13" i="34" l="1"/>
  <c r="F12" i="34"/>
  <c r="F11" i="34"/>
  <c r="F10" i="34"/>
  <c r="F9" i="34"/>
  <c r="F8" i="34"/>
  <c r="F7" i="34"/>
  <c r="I12" i="13"/>
  <c r="I13" i="13" s="1"/>
  <c r="I14" i="13" s="1"/>
  <c r="I15" i="13" s="1"/>
  <c r="I11" i="13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F15" i="34" l="1"/>
  <c r="F13" i="12"/>
  <c r="F12" i="12"/>
  <c r="F11" i="12"/>
  <c r="F10" i="12"/>
  <c r="F9" i="12"/>
  <c r="F8" i="12"/>
  <c r="F7" i="12"/>
  <c r="F15" i="12" l="1"/>
</calcChain>
</file>

<file path=xl/sharedStrings.xml><?xml version="1.0" encoding="utf-8"?>
<sst xmlns="http://schemas.openxmlformats.org/spreadsheetml/2006/main" count="198" uniqueCount="106">
  <si>
    <t>Name</t>
  </si>
  <si>
    <t>Item No.</t>
  </si>
  <si>
    <t>Description</t>
  </si>
  <si>
    <t>Unit Price</t>
  </si>
  <si>
    <t>Executive Swivel Chair</t>
  </si>
  <si>
    <t>Low-back Side Arm Chair</t>
  </si>
  <si>
    <t>Std Secretary Chair</t>
  </si>
  <si>
    <t>Deluxe Secretary Chair</t>
  </si>
  <si>
    <t>Classic Side Arm Chair</t>
  </si>
  <si>
    <t>Double Pedestal Desk</t>
  </si>
  <si>
    <t>Single Pedestal Desk</t>
  </si>
  <si>
    <t>Executive Filing Cabinet</t>
  </si>
  <si>
    <t>Executive Wastebasket</t>
  </si>
  <si>
    <t>Contemporary Bookcase</t>
  </si>
  <si>
    <t>Qty</t>
  </si>
  <si>
    <t>Amount</t>
  </si>
  <si>
    <t>Total:</t>
  </si>
  <si>
    <t>Master Data</t>
  </si>
  <si>
    <t>Codes</t>
  </si>
  <si>
    <t>Names</t>
  </si>
  <si>
    <t>Jahangir</t>
  </si>
  <si>
    <t>Sachwani</t>
  </si>
  <si>
    <t>Excel</t>
  </si>
  <si>
    <t>Webinar</t>
  </si>
  <si>
    <t>Code</t>
  </si>
  <si>
    <t>Product</t>
  </si>
  <si>
    <t>Raheel</t>
  </si>
  <si>
    <t>Rupani</t>
  </si>
  <si>
    <t>Sales</t>
  </si>
  <si>
    <t>Master Data of IT Accessories Sold</t>
  </si>
  <si>
    <t>Mouse</t>
  </si>
  <si>
    <t>Speaker</t>
  </si>
  <si>
    <t>Mic</t>
  </si>
  <si>
    <t>Headphone</t>
  </si>
  <si>
    <t>Total</t>
  </si>
  <si>
    <t>Value</t>
  </si>
  <si>
    <t>D</t>
  </si>
  <si>
    <t>for</t>
  </si>
  <si>
    <t>HR</t>
  </si>
  <si>
    <t>Jan</t>
  </si>
  <si>
    <t>Feb</t>
  </si>
  <si>
    <t>Mar</t>
  </si>
  <si>
    <t>Apr</t>
  </si>
  <si>
    <t>May</t>
  </si>
  <si>
    <t>Jun</t>
  </si>
  <si>
    <t>Month</t>
  </si>
  <si>
    <t>Key Learning</t>
  </si>
  <si>
    <t>Questions:</t>
  </si>
  <si>
    <t>Understanding the Vlookup Formula Logic and Extract Names and Amount from Master Data</t>
  </si>
  <si>
    <t>Formula Questions:</t>
  </si>
  <si>
    <t>Haseeb</t>
  </si>
  <si>
    <t>Hashmi</t>
  </si>
  <si>
    <t>Nabeel</t>
  </si>
  <si>
    <t>Izzat</t>
  </si>
  <si>
    <t>Tariq</t>
  </si>
  <si>
    <t>Haider</t>
  </si>
  <si>
    <t>Imtiaz</t>
  </si>
  <si>
    <t>Ahmad</t>
  </si>
  <si>
    <t>Extracting Data from Other Worksheets or Workbook using Vlookup</t>
  </si>
  <si>
    <t>Extracting Data from Other Worksheets using Vlookup with Range Name</t>
  </si>
  <si>
    <t>CATEGORY</t>
  </si>
  <si>
    <t>Group Members:</t>
  </si>
  <si>
    <t>Presentation</t>
  </si>
  <si>
    <t>Technicality</t>
  </si>
  <si>
    <t>Content</t>
  </si>
  <si>
    <t>Letter Grade</t>
  </si>
  <si>
    <t>GRADES</t>
  </si>
  <si>
    <t>Students A, B, C</t>
  </si>
  <si>
    <t>30%</t>
  </si>
  <si>
    <t>35%</t>
  </si>
  <si>
    <t>100%</t>
  </si>
  <si>
    <t>Grade</t>
  </si>
  <si>
    <t>Judge #</t>
  </si>
  <si>
    <t>G</t>
  </si>
  <si>
    <t>F</t>
  </si>
  <si>
    <t>E</t>
  </si>
  <si>
    <t>C</t>
  </si>
  <si>
    <t>B</t>
  </si>
  <si>
    <t>A</t>
  </si>
  <si>
    <t>Use VLOOKUP Function to identify the presented cheques</t>
  </si>
  <si>
    <t>Comparisons</t>
  </si>
  <si>
    <t>CkNum</t>
  </si>
  <si>
    <t>Date</t>
  </si>
  <si>
    <t>Presented</t>
  </si>
  <si>
    <t>Person</t>
  </si>
  <si>
    <t>Bonus</t>
  </si>
  <si>
    <t>Mark</t>
  </si>
  <si>
    <t>Mike</t>
  </si>
  <si>
    <t>Paul</t>
  </si>
  <si>
    <t>Jane</t>
  </si>
  <si>
    <t>Bonus Target</t>
  </si>
  <si>
    <t>Bonus Amount</t>
  </si>
  <si>
    <t>Bank List</t>
  </si>
  <si>
    <t>Cheque List</t>
  </si>
  <si>
    <t>Extract Grade from using Range Lookup</t>
  </si>
  <si>
    <t>Extract Data using Hlookup</t>
  </si>
  <si>
    <t>Extracting from Duplicate Data</t>
  </si>
  <si>
    <t>Helper Col</t>
  </si>
  <si>
    <t>Extract Data using Index Match</t>
  </si>
  <si>
    <t>What to find?</t>
  </si>
  <si>
    <t>Where to find?</t>
  </si>
  <si>
    <t>What to return?</t>
  </si>
  <si>
    <t>Exact Match</t>
  </si>
  <si>
    <t>Index</t>
  </si>
  <si>
    <t>Match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</si>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</sst>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_);\(&quot;$&quot;#,##0.00\);"/>
    <numFmt numFmtId="166" formatCode="[$-409]d\-mmm\-yy;@"/>
    <numFmt numFmtId="167" formatCode="&quot;$&quot;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Geneva"/>
    </font>
    <font>
      <sz val="12"/>
      <name val="Geneva"/>
    </font>
    <font>
      <b/>
      <sz val="11"/>
      <color rgb="FF00C23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b/>
      <sz val="14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mediumGray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2" borderId="0" applyNumberFormat="0" applyFont="0" applyBorder="0" applyAlignment="0" applyProtection="0"/>
    <xf numFmtId="0" fontId="4" fillId="3" borderId="1"/>
    <xf numFmtId="0" fontId="3" fillId="0" borderId="0"/>
    <xf numFmtId="0" fontId="3" fillId="4" borderId="0" applyNumberFormat="0" applyFont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5" fillId="5" borderId="2" xfId="9" applyFont="1" applyFill="1" applyBorder="1" applyAlignment="1">
      <alignment horizontal="center" vertical="center"/>
    </xf>
    <xf numFmtId="44" fontId="5" fillId="5" borderId="2" xfId="6" applyFont="1" applyFill="1" applyBorder="1" applyAlignment="1">
      <alignment horizontal="center" vertical="center"/>
    </xf>
    <xf numFmtId="0" fontId="6" fillId="0" borderId="2" xfId="9" applyFont="1" applyBorder="1" applyAlignment="1">
      <alignment horizontal="center"/>
    </xf>
    <xf numFmtId="0" fontId="6" fillId="0" borderId="2" xfId="9" applyFont="1" applyBorder="1"/>
    <xf numFmtId="7" fontId="6" fillId="0" borderId="3" xfId="6" applyNumberFormat="1" applyFont="1" applyBorder="1"/>
    <xf numFmtId="0" fontId="6" fillId="0" borderId="4" xfId="9" applyFont="1" applyBorder="1" applyAlignment="1">
      <alignment horizontal="center"/>
    </xf>
    <xf numFmtId="0" fontId="3" fillId="0" borderId="0" xfId="9"/>
    <xf numFmtId="0" fontId="5" fillId="5" borderId="8" xfId="9" applyFont="1" applyFill="1" applyBorder="1" applyAlignment="1">
      <alignment horizontal="center" vertical="center"/>
    </xf>
    <xf numFmtId="44" fontId="5" fillId="5" borderId="3" xfId="6" applyFont="1" applyFill="1" applyBorder="1" applyAlignment="1">
      <alignment horizontal="center" vertical="center"/>
    </xf>
    <xf numFmtId="0" fontId="6" fillId="0" borderId="8" xfId="9" applyFont="1" applyBorder="1" applyAlignment="1">
      <alignment horizontal="center"/>
    </xf>
    <xf numFmtId="165" fontId="6" fillId="0" borderId="3" xfId="6" applyNumberFormat="1" applyFont="1" applyBorder="1"/>
    <xf numFmtId="164" fontId="6" fillId="0" borderId="3" xfId="3" applyNumberFormat="1" applyFont="1" applyBorder="1"/>
    <xf numFmtId="0" fontId="6" fillId="0" borderId="6" xfId="9" applyFont="1" applyBorder="1" applyAlignment="1">
      <alignment horizontal="center"/>
    </xf>
    <xf numFmtId="0" fontId="6" fillId="0" borderId="6" xfId="9" applyFont="1" applyBorder="1"/>
    <xf numFmtId="0" fontId="6" fillId="0" borderId="4" xfId="9" applyFont="1" applyBorder="1"/>
    <xf numFmtId="0" fontId="3" fillId="6" borderId="5" xfId="9" applyFill="1" applyBorder="1"/>
    <xf numFmtId="0" fontId="3" fillId="6" borderId="9" xfId="9" applyFill="1" applyBorder="1"/>
    <xf numFmtId="44" fontId="3" fillId="6" borderId="9" xfId="6" applyFill="1" applyBorder="1"/>
    <xf numFmtId="44" fontId="3" fillId="6" borderId="10" xfId="6" applyFill="1" applyBorder="1"/>
    <xf numFmtId="0" fontId="3" fillId="6" borderId="11" xfId="9" applyFill="1" applyBorder="1"/>
    <xf numFmtId="0" fontId="3" fillId="6" borderId="0" xfId="9" applyFill="1"/>
    <xf numFmtId="0" fontId="5" fillId="0" borderId="8" xfId="9" applyFont="1" applyBorder="1" applyAlignment="1">
      <alignment horizontal="center"/>
    </xf>
    <xf numFmtId="0" fontId="3" fillId="6" borderId="6" xfId="9" applyFill="1" applyBorder="1"/>
    <xf numFmtId="0" fontId="3" fillId="6" borderId="4" xfId="9" applyFill="1" applyBorder="1"/>
    <xf numFmtId="44" fontId="3" fillId="6" borderId="4" xfId="6" applyFill="1" applyBorder="1"/>
    <xf numFmtId="44" fontId="3" fillId="6" borderId="7" xfId="6" applyFill="1" applyBorder="1"/>
    <xf numFmtId="0" fontId="7" fillId="0" borderId="0" xfId="0" applyFont="1"/>
    <xf numFmtId="0" fontId="8" fillId="0" borderId="0" xfId="0" applyFont="1"/>
    <xf numFmtId="0" fontId="0" fillId="0" borderId="12" xfId="0" applyBorder="1"/>
    <xf numFmtId="164" fontId="0" fillId="0" borderId="12" xfId="1" applyNumberFormat="1" applyFont="1" applyBorder="1"/>
    <xf numFmtId="0" fontId="9" fillId="8" borderId="12" xfId="0" applyFont="1" applyFill="1" applyBorder="1"/>
    <xf numFmtId="0" fontId="10" fillId="9" borderId="12" xfId="0" applyFont="1" applyFill="1" applyBorder="1"/>
    <xf numFmtId="0" fontId="10" fillId="0" borderId="12" xfId="0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4" fillId="0" borderId="0" xfId="13"/>
    <xf numFmtId="0" fontId="0" fillId="7" borderId="12" xfId="0" applyFill="1" applyBorder="1"/>
    <xf numFmtId="0" fontId="0" fillId="10" borderId="12" xfId="0" applyFill="1" applyBorder="1"/>
    <xf numFmtId="0" fontId="0" fillId="11" borderId="12" xfId="0" applyFill="1" applyBorder="1"/>
    <xf numFmtId="0" fontId="15" fillId="7" borderId="12" xfId="0" applyFont="1" applyFill="1" applyBorder="1"/>
    <xf numFmtId="0" fontId="16" fillId="0" borderId="0" xfId="0" applyFont="1"/>
    <xf numFmtId="0" fontId="17" fillId="0" borderId="0" xfId="0" applyFont="1"/>
    <xf numFmtId="0" fontId="2" fillId="12" borderId="0" xfId="0" applyFont="1" applyFill="1"/>
    <xf numFmtId="0" fontId="2" fillId="12" borderId="12" xfId="0" applyFont="1" applyFill="1" applyBorder="1"/>
    <xf numFmtId="164" fontId="0" fillId="0" borderId="12" xfId="0" applyNumberFormat="1" applyBorder="1"/>
    <xf numFmtId="0" fontId="3" fillId="0" borderId="12" xfId="2" applyBorder="1"/>
    <xf numFmtId="0" fontId="3" fillId="0" borderId="0" xfId="2"/>
    <xf numFmtId="0" fontId="3" fillId="13" borderId="12" xfId="2" applyFill="1" applyBorder="1"/>
    <xf numFmtId="0" fontId="3" fillId="14" borderId="12" xfId="2" applyFill="1" applyBorder="1"/>
    <xf numFmtId="0" fontId="3" fillId="14" borderId="12" xfId="2" quotePrefix="1" applyFill="1" applyBorder="1" applyAlignment="1">
      <alignment horizontal="center"/>
    </xf>
    <xf numFmtId="0" fontId="19" fillId="16" borderId="12" xfId="2" applyFont="1" applyFill="1" applyBorder="1"/>
    <xf numFmtId="0" fontId="19" fillId="17" borderId="12" xfId="2" applyFont="1" applyFill="1" applyBorder="1"/>
    <xf numFmtId="0" fontId="3" fillId="18" borderId="12" xfId="2" applyFill="1" applyBorder="1" applyAlignment="1">
      <alignment horizontal="center"/>
    </xf>
    <xf numFmtId="0" fontId="3" fillId="19" borderId="12" xfId="2" applyFill="1" applyBorder="1"/>
    <xf numFmtId="0" fontId="3" fillId="16" borderId="12" xfId="2" applyFill="1" applyBorder="1"/>
    <xf numFmtId="0" fontId="3" fillId="17" borderId="12" xfId="2" applyFill="1" applyBorder="1"/>
    <xf numFmtId="0" fontId="3" fillId="18" borderId="12" xfId="2" applyFill="1" applyBorder="1"/>
    <xf numFmtId="1" fontId="3" fillId="19" borderId="12" xfId="2" applyNumberFormat="1" applyFill="1" applyBorder="1"/>
    <xf numFmtId="1" fontId="3" fillId="16" borderId="12" xfId="2" applyNumberFormat="1" applyFill="1" applyBorder="1"/>
    <xf numFmtId="1" fontId="19" fillId="15" borderId="12" xfId="2" applyNumberFormat="1" applyFont="1" applyFill="1" applyBorder="1"/>
    <xf numFmtId="0" fontId="20" fillId="0" borderId="0" xfId="2" applyFont="1"/>
    <xf numFmtId="0" fontId="21" fillId="0" borderId="0" xfId="2" applyFont="1"/>
    <xf numFmtId="0" fontId="22" fillId="0" borderId="0" xfId="2" applyFont="1"/>
    <xf numFmtId="0" fontId="20" fillId="0" borderId="0" xfId="2" applyFont="1" applyAlignment="1">
      <alignment horizontal="center"/>
    </xf>
    <xf numFmtId="0" fontId="20" fillId="0" borderId="0" xfId="2" applyFont="1" applyAlignment="1">
      <alignment horizontal="center" wrapText="1"/>
    </xf>
    <xf numFmtId="166" fontId="22" fillId="0" borderId="0" xfId="2" applyNumberFormat="1" applyFont="1"/>
    <xf numFmtId="167" fontId="22" fillId="0" borderId="0" xfId="2" applyNumberFormat="1" applyFont="1"/>
    <xf numFmtId="15" fontId="22" fillId="0" borderId="0" xfId="1" applyNumberFormat="1" applyFont="1"/>
    <xf numFmtId="0" fontId="0" fillId="20" borderId="12" xfId="0" applyFill="1" applyBorder="1"/>
    <xf numFmtId="0" fontId="16" fillId="0" borderId="0" xfId="0" applyFont="1" applyAlignment="1">
      <alignment horizontal="right"/>
    </xf>
    <xf numFmtId="0" fontId="23" fillId="12" borderId="0" xfId="0" applyFont="1" applyFill="1"/>
    <xf numFmtId="0" fontId="20" fillId="12" borderId="4" xfId="2" applyFont="1" applyFill="1" applyBorder="1" applyAlignment="1">
      <alignment horizontal="center"/>
    </xf>
    <xf numFmtId="0" fontId="18" fillId="0" borderId="12" xfId="2" applyFont="1" applyBorder="1" applyAlignment="1">
      <alignment horizontal="center"/>
    </xf>
    <xf numFmtId="0" fontId="18" fillId="15" borderId="12" xfId="2" applyFont="1" applyFill="1" applyBorder="1" applyAlignment="1">
      <alignment horizontal="center"/>
    </xf>
    <xf numFmtId="0" fontId="5" fillId="5" borderId="4" xfId="9" applyFont="1" applyFill="1" applyBorder="1" applyAlignment="1">
      <alignment horizontal="center" vertical="center"/>
    </xf>
    <xf numFmtId="44" fontId="5" fillId="5" borderId="4" xfId="6" applyFont="1" applyFill="1" applyBorder="1" applyAlignment="1">
      <alignment horizontal="center" vertical="center"/>
    </xf>
    <xf numFmtId="0" fontId="6" fillId="0" borderId="0" xfId="9" applyFont="1" applyBorder="1" applyAlignment="1">
      <alignment horizontal="center"/>
    </xf>
    <xf numFmtId="0" fontId="6" fillId="0" borderId="9" xfId="9" applyFont="1" applyBorder="1"/>
    <xf numFmtId="7" fontId="6" fillId="0" borderId="10" xfId="6" applyNumberFormat="1" applyFont="1" applyBorder="1"/>
  </cellXfs>
  <cellStyles count="14">
    <cellStyle name="Comma" xfId="1" builtinId="3"/>
    <cellStyle name="Comma 2" xfId="3" xr:uid="{00000000-0005-0000-0000-000001000000}"/>
    <cellStyle name="Currency 2" xfId="6" xr:uid="{00000000-0005-0000-0000-000002000000}"/>
    <cellStyle name="Currency 3" xfId="12" xr:uid="{00000000-0005-0000-0000-000003000000}"/>
    <cellStyle name="GreyOrWhite" xfId="7" xr:uid="{00000000-0005-0000-0000-000004000000}"/>
    <cellStyle name="Hyperlink" xfId="13" builtinId="8"/>
    <cellStyle name="MyBlue" xfId="8" xr:uid="{00000000-0005-0000-0000-000006000000}"/>
    <cellStyle name="Normal" xfId="0" builtinId="0"/>
    <cellStyle name="Normal 2" xfId="2" xr:uid="{00000000-0005-0000-0000-000008000000}"/>
    <cellStyle name="Normal 3" xfId="4" xr:uid="{00000000-0005-0000-0000-000009000000}"/>
    <cellStyle name="Normal 4" xfId="11" xr:uid="{00000000-0005-0000-0000-00000A000000}"/>
    <cellStyle name="Normal_PRACTICE" xfId="9" xr:uid="{00000000-0005-0000-0000-00000B000000}"/>
    <cellStyle name="Percent 2" xfId="5" xr:uid="{00000000-0005-0000-0000-00000C000000}"/>
    <cellStyle name="Yellow" xfId="10" xr:uid="{00000000-0005-0000-0000-00000D000000}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numFmt numFmtId="11" formatCode="&quot;$&quot;#,##0.00_);\(&quot;$&quot;#,##0.00\)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neva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Medium9"/>
  <colors>
    <mruColors>
      <color rgb="FF00C2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34F16-14EF-4E87-A033-88F7731FA60B}" name="Table1" displayName="Table1" ref="B2:D12" totalsRowShown="0" headerRowDxfId="0" headerRowBorderDxfId="4" tableBorderDxfId="5" headerRowCellStyle="Normal_PRACTICE">
  <autoFilter ref="B2:D12" xr:uid="{F7734F16-14EF-4E87-A033-88F7731FA60B}"/>
  <tableColumns count="3">
    <tableColumn id="1" xr3:uid="{FBD2B925-FA91-4241-95E3-CE055D78B608}" name="Item No." dataDxfId="3" dataCellStyle="Normal_PRACTICE"/>
    <tableColumn id="2" xr3:uid="{AA0517E4-FF3D-4026-9AA6-4379C4920E83}" name="Description" dataDxfId="2" dataCellStyle="Normal_PRACTICE"/>
    <tableColumn id="3" xr3:uid="{F8DEB4C3-BC2C-4B99-84ED-2553995CEB27}" name="Unit Price" dataDxfId="1" dataCellStyle="Currency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I16"/>
  <sheetViews>
    <sheetView zoomScale="106" zoomScaleNormal="160" workbookViewId="0">
      <selection activeCell="D7" sqref="D7"/>
    </sheetView>
  </sheetViews>
  <sheetFormatPr defaultRowHeight="14.5"/>
  <cols>
    <col min="1" max="1" width="6.36328125" customWidth="1"/>
    <col min="2" max="2" width="10" customWidth="1"/>
    <col min="3" max="3" width="10.453125" customWidth="1"/>
    <col min="7" max="7" width="6.54296875" customWidth="1"/>
    <col min="8" max="8" width="9.36328125" bestFit="1" customWidth="1"/>
  </cols>
  <sheetData>
    <row r="1" spans="1:9">
      <c r="A1" s="44" t="s">
        <v>46</v>
      </c>
    </row>
    <row r="2" spans="1:9">
      <c r="A2" s="45" t="s">
        <v>48</v>
      </c>
    </row>
    <row r="3" spans="1:9">
      <c r="A3" s="45"/>
    </row>
    <row r="4" spans="1:9">
      <c r="G4" s="28" t="s">
        <v>17</v>
      </c>
    </row>
    <row r="5" spans="1:9">
      <c r="A5" s="46" t="s">
        <v>18</v>
      </c>
      <c r="B5" s="46" t="s">
        <v>19</v>
      </c>
      <c r="C5" s="46" t="s">
        <v>15</v>
      </c>
      <c r="G5" s="47" t="s">
        <v>18</v>
      </c>
      <c r="H5" s="47" t="s">
        <v>19</v>
      </c>
      <c r="I5" s="47" t="s">
        <v>15</v>
      </c>
    </row>
    <row r="6" spans="1:9">
      <c r="A6">
        <v>1001</v>
      </c>
      <c r="B6" t="str">
        <f>VLOOKUP(A6,$G$6:$I$15,2,FALSE)</f>
        <v>Jahangir</v>
      </c>
      <c r="C6">
        <f>VLOOKUP(A6,$G$6:$I$15,3,0)</f>
        <v>10000</v>
      </c>
      <c r="G6" s="30">
        <v>1001</v>
      </c>
      <c r="H6" s="30" t="s">
        <v>20</v>
      </c>
      <c r="I6" s="31">
        <v>10000</v>
      </c>
    </row>
    <row r="7" spans="1:9">
      <c r="A7">
        <v>1002</v>
      </c>
      <c r="B7" t="str">
        <f t="shared" ref="B7:B10" si="0">VLOOKUP(A7,$G$6:$I$15,2,FALSE)</f>
        <v>Sachwani</v>
      </c>
      <c r="C7">
        <f t="shared" ref="C7:C10" si="1">VLOOKUP(A7,$G$6:$I$15,3,0)</f>
        <v>20000</v>
      </c>
      <c r="G7" s="30">
        <v>1002</v>
      </c>
      <c r="H7" s="30" t="s">
        <v>21</v>
      </c>
      <c r="I7" s="31">
        <v>20000</v>
      </c>
    </row>
    <row r="8" spans="1:9">
      <c r="A8">
        <v>1003</v>
      </c>
      <c r="B8" t="str">
        <f t="shared" si="0"/>
        <v>Haseeb</v>
      </c>
      <c r="C8">
        <f t="shared" si="1"/>
        <v>30000</v>
      </c>
      <c r="G8" s="30">
        <v>1003</v>
      </c>
      <c r="H8" s="30" t="s">
        <v>50</v>
      </c>
      <c r="I8" s="31">
        <v>30000</v>
      </c>
    </row>
    <row r="9" spans="1:9">
      <c r="A9">
        <v>1004</v>
      </c>
      <c r="B9" t="str">
        <f t="shared" si="0"/>
        <v>Hashmi</v>
      </c>
      <c r="C9">
        <f t="shared" si="1"/>
        <v>40000</v>
      </c>
      <c r="G9" s="30">
        <v>1004</v>
      </c>
      <c r="H9" s="30" t="s">
        <v>51</v>
      </c>
      <c r="I9" s="31">
        <v>40000</v>
      </c>
    </row>
    <row r="10" spans="1:9">
      <c r="A10">
        <v>1005</v>
      </c>
      <c r="B10" t="str">
        <f t="shared" si="0"/>
        <v>Nabeel</v>
      </c>
      <c r="C10">
        <f t="shared" si="1"/>
        <v>50000</v>
      </c>
      <c r="G10" s="30">
        <v>1005</v>
      </c>
      <c r="H10" s="30" t="s">
        <v>52</v>
      </c>
      <c r="I10" s="31">
        <v>50000</v>
      </c>
    </row>
    <row r="11" spans="1:9">
      <c r="G11" s="30">
        <v>1006</v>
      </c>
      <c r="H11" s="30" t="s">
        <v>53</v>
      </c>
      <c r="I11" s="48">
        <f>I10+10000</f>
        <v>60000</v>
      </c>
    </row>
    <row r="12" spans="1:9">
      <c r="A12" s="1" t="s">
        <v>49</v>
      </c>
      <c r="G12" s="30">
        <v>1007</v>
      </c>
      <c r="H12" s="30" t="s">
        <v>54</v>
      </c>
      <c r="I12" s="48">
        <f t="shared" ref="I12:I15" si="2">I11+10000</f>
        <v>70000</v>
      </c>
    </row>
    <row r="13" spans="1:9">
      <c r="A13">
        <v>1</v>
      </c>
      <c r="B13" t="s">
        <v>99</v>
      </c>
      <c r="G13" s="30">
        <v>1008</v>
      </c>
      <c r="H13" s="30" t="s">
        <v>55</v>
      </c>
      <c r="I13" s="48">
        <f t="shared" si="2"/>
        <v>80000</v>
      </c>
    </row>
    <row r="14" spans="1:9">
      <c r="A14">
        <v>2</v>
      </c>
      <c r="B14" t="s">
        <v>100</v>
      </c>
      <c r="G14" s="30">
        <v>1009</v>
      </c>
      <c r="H14" s="30" t="s">
        <v>56</v>
      </c>
      <c r="I14" s="48">
        <f t="shared" si="2"/>
        <v>90000</v>
      </c>
    </row>
    <row r="15" spans="1:9">
      <c r="A15">
        <v>3</v>
      </c>
      <c r="B15" t="s">
        <v>101</v>
      </c>
      <c r="G15" s="30">
        <v>1010</v>
      </c>
      <c r="H15" s="30" t="s">
        <v>57</v>
      </c>
      <c r="I15" s="48">
        <f t="shared" si="2"/>
        <v>100000</v>
      </c>
    </row>
    <row r="16" spans="1:9">
      <c r="A16">
        <v>4</v>
      </c>
      <c r="B16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16"/>
  <sheetViews>
    <sheetView zoomScale="102" zoomScaleNormal="140" workbookViewId="0">
      <selection activeCell="F15" sqref="F15"/>
    </sheetView>
  </sheetViews>
  <sheetFormatPr defaultColWidth="8.90625" defaultRowHeight="12.5"/>
  <cols>
    <col min="1" max="1" width="7.36328125" style="8" customWidth="1"/>
    <col min="2" max="2" width="5" style="8" customWidth="1"/>
    <col min="3" max="3" width="10.08984375" style="8" customWidth="1"/>
    <col min="4" max="4" width="27" style="8" customWidth="1"/>
    <col min="5" max="5" width="15.90625" style="8" customWidth="1"/>
    <col min="6" max="6" width="12.90625" style="8" customWidth="1"/>
    <col min="7" max="256" width="8.90625" style="8"/>
    <col min="257" max="257" width="7.36328125" style="8" customWidth="1"/>
    <col min="258" max="258" width="5" style="8" customWidth="1"/>
    <col min="259" max="259" width="10.08984375" style="8" customWidth="1"/>
    <col min="260" max="260" width="27" style="8" customWidth="1"/>
    <col min="261" max="261" width="15.90625" style="8" customWidth="1"/>
    <col min="262" max="262" width="12.90625" style="8" customWidth="1"/>
    <col min="263" max="512" width="8.90625" style="8"/>
    <col min="513" max="513" width="7.36328125" style="8" customWidth="1"/>
    <col min="514" max="514" width="5" style="8" customWidth="1"/>
    <col min="515" max="515" width="10.08984375" style="8" customWidth="1"/>
    <col min="516" max="516" width="27" style="8" customWidth="1"/>
    <col min="517" max="517" width="15.90625" style="8" customWidth="1"/>
    <col min="518" max="518" width="12.90625" style="8" customWidth="1"/>
    <col min="519" max="768" width="8.90625" style="8"/>
    <col min="769" max="769" width="7.36328125" style="8" customWidth="1"/>
    <col min="770" max="770" width="5" style="8" customWidth="1"/>
    <col min="771" max="771" width="10.08984375" style="8" customWidth="1"/>
    <col min="772" max="772" width="27" style="8" customWidth="1"/>
    <col min="773" max="773" width="15.90625" style="8" customWidth="1"/>
    <col min="774" max="774" width="12.90625" style="8" customWidth="1"/>
    <col min="775" max="1024" width="8.90625" style="8"/>
    <col min="1025" max="1025" width="7.36328125" style="8" customWidth="1"/>
    <col min="1026" max="1026" width="5" style="8" customWidth="1"/>
    <col min="1027" max="1027" width="10.08984375" style="8" customWidth="1"/>
    <col min="1028" max="1028" width="27" style="8" customWidth="1"/>
    <col min="1029" max="1029" width="15.90625" style="8" customWidth="1"/>
    <col min="1030" max="1030" width="12.90625" style="8" customWidth="1"/>
    <col min="1031" max="1280" width="8.90625" style="8"/>
    <col min="1281" max="1281" width="7.36328125" style="8" customWidth="1"/>
    <col min="1282" max="1282" width="5" style="8" customWidth="1"/>
    <col min="1283" max="1283" width="10.08984375" style="8" customWidth="1"/>
    <col min="1284" max="1284" width="27" style="8" customWidth="1"/>
    <col min="1285" max="1285" width="15.90625" style="8" customWidth="1"/>
    <col min="1286" max="1286" width="12.90625" style="8" customWidth="1"/>
    <col min="1287" max="1536" width="8.90625" style="8"/>
    <col min="1537" max="1537" width="7.36328125" style="8" customWidth="1"/>
    <col min="1538" max="1538" width="5" style="8" customWidth="1"/>
    <col min="1539" max="1539" width="10.08984375" style="8" customWidth="1"/>
    <col min="1540" max="1540" width="27" style="8" customWidth="1"/>
    <col min="1541" max="1541" width="15.90625" style="8" customWidth="1"/>
    <col min="1542" max="1542" width="12.90625" style="8" customWidth="1"/>
    <col min="1543" max="1792" width="8.90625" style="8"/>
    <col min="1793" max="1793" width="7.36328125" style="8" customWidth="1"/>
    <col min="1794" max="1794" width="5" style="8" customWidth="1"/>
    <col min="1795" max="1795" width="10.08984375" style="8" customWidth="1"/>
    <col min="1796" max="1796" width="27" style="8" customWidth="1"/>
    <col min="1797" max="1797" width="15.90625" style="8" customWidth="1"/>
    <col min="1798" max="1798" width="12.90625" style="8" customWidth="1"/>
    <col min="1799" max="2048" width="8.90625" style="8"/>
    <col min="2049" max="2049" width="7.36328125" style="8" customWidth="1"/>
    <col min="2050" max="2050" width="5" style="8" customWidth="1"/>
    <col min="2051" max="2051" width="10.08984375" style="8" customWidth="1"/>
    <col min="2052" max="2052" width="27" style="8" customWidth="1"/>
    <col min="2053" max="2053" width="15.90625" style="8" customWidth="1"/>
    <col min="2054" max="2054" width="12.90625" style="8" customWidth="1"/>
    <col min="2055" max="2304" width="8.90625" style="8"/>
    <col min="2305" max="2305" width="7.36328125" style="8" customWidth="1"/>
    <col min="2306" max="2306" width="5" style="8" customWidth="1"/>
    <col min="2307" max="2307" width="10.08984375" style="8" customWidth="1"/>
    <col min="2308" max="2308" width="27" style="8" customWidth="1"/>
    <col min="2309" max="2309" width="15.90625" style="8" customWidth="1"/>
    <col min="2310" max="2310" width="12.90625" style="8" customWidth="1"/>
    <col min="2311" max="2560" width="8.90625" style="8"/>
    <col min="2561" max="2561" width="7.36328125" style="8" customWidth="1"/>
    <col min="2562" max="2562" width="5" style="8" customWidth="1"/>
    <col min="2563" max="2563" width="10.08984375" style="8" customWidth="1"/>
    <col min="2564" max="2564" width="27" style="8" customWidth="1"/>
    <col min="2565" max="2565" width="15.90625" style="8" customWidth="1"/>
    <col min="2566" max="2566" width="12.90625" style="8" customWidth="1"/>
    <col min="2567" max="2816" width="8.90625" style="8"/>
    <col min="2817" max="2817" width="7.36328125" style="8" customWidth="1"/>
    <col min="2818" max="2818" width="5" style="8" customWidth="1"/>
    <col min="2819" max="2819" width="10.08984375" style="8" customWidth="1"/>
    <col min="2820" max="2820" width="27" style="8" customWidth="1"/>
    <col min="2821" max="2821" width="15.90625" style="8" customWidth="1"/>
    <col min="2822" max="2822" width="12.90625" style="8" customWidth="1"/>
    <col min="2823" max="3072" width="8.90625" style="8"/>
    <col min="3073" max="3073" width="7.36328125" style="8" customWidth="1"/>
    <col min="3074" max="3074" width="5" style="8" customWidth="1"/>
    <col min="3075" max="3075" width="10.08984375" style="8" customWidth="1"/>
    <col min="3076" max="3076" width="27" style="8" customWidth="1"/>
    <col min="3077" max="3077" width="15.90625" style="8" customWidth="1"/>
    <col min="3078" max="3078" width="12.90625" style="8" customWidth="1"/>
    <col min="3079" max="3328" width="8.90625" style="8"/>
    <col min="3329" max="3329" width="7.36328125" style="8" customWidth="1"/>
    <col min="3330" max="3330" width="5" style="8" customWidth="1"/>
    <col min="3331" max="3331" width="10.08984375" style="8" customWidth="1"/>
    <col min="3332" max="3332" width="27" style="8" customWidth="1"/>
    <col min="3333" max="3333" width="15.90625" style="8" customWidth="1"/>
    <col min="3334" max="3334" width="12.90625" style="8" customWidth="1"/>
    <col min="3335" max="3584" width="8.90625" style="8"/>
    <col min="3585" max="3585" width="7.36328125" style="8" customWidth="1"/>
    <col min="3586" max="3586" width="5" style="8" customWidth="1"/>
    <col min="3587" max="3587" width="10.08984375" style="8" customWidth="1"/>
    <col min="3588" max="3588" width="27" style="8" customWidth="1"/>
    <col min="3589" max="3589" width="15.90625" style="8" customWidth="1"/>
    <col min="3590" max="3590" width="12.90625" style="8" customWidth="1"/>
    <col min="3591" max="3840" width="8.90625" style="8"/>
    <col min="3841" max="3841" width="7.36328125" style="8" customWidth="1"/>
    <col min="3842" max="3842" width="5" style="8" customWidth="1"/>
    <col min="3843" max="3843" width="10.08984375" style="8" customWidth="1"/>
    <col min="3844" max="3844" width="27" style="8" customWidth="1"/>
    <col min="3845" max="3845" width="15.90625" style="8" customWidth="1"/>
    <col min="3846" max="3846" width="12.90625" style="8" customWidth="1"/>
    <col min="3847" max="4096" width="8.90625" style="8"/>
    <col min="4097" max="4097" width="7.36328125" style="8" customWidth="1"/>
    <col min="4098" max="4098" width="5" style="8" customWidth="1"/>
    <col min="4099" max="4099" width="10.08984375" style="8" customWidth="1"/>
    <col min="4100" max="4100" width="27" style="8" customWidth="1"/>
    <col min="4101" max="4101" width="15.90625" style="8" customWidth="1"/>
    <col min="4102" max="4102" width="12.90625" style="8" customWidth="1"/>
    <col min="4103" max="4352" width="8.90625" style="8"/>
    <col min="4353" max="4353" width="7.36328125" style="8" customWidth="1"/>
    <col min="4354" max="4354" width="5" style="8" customWidth="1"/>
    <col min="4355" max="4355" width="10.08984375" style="8" customWidth="1"/>
    <col min="4356" max="4356" width="27" style="8" customWidth="1"/>
    <col min="4357" max="4357" width="15.90625" style="8" customWidth="1"/>
    <col min="4358" max="4358" width="12.90625" style="8" customWidth="1"/>
    <col min="4359" max="4608" width="8.90625" style="8"/>
    <col min="4609" max="4609" width="7.36328125" style="8" customWidth="1"/>
    <col min="4610" max="4610" width="5" style="8" customWidth="1"/>
    <col min="4611" max="4611" width="10.08984375" style="8" customWidth="1"/>
    <col min="4612" max="4612" width="27" style="8" customWidth="1"/>
    <col min="4613" max="4613" width="15.90625" style="8" customWidth="1"/>
    <col min="4614" max="4614" width="12.90625" style="8" customWidth="1"/>
    <col min="4615" max="4864" width="8.90625" style="8"/>
    <col min="4865" max="4865" width="7.36328125" style="8" customWidth="1"/>
    <col min="4866" max="4866" width="5" style="8" customWidth="1"/>
    <col min="4867" max="4867" width="10.08984375" style="8" customWidth="1"/>
    <col min="4868" max="4868" width="27" style="8" customWidth="1"/>
    <col min="4869" max="4869" width="15.90625" style="8" customWidth="1"/>
    <col min="4870" max="4870" width="12.90625" style="8" customWidth="1"/>
    <col min="4871" max="5120" width="8.90625" style="8"/>
    <col min="5121" max="5121" width="7.36328125" style="8" customWidth="1"/>
    <col min="5122" max="5122" width="5" style="8" customWidth="1"/>
    <col min="5123" max="5123" width="10.08984375" style="8" customWidth="1"/>
    <col min="5124" max="5124" width="27" style="8" customWidth="1"/>
    <col min="5125" max="5125" width="15.90625" style="8" customWidth="1"/>
    <col min="5126" max="5126" width="12.90625" style="8" customWidth="1"/>
    <col min="5127" max="5376" width="8.90625" style="8"/>
    <col min="5377" max="5377" width="7.36328125" style="8" customWidth="1"/>
    <col min="5378" max="5378" width="5" style="8" customWidth="1"/>
    <col min="5379" max="5379" width="10.08984375" style="8" customWidth="1"/>
    <col min="5380" max="5380" width="27" style="8" customWidth="1"/>
    <col min="5381" max="5381" width="15.90625" style="8" customWidth="1"/>
    <col min="5382" max="5382" width="12.90625" style="8" customWidth="1"/>
    <col min="5383" max="5632" width="8.90625" style="8"/>
    <col min="5633" max="5633" width="7.36328125" style="8" customWidth="1"/>
    <col min="5634" max="5634" width="5" style="8" customWidth="1"/>
    <col min="5635" max="5635" width="10.08984375" style="8" customWidth="1"/>
    <col min="5636" max="5636" width="27" style="8" customWidth="1"/>
    <col min="5637" max="5637" width="15.90625" style="8" customWidth="1"/>
    <col min="5638" max="5638" width="12.90625" style="8" customWidth="1"/>
    <col min="5639" max="5888" width="8.90625" style="8"/>
    <col min="5889" max="5889" width="7.36328125" style="8" customWidth="1"/>
    <col min="5890" max="5890" width="5" style="8" customWidth="1"/>
    <col min="5891" max="5891" width="10.08984375" style="8" customWidth="1"/>
    <col min="5892" max="5892" width="27" style="8" customWidth="1"/>
    <col min="5893" max="5893" width="15.90625" style="8" customWidth="1"/>
    <col min="5894" max="5894" width="12.90625" style="8" customWidth="1"/>
    <col min="5895" max="6144" width="8.90625" style="8"/>
    <col min="6145" max="6145" width="7.36328125" style="8" customWidth="1"/>
    <col min="6146" max="6146" width="5" style="8" customWidth="1"/>
    <col min="6147" max="6147" width="10.08984375" style="8" customWidth="1"/>
    <col min="6148" max="6148" width="27" style="8" customWidth="1"/>
    <col min="6149" max="6149" width="15.90625" style="8" customWidth="1"/>
    <col min="6150" max="6150" width="12.90625" style="8" customWidth="1"/>
    <col min="6151" max="6400" width="8.90625" style="8"/>
    <col min="6401" max="6401" width="7.36328125" style="8" customWidth="1"/>
    <col min="6402" max="6402" width="5" style="8" customWidth="1"/>
    <col min="6403" max="6403" width="10.08984375" style="8" customWidth="1"/>
    <col min="6404" max="6404" width="27" style="8" customWidth="1"/>
    <col min="6405" max="6405" width="15.90625" style="8" customWidth="1"/>
    <col min="6406" max="6406" width="12.90625" style="8" customWidth="1"/>
    <col min="6407" max="6656" width="8.90625" style="8"/>
    <col min="6657" max="6657" width="7.36328125" style="8" customWidth="1"/>
    <col min="6658" max="6658" width="5" style="8" customWidth="1"/>
    <col min="6659" max="6659" width="10.08984375" style="8" customWidth="1"/>
    <col min="6660" max="6660" width="27" style="8" customWidth="1"/>
    <col min="6661" max="6661" width="15.90625" style="8" customWidth="1"/>
    <col min="6662" max="6662" width="12.90625" style="8" customWidth="1"/>
    <col min="6663" max="6912" width="8.90625" style="8"/>
    <col min="6913" max="6913" width="7.36328125" style="8" customWidth="1"/>
    <col min="6914" max="6914" width="5" style="8" customWidth="1"/>
    <col min="6915" max="6915" width="10.08984375" style="8" customWidth="1"/>
    <col min="6916" max="6916" width="27" style="8" customWidth="1"/>
    <col min="6917" max="6917" width="15.90625" style="8" customWidth="1"/>
    <col min="6918" max="6918" width="12.90625" style="8" customWidth="1"/>
    <col min="6919" max="7168" width="8.90625" style="8"/>
    <col min="7169" max="7169" width="7.36328125" style="8" customWidth="1"/>
    <col min="7170" max="7170" width="5" style="8" customWidth="1"/>
    <col min="7171" max="7171" width="10.08984375" style="8" customWidth="1"/>
    <col min="7172" max="7172" width="27" style="8" customWidth="1"/>
    <col min="7173" max="7173" width="15.90625" style="8" customWidth="1"/>
    <col min="7174" max="7174" width="12.90625" style="8" customWidth="1"/>
    <col min="7175" max="7424" width="8.90625" style="8"/>
    <col min="7425" max="7425" width="7.36328125" style="8" customWidth="1"/>
    <col min="7426" max="7426" width="5" style="8" customWidth="1"/>
    <col min="7427" max="7427" width="10.08984375" style="8" customWidth="1"/>
    <col min="7428" max="7428" width="27" style="8" customWidth="1"/>
    <col min="7429" max="7429" width="15.90625" style="8" customWidth="1"/>
    <col min="7430" max="7430" width="12.90625" style="8" customWidth="1"/>
    <col min="7431" max="7680" width="8.90625" style="8"/>
    <col min="7681" max="7681" width="7.36328125" style="8" customWidth="1"/>
    <col min="7682" max="7682" width="5" style="8" customWidth="1"/>
    <col min="7683" max="7683" width="10.08984375" style="8" customWidth="1"/>
    <col min="7684" max="7684" width="27" style="8" customWidth="1"/>
    <col min="7685" max="7685" width="15.90625" style="8" customWidth="1"/>
    <col min="7686" max="7686" width="12.90625" style="8" customWidth="1"/>
    <col min="7687" max="7936" width="8.90625" style="8"/>
    <col min="7937" max="7937" width="7.36328125" style="8" customWidth="1"/>
    <col min="7938" max="7938" width="5" style="8" customWidth="1"/>
    <col min="7939" max="7939" width="10.08984375" style="8" customWidth="1"/>
    <col min="7940" max="7940" width="27" style="8" customWidth="1"/>
    <col min="7941" max="7941" width="15.90625" style="8" customWidth="1"/>
    <col min="7942" max="7942" width="12.90625" style="8" customWidth="1"/>
    <col min="7943" max="8192" width="8.90625" style="8"/>
    <col min="8193" max="8193" width="7.36328125" style="8" customWidth="1"/>
    <col min="8194" max="8194" width="5" style="8" customWidth="1"/>
    <col min="8195" max="8195" width="10.08984375" style="8" customWidth="1"/>
    <col min="8196" max="8196" width="27" style="8" customWidth="1"/>
    <col min="8197" max="8197" width="15.90625" style="8" customWidth="1"/>
    <col min="8198" max="8198" width="12.90625" style="8" customWidth="1"/>
    <col min="8199" max="8448" width="8.90625" style="8"/>
    <col min="8449" max="8449" width="7.36328125" style="8" customWidth="1"/>
    <col min="8450" max="8450" width="5" style="8" customWidth="1"/>
    <col min="8451" max="8451" width="10.08984375" style="8" customWidth="1"/>
    <col min="8452" max="8452" width="27" style="8" customWidth="1"/>
    <col min="8453" max="8453" width="15.90625" style="8" customWidth="1"/>
    <col min="8454" max="8454" width="12.90625" style="8" customWidth="1"/>
    <col min="8455" max="8704" width="8.90625" style="8"/>
    <col min="8705" max="8705" width="7.36328125" style="8" customWidth="1"/>
    <col min="8706" max="8706" width="5" style="8" customWidth="1"/>
    <col min="8707" max="8707" width="10.08984375" style="8" customWidth="1"/>
    <col min="8708" max="8708" width="27" style="8" customWidth="1"/>
    <col min="8709" max="8709" width="15.90625" style="8" customWidth="1"/>
    <col min="8710" max="8710" width="12.90625" style="8" customWidth="1"/>
    <col min="8711" max="8960" width="8.90625" style="8"/>
    <col min="8961" max="8961" width="7.36328125" style="8" customWidth="1"/>
    <col min="8962" max="8962" width="5" style="8" customWidth="1"/>
    <col min="8963" max="8963" width="10.08984375" style="8" customWidth="1"/>
    <col min="8964" max="8964" width="27" style="8" customWidth="1"/>
    <col min="8965" max="8965" width="15.90625" style="8" customWidth="1"/>
    <col min="8966" max="8966" width="12.90625" style="8" customWidth="1"/>
    <col min="8967" max="9216" width="8.90625" style="8"/>
    <col min="9217" max="9217" width="7.36328125" style="8" customWidth="1"/>
    <col min="9218" max="9218" width="5" style="8" customWidth="1"/>
    <col min="9219" max="9219" width="10.08984375" style="8" customWidth="1"/>
    <col min="9220" max="9220" width="27" style="8" customWidth="1"/>
    <col min="9221" max="9221" width="15.90625" style="8" customWidth="1"/>
    <col min="9222" max="9222" width="12.90625" style="8" customWidth="1"/>
    <col min="9223" max="9472" width="8.90625" style="8"/>
    <col min="9473" max="9473" width="7.36328125" style="8" customWidth="1"/>
    <col min="9474" max="9474" width="5" style="8" customWidth="1"/>
    <col min="9475" max="9475" width="10.08984375" style="8" customWidth="1"/>
    <col min="9476" max="9476" width="27" style="8" customWidth="1"/>
    <col min="9477" max="9477" width="15.90625" style="8" customWidth="1"/>
    <col min="9478" max="9478" width="12.90625" style="8" customWidth="1"/>
    <col min="9479" max="9728" width="8.90625" style="8"/>
    <col min="9729" max="9729" width="7.36328125" style="8" customWidth="1"/>
    <col min="9730" max="9730" width="5" style="8" customWidth="1"/>
    <col min="9731" max="9731" width="10.08984375" style="8" customWidth="1"/>
    <col min="9732" max="9732" width="27" style="8" customWidth="1"/>
    <col min="9733" max="9733" width="15.90625" style="8" customWidth="1"/>
    <col min="9734" max="9734" width="12.90625" style="8" customWidth="1"/>
    <col min="9735" max="9984" width="8.90625" style="8"/>
    <col min="9985" max="9985" width="7.36328125" style="8" customWidth="1"/>
    <col min="9986" max="9986" width="5" style="8" customWidth="1"/>
    <col min="9987" max="9987" width="10.08984375" style="8" customWidth="1"/>
    <col min="9988" max="9988" width="27" style="8" customWidth="1"/>
    <col min="9989" max="9989" width="15.90625" style="8" customWidth="1"/>
    <col min="9990" max="9990" width="12.90625" style="8" customWidth="1"/>
    <col min="9991" max="10240" width="8.90625" style="8"/>
    <col min="10241" max="10241" width="7.36328125" style="8" customWidth="1"/>
    <col min="10242" max="10242" width="5" style="8" customWidth="1"/>
    <col min="10243" max="10243" width="10.08984375" style="8" customWidth="1"/>
    <col min="10244" max="10244" width="27" style="8" customWidth="1"/>
    <col min="10245" max="10245" width="15.90625" style="8" customWidth="1"/>
    <col min="10246" max="10246" width="12.90625" style="8" customWidth="1"/>
    <col min="10247" max="10496" width="8.90625" style="8"/>
    <col min="10497" max="10497" width="7.36328125" style="8" customWidth="1"/>
    <col min="10498" max="10498" width="5" style="8" customWidth="1"/>
    <col min="10499" max="10499" width="10.08984375" style="8" customWidth="1"/>
    <col min="10500" max="10500" width="27" style="8" customWidth="1"/>
    <col min="10501" max="10501" width="15.90625" style="8" customWidth="1"/>
    <col min="10502" max="10502" width="12.90625" style="8" customWidth="1"/>
    <col min="10503" max="10752" width="8.90625" style="8"/>
    <col min="10753" max="10753" width="7.36328125" style="8" customWidth="1"/>
    <col min="10754" max="10754" width="5" style="8" customWidth="1"/>
    <col min="10755" max="10755" width="10.08984375" style="8" customWidth="1"/>
    <col min="10756" max="10756" width="27" style="8" customWidth="1"/>
    <col min="10757" max="10757" width="15.90625" style="8" customWidth="1"/>
    <col min="10758" max="10758" width="12.90625" style="8" customWidth="1"/>
    <col min="10759" max="11008" width="8.90625" style="8"/>
    <col min="11009" max="11009" width="7.36328125" style="8" customWidth="1"/>
    <col min="11010" max="11010" width="5" style="8" customWidth="1"/>
    <col min="11011" max="11011" width="10.08984375" style="8" customWidth="1"/>
    <col min="11012" max="11012" width="27" style="8" customWidth="1"/>
    <col min="11013" max="11013" width="15.90625" style="8" customWidth="1"/>
    <col min="11014" max="11014" width="12.90625" style="8" customWidth="1"/>
    <col min="11015" max="11264" width="8.90625" style="8"/>
    <col min="11265" max="11265" width="7.36328125" style="8" customWidth="1"/>
    <col min="11266" max="11266" width="5" style="8" customWidth="1"/>
    <col min="11267" max="11267" width="10.08984375" style="8" customWidth="1"/>
    <col min="11268" max="11268" width="27" style="8" customWidth="1"/>
    <col min="11269" max="11269" width="15.90625" style="8" customWidth="1"/>
    <col min="11270" max="11270" width="12.90625" style="8" customWidth="1"/>
    <col min="11271" max="11520" width="8.90625" style="8"/>
    <col min="11521" max="11521" width="7.36328125" style="8" customWidth="1"/>
    <col min="11522" max="11522" width="5" style="8" customWidth="1"/>
    <col min="11523" max="11523" width="10.08984375" style="8" customWidth="1"/>
    <col min="11524" max="11524" width="27" style="8" customWidth="1"/>
    <col min="11525" max="11525" width="15.90625" style="8" customWidth="1"/>
    <col min="11526" max="11526" width="12.90625" style="8" customWidth="1"/>
    <col min="11527" max="11776" width="8.90625" style="8"/>
    <col min="11777" max="11777" width="7.36328125" style="8" customWidth="1"/>
    <col min="11778" max="11778" width="5" style="8" customWidth="1"/>
    <col min="11779" max="11779" width="10.08984375" style="8" customWidth="1"/>
    <col min="11780" max="11780" width="27" style="8" customWidth="1"/>
    <col min="11781" max="11781" width="15.90625" style="8" customWidth="1"/>
    <col min="11782" max="11782" width="12.90625" style="8" customWidth="1"/>
    <col min="11783" max="12032" width="8.90625" style="8"/>
    <col min="12033" max="12033" width="7.36328125" style="8" customWidth="1"/>
    <col min="12034" max="12034" width="5" style="8" customWidth="1"/>
    <col min="12035" max="12035" width="10.08984375" style="8" customWidth="1"/>
    <col min="12036" max="12036" width="27" style="8" customWidth="1"/>
    <col min="12037" max="12037" width="15.90625" style="8" customWidth="1"/>
    <col min="12038" max="12038" width="12.90625" style="8" customWidth="1"/>
    <col min="12039" max="12288" width="8.90625" style="8"/>
    <col min="12289" max="12289" width="7.36328125" style="8" customWidth="1"/>
    <col min="12290" max="12290" width="5" style="8" customWidth="1"/>
    <col min="12291" max="12291" width="10.08984375" style="8" customWidth="1"/>
    <col min="12292" max="12292" width="27" style="8" customWidth="1"/>
    <col min="12293" max="12293" width="15.90625" style="8" customWidth="1"/>
    <col min="12294" max="12294" width="12.90625" style="8" customWidth="1"/>
    <col min="12295" max="12544" width="8.90625" style="8"/>
    <col min="12545" max="12545" width="7.36328125" style="8" customWidth="1"/>
    <col min="12546" max="12546" width="5" style="8" customWidth="1"/>
    <col min="12547" max="12547" width="10.08984375" style="8" customWidth="1"/>
    <col min="12548" max="12548" width="27" style="8" customWidth="1"/>
    <col min="12549" max="12549" width="15.90625" style="8" customWidth="1"/>
    <col min="12550" max="12550" width="12.90625" style="8" customWidth="1"/>
    <col min="12551" max="12800" width="8.90625" style="8"/>
    <col min="12801" max="12801" width="7.36328125" style="8" customWidth="1"/>
    <col min="12802" max="12802" width="5" style="8" customWidth="1"/>
    <col min="12803" max="12803" width="10.08984375" style="8" customWidth="1"/>
    <col min="12804" max="12804" width="27" style="8" customWidth="1"/>
    <col min="12805" max="12805" width="15.90625" style="8" customWidth="1"/>
    <col min="12806" max="12806" width="12.90625" style="8" customWidth="1"/>
    <col min="12807" max="13056" width="8.90625" style="8"/>
    <col min="13057" max="13057" width="7.36328125" style="8" customWidth="1"/>
    <col min="13058" max="13058" width="5" style="8" customWidth="1"/>
    <col min="13059" max="13059" width="10.08984375" style="8" customWidth="1"/>
    <col min="13060" max="13060" width="27" style="8" customWidth="1"/>
    <col min="13061" max="13061" width="15.90625" style="8" customWidth="1"/>
    <col min="13062" max="13062" width="12.90625" style="8" customWidth="1"/>
    <col min="13063" max="13312" width="8.90625" style="8"/>
    <col min="13313" max="13313" width="7.36328125" style="8" customWidth="1"/>
    <col min="13314" max="13314" width="5" style="8" customWidth="1"/>
    <col min="13315" max="13315" width="10.08984375" style="8" customWidth="1"/>
    <col min="13316" max="13316" width="27" style="8" customWidth="1"/>
    <col min="13317" max="13317" width="15.90625" style="8" customWidth="1"/>
    <col min="13318" max="13318" width="12.90625" style="8" customWidth="1"/>
    <col min="13319" max="13568" width="8.90625" style="8"/>
    <col min="13569" max="13569" width="7.36328125" style="8" customWidth="1"/>
    <col min="13570" max="13570" width="5" style="8" customWidth="1"/>
    <col min="13571" max="13571" width="10.08984375" style="8" customWidth="1"/>
    <col min="13572" max="13572" width="27" style="8" customWidth="1"/>
    <col min="13573" max="13573" width="15.90625" style="8" customWidth="1"/>
    <col min="13574" max="13574" width="12.90625" style="8" customWidth="1"/>
    <col min="13575" max="13824" width="8.90625" style="8"/>
    <col min="13825" max="13825" width="7.36328125" style="8" customWidth="1"/>
    <col min="13826" max="13826" width="5" style="8" customWidth="1"/>
    <col min="13827" max="13827" width="10.08984375" style="8" customWidth="1"/>
    <col min="13828" max="13828" width="27" style="8" customWidth="1"/>
    <col min="13829" max="13829" width="15.90625" style="8" customWidth="1"/>
    <col min="13830" max="13830" width="12.90625" style="8" customWidth="1"/>
    <col min="13831" max="14080" width="8.90625" style="8"/>
    <col min="14081" max="14081" width="7.36328125" style="8" customWidth="1"/>
    <col min="14082" max="14082" width="5" style="8" customWidth="1"/>
    <col min="14083" max="14083" width="10.08984375" style="8" customWidth="1"/>
    <col min="14084" max="14084" width="27" style="8" customWidth="1"/>
    <col min="14085" max="14085" width="15.90625" style="8" customWidth="1"/>
    <col min="14086" max="14086" width="12.90625" style="8" customWidth="1"/>
    <col min="14087" max="14336" width="8.90625" style="8"/>
    <col min="14337" max="14337" width="7.36328125" style="8" customWidth="1"/>
    <col min="14338" max="14338" width="5" style="8" customWidth="1"/>
    <col min="14339" max="14339" width="10.08984375" style="8" customWidth="1"/>
    <col min="14340" max="14340" width="27" style="8" customWidth="1"/>
    <col min="14341" max="14341" width="15.90625" style="8" customWidth="1"/>
    <col min="14342" max="14342" width="12.90625" style="8" customWidth="1"/>
    <col min="14343" max="14592" width="8.90625" style="8"/>
    <col min="14593" max="14593" width="7.36328125" style="8" customWidth="1"/>
    <col min="14594" max="14594" width="5" style="8" customWidth="1"/>
    <col min="14595" max="14595" width="10.08984375" style="8" customWidth="1"/>
    <col min="14596" max="14596" width="27" style="8" customWidth="1"/>
    <col min="14597" max="14597" width="15.90625" style="8" customWidth="1"/>
    <col min="14598" max="14598" width="12.90625" style="8" customWidth="1"/>
    <col min="14599" max="14848" width="8.90625" style="8"/>
    <col min="14849" max="14849" width="7.36328125" style="8" customWidth="1"/>
    <col min="14850" max="14850" width="5" style="8" customWidth="1"/>
    <col min="14851" max="14851" width="10.08984375" style="8" customWidth="1"/>
    <col min="14852" max="14852" width="27" style="8" customWidth="1"/>
    <col min="14853" max="14853" width="15.90625" style="8" customWidth="1"/>
    <col min="14854" max="14854" width="12.90625" style="8" customWidth="1"/>
    <col min="14855" max="15104" width="8.90625" style="8"/>
    <col min="15105" max="15105" width="7.36328125" style="8" customWidth="1"/>
    <col min="15106" max="15106" width="5" style="8" customWidth="1"/>
    <col min="15107" max="15107" width="10.08984375" style="8" customWidth="1"/>
    <col min="15108" max="15108" width="27" style="8" customWidth="1"/>
    <col min="15109" max="15109" width="15.90625" style="8" customWidth="1"/>
    <col min="15110" max="15110" width="12.90625" style="8" customWidth="1"/>
    <col min="15111" max="15360" width="8.90625" style="8"/>
    <col min="15361" max="15361" width="7.36328125" style="8" customWidth="1"/>
    <col min="15362" max="15362" width="5" style="8" customWidth="1"/>
    <col min="15363" max="15363" width="10.08984375" style="8" customWidth="1"/>
    <col min="15364" max="15364" width="27" style="8" customWidth="1"/>
    <col min="15365" max="15365" width="15.90625" style="8" customWidth="1"/>
    <col min="15366" max="15366" width="12.90625" style="8" customWidth="1"/>
    <col min="15367" max="15616" width="8.90625" style="8"/>
    <col min="15617" max="15617" width="7.36328125" style="8" customWidth="1"/>
    <col min="15618" max="15618" width="5" style="8" customWidth="1"/>
    <col min="15619" max="15619" width="10.08984375" style="8" customWidth="1"/>
    <col min="15620" max="15620" width="27" style="8" customWidth="1"/>
    <col min="15621" max="15621" width="15.90625" style="8" customWidth="1"/>
    <col min="15622" max="15622" width="12.90625" style="8" customWidth="1"/>
    <col min="15623" max="15872" width="8.90625" style="8"/>
    <col min="15873" max="15873" width="7.36328125" style="8" customWidth="1"/>
    <col min="15874" max="15874" width="5" style="8" customWidth="1"/>
    <col min="15875" max="15875" width="10.08984375" style="8" customWidth="1"/>
    <col min="15876" max="15876" width="27" style="8" customWidth="1"/>
    <col min="15877" max="15877" width="15.90625" style="8" customWidth="1"/>
    <col min="15878" max="15878" width="12.90625" style="8" customWidth="1"/>
    <col min="15879" max="16128" width="8.90625" style="8"/>
    <col min="16129" max="16129" width="7.36328125" style="8" customWidth="1"/>
    <col min="16130" max="16130" width="5" style="8" customWidth="1"/>
    <col min="16131" max="16131" width="10.08984375" style="8" customWidth="1"/>
    <col min="16132" max="16132" width="27" style="8" customWidth="1"/>
    <col min="16133" max="16133" width="15.90625" style="8" customWidth="1"/>
    <col min="16134" max="16134" width="12.90625" style="8" customWidth="1"/>
    <col min="16135" max="16384" width="8.90625" style="8"/>
  </cols>
  <sheetData>
    <row r="1" spans="1:9" ht="18.5">
      <c r="A1" s="44" t="s">
        <v>46</v>
      </c>
      <c r="B1" s="35"/>
    </row>
    <row r="2" spans="1:9" ht="13">
      <c r="A2" s="44">
        <v>2</v>
      </c>
      <c r="B2" s="44" t="s">
        <v>58</v>
      </c>
      <c r="C2" s="44"/>
    </row>
    <row r="3" spans="1:9" ht="14.5">
      <c r="A3"/>
      <c r="B3" s="44"/>
      <c r="F3" s="39"/>
    </row>
    <row r="4" spans="1:9" ht="14.5">
      <c r="A4" s="29"/>
      <c r="B4"/>
    </row>
    <row r="6" spans="1:9" ht="15.5">
      <c r="B6" s="9" t="s">
        <v>14</v>
      </c>
      <c r="C6" s="2" t="s">
        <v>1</v>
      </c>
      <c r="D6" s="2" t="s">
        <v>2</v>
      </c>
      <c r="E6" s="3" t="s">
        <v>3</v>
      </c>
      <c r="F6" s="10" t="s">
        <v>15</v>
      </c>
    </row>
    <row r="7" spans="1:9" ht="15.5">
      <c r="B7" s="11">
        <v>1</v>
      </c>
      <c r="C7" s="4">
        <v>101</v>
      </c>
      <c r="D7" s="5" t="str">
        <f>VLOOKUP(C7,'Item List'!B3:D12,2,0)</f>
        <v>Executive Swivel Chair</v>
      </c>
      <c r="E7" s="12">
        <f>VLOOKUP(C7,'Item List'!B3:D12,3,0)</f>
        <v>425</v>
      </c>
      <c r="F7" s="13">
        <f t="shared" ref="F7:F12" si="0">B7*E7</f>
        <v>425</v>
      </c>
      <c r="I7" t="s">
        <v>99</v>
      </c>
    </row>
    <row r="8" spans="1:9" ht="15.5">
      <c r="B8" s="14">
        <v>2</v>
      </c>
      <c r="C8" s="7">
        <v>103</v>
      </c>
      <c r="D8" s="5" t="str">
        <f>VLOOKUP(C8,'Item List'!B4:D13,2,0)</f>
        <v>Std Secretary Chair</v>
      </c>
      <c r="E8" s="12">
        <f>VLOOKUP(C8,'Item List'!B4:D13,3,0)</f>
        <v>145</v>
      </c>
      <c r="F8" s="13">
        <f t="shared" si="0"/>
        <v>290</v>
      </c>
      <c r="I8" t="s">
        <v>100</v>
      </c>
    </row>
    <row r="9" spans="1:9" ht="15.5">
      <c r="B9" s="14">
        <v>3</v>
      </c>
      <c r="C9" s="7">
        <v>104</v>
      </c>
      <c r="D9" s="5" t="str">
        <f>VLOOKUP(C9,'Item List'!B5:D14,2,0)</f>
        <v>Deluxe Secretary Chair</v>
      </c>
      <c r="E9" s="12">
        <f>VLOOKUP(C9,'Item List'!B5:D14,3,0)</f>
        <v>185</v>
      </c>
      <c r="F9" s="13">
        <f t="shared" si="0"/>
        <v>555</v>
      </c>
      <c r="I9" t="s">
        <v>101</v>
      </c>
    </row>
    <row r="10" spans="1:9" ht="15.5">
      <c r="B10" s="14">
        <v>1</v>
      </c>
      <c r="C10" s="7">
        <v>106</v>
      </c>
      <c r="D10" s="5" t="str">
        <f>VLOOKUP(C10,'Item List'!B6:D15,2,0)</f>
        <v>Double Pedestal Desk</v>
      </c>
      <c r="E10" s="12">
        <f>VLOOKUP(C10,'Item List'!B6:D15,3,0)</f>
        <v>1255</v>
      </c>
      <c r="F10" s="13">
        <f t="shared" si="0"/>
        <v>1255</v>
      </c>
      <c r="I10" t="s">
        <v>102</v>
      </c>
    </row>
    <row r="11" spans="1:9" ht="15.5">
      <c r="B11" s="14">
        <v>2</v>
      </c>
      <c r="C11" s="7">
        <v>108</v>
      </c>
      <c r="D11" s="5" t="str">
        <f>VLOOKUP(C11,'Item List'!B7:D16,2,0)</f>
        <v>Executive Filing Cabinet</v>
      </c>
      <c r="E11" s="12">
        <f>VLOOKUP(C11,'Item List'!B7:D16,3,0)</f>
        <v>395</v>
      </c>
      <c r="F11" s="13">
        <f t="shared" si="0"/>
        <v>790</v>
      </c>
    </row>
    <row r="12" spans="1:9" ht="15.5">
      <c r="B12" s="14">
        <v>3</v>
      </c>
      <c r="C12" s="7">
        <v>110</v>
      </c>
      <c r="D12" s="5" t="str">
        <f>VLOOKUP(C12,'Item List'!B8:D17,2,0)</f>
        <v>Contemporary Bookcase</v>
      </c>
      <c r="E12" s="12">
        <f>VLOOKUP(C12,'Item List'!B8:D17,3,0)</f>
        <v>650</v>
      </c>
      <c r="F12" s="13">
        <f t="shared" si="0"/>
        <v>1950</v>
      </c>
    </row>
    <row r="13" spans="1:9" ht="15.5">
      <c r="B13" s="15"/>
      <c r="C13" s="16"/>
      <c r="D13" s="5"/>
      <c r="E13" s="12"/>
      <c r="F13" s="12" t="str">
        <f>IF(B13*E13&gt;0,B13*E13,"")</f>
        <v/>
      </c>
    </row>
    <row r="14" spans="1:9">
      <c r="B14" s="17"/>
      <c r="C14" s="18"/>
      <c r="D14" s="18"/>
      <c r="E14" s="19"/>
      <c r="F14" s="20"/>
    </row>
    <row r="15" spans="1:9" ht="15.5">
      <c r="B15" s="21"/>
      <c r="C15" s="22"/>
      <c r="D15" s="22"/>
      <c r="E15" s="23" t="s">
        <v>16</v>
      </c>
      <c r="F15" s="12">
        <f>SUM(F7:F13)</f>
        <v>5265</v>
      </c>
    </row>
    <row r="16" spans="1:9">
      <c r="B16" s="24"/>
      <c r="C16" s="25"/>
      <c r="D16" s="25"/>
      <c r="E16" s="26"/>
      <c r="F16" s="2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12"/>
  <sheetViews>
    <sheetView zoomScale="86" zoomScaleNormal="145" workbookViewId="0">
      <selection activeCell="C7" sqref="C7"/>
    </sheetView>
  </sheetViews>
  <sheetFormatPr defaultRowHeight="14.5"/>
  <cols>
    <col min="2" max="2" width="11.1796875" customWidth="1"/>
    <col min="3" max="3" width="27.54296875" bestFit="1" customWidth="1"/>
    <col min="4" max="4" width="14.36328125" customWidth="1"/>
  </cols>
  <sheetData>
    <row r="2" spans="2:7" ht="15.5">
      <c r="B2" s="78" t="s">
        <v>1</v>
      </c>
      <c r="C2" s="78" t="s">
        <v>2</v>
      </c>
      <c r="D2" s="79" t="s">
        <v>3</v>
      </c>
    </row>
    <row r="3" spans="2:7" ht="15.5">
      <c r="B3" s="4">
        <v>101</v>
      </c>
      <c r="C3" s="5" t="s">
        <v>4</v>
      </c>
      <c r="D3" s="6">
        <v>425</v>
      </c>
    </row>
    <row r="4" spans="2:7" ht="15.5">
      <c r="B4" s="7">
        <v>102</v>
      </c>
      <c r="C4" s="5" t="s">
        <v>5</v>
      </c>
      <c r="D4" s="6">
        <v>225</v>
      </c>
      <c r="F4" t="s">
        <v>99</v>
      </c>
      <c r="G4" s="39"/>
    </row>
    <row r="5" spans="2:7" ht="15.5">
      <c r="B5" s="7">
        <v>103</v>
      </c>
      <c r="C5" s="5" t="s">
        <v>6</v>
      </c>
      <c r="D5" s="6">
        <v>145</v>
      </c>
      <c r="F5" t="s">
        <v>100</v>
      </c>
    </row>
    <row r="6" spans="2:7" ht="15.5">
      <c r="B6" s="7">
        <v>104</v>
      </c>
      <c r="C6" s="5" t="s">
        <v>7</v>
      </c>
      <c r="D6" s="6">
        <v>185</v>
      </c>
      <c r="F6" t="s">
        <v>101</v>
      </c>
    </row>
    <row r="7" spans="2:7" ht="15.5">
      <c r="B7" s="7">
        <v>105</v>
      </c>
      <c r="C7" s="5" t="s">
        <v>8</v>
      </c>
      <c r="D7" s="6">
        <v>150</v>
      </c>
      <c r="F7" t="s">
        <v>102</v>
      </c>
    </row>
    <row r="8" spans="2:7" ht="15.5">
      <c r="B8" s="7">
        <v>106</v>
      </c>
      <c r="C8" s="5" t="s">
        <v>9</v>
      </c>
      <c r="D8" s="6">
        <v>1255</v>
      </c>
    </row>
    <row r="9" spans="2:7" ht="15.5">
      <c r="B9" s="7">
        <v>107</v>
      </c>
      <c r="C9" s="5" t="s">
        <v>10</v>
      </c>
      <c r="D9" s="6">
        <v>950</v>
      </c>
    </row>
    <row r="10" spans="2:7" ht="15.5">
      <c r="B10" s="7">
        <v>108</v>
      </c>
      <c r="C10" s="5" t="s">
        <v>11</v>
      </c>
      <c r="D10" s="6">
        <v>395</v>
      </c>
    </row>
    <row r="11" spans="2:7" ht="15.5">
      <c r="B11" s="7">
        <v>109</v>
      </c>
      <c r="C11" s="5" t="s">
        <v>12</v>
      </c>
      <c r="D11" s="6">
        <v>65</v>
      </c>
    </row>
    <row r="12" spans="2:7" ht="15.5">
      <c r="B12" s="80">
        <v>110</v>
      </c>
      <c r="C12" s="81" t="s">
        <v>13</v>
      </c>
      <c r="D12" s="82">
        <v>650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1E8F-A321-4DE2-9946-A9CEAAD8F114}">
  <sheetPr>
    <tabColor theme="8" tint="0.59999389629810485"/>
  </sheetPr>
  <dimension ref="A1:H16"/>
  <sheetViews>
    <sheetView zoomScale="88" zoomScaleNormal="140" workbookViewId="0">
      <selection activeCell="E7" sqref="E7:E12"/>
    </sheetView>
  </sheetViews>
  <sheetFormatPr defaultColWidth="8.90625" defaultRowHeight="12.5"/>
  <cols>
    <col min="1" max="1" width="7.36328125" style="8" customWidth="1"/>
    <col min="2" max="2" width="5" style="8" customWidth="1"/>
    <col min="3" max="3" width="10.08984375" style="8" customWidth="1"/>
    <col min="4" max="4" width="27" style="8" customWidth="1"/>
    <col min="5" max="5" width="15.90625" style="8" customWidth="1"/>
    <col min="6" max="6" width="12.90625" style="8" customWidth="1"/>
    <col min="7" max="256" width="8.90625" style="8"/>
    <col min="257" max="257" width="7.36328125" style="8" customWidth="1"/>
    <col min="258" max="258" width="5" style="8" customWidth="1"/>
    <col min="259" max="259" width="10.08984375" style="8" customWidth="1"/>
    <col min="260" max="260" width="27" style="8" customWidth="1"/>
    <col min="261" max="261" width="15.90625" style="8" customWidth="1"/>
    <col min="262" max="262" width="12.90625" style="8" customWidth="1"/>
    <col min="263" max="512" width="8.90625" style="8"/>
    <col min="513" max="513" width="7.36328125" style="8" customWidth="1"/>
    <col min="514" max="514" width="5" style="8" customWidth="1"/>
    <col min="515" max="515" width="10.08984375" style="8" customWidth="1"/>
    <col min="516" max="516" width="27" style="8" customWidth="1"/>
    <col min="517" max="517" width="15.90625" style="8" customWidth="1"/>
    <col min="518" max="518" width="12.90625" style="8" customWidth="1"/>
    <col min="519" max="768" width="8.90625" style="8"/>
    <col min="769" max="769" width="7.36328125" style="8" customWidth="1"/>
    <col min="770" max="770" width="5" style="8" customWidth="1"/>
    <col min="771" max="771" width="10.08984375" style="8" customWidth="1"/>
    <col min="772" max="772" width="27" style="8" customWidth="1"/>
    <col min="773" max="773" width="15.90625" style="8" customWidth="1"/>
    <col min="774" max="774" width="12.90625" style="8" customWidth="1"/>
    <col min="775" max="1024" width="8.90625" style="8"/>
    <col min="1025" max="1025" width="7.36328125" style="8" customWidth="1"/>
    <col min="1026" max="1026" width="5" style="8" customWidth="1"/>
    <col min="1027" max="1027" width="10.08984375" style="8" customWidth="1"/>
    <col min="1028" max="1028" width="27" style="8" customWidth="1"/>
    <col min="1029" max="1029" width="15.90625" style="8" customWidth="1"/>
    <col min="1030" max="1030" width="12.90625" style="8" customWidth="1"/>
    <col min="1031" max="1280" width="8.90625" style="8"/>
    <col min="1281" max="1281" width="7.36328125" style="8" customWidth="1"/>
    <col min="1282" max="1282" width="5" style="8" customWidth="1"/>
    <col min="1283" max="1283" width="10.08984375" style="8" customWidth="1"/>
    <col min="1284" max="1284" width="27" style="8" customWidth="1"/>
    <col min="1285" max="1285" width="15.90625" style="8" customWidth="1"/>
    <col min="1286" max="1286" width="12.90625" style="8" customWidth="1"/>
    <col min="1287" max="1536" width="8.90625" style="8"/>
    <col min="1537" max="1537" width="7.36328125" style="8" customWidth="1"/>
    <col min="1538" max="1538" width="5" style="8" customWidth="1"/>
    <col min="1539" max="1539" width="10.08984375" style="8" customWidth="1"/>
    <col min="1540" max="1540" width="27" style="8" customWidth="1"/>
    <col min="1541" max="1541" width="15.90625" style="8" customWidth="1"/>
    <col min="1542" max="1542" width="12.90625" style="8" customWidth="1"/>
    <col min="1543" max="1792" width="8.90625" style="8"/>
    <col min="1793" max="1793" width="7.36328125" style="8" customWidth="1"/>
    <col min="1794" max="1794" width="5" style="8" customWidth="1"/>
    <col min="1795" max="1795" width="10.08984375" style="8" customWidth="1"/>
    <col min="1796" max="1796" width="27" style="8" customWidth="1"/>
    <col min="1797" max="1797" width="15.90625" style="8" customWidth="1"/>
    <col min="1798" max="1798" width="12.90625" style="8" customWidth="1"/>
    <col min="1799" max="2048" width="8.90625" style="8"/>
    <col min="2049" max="2049" width="7.36328125" style="8" customWidth="1"/>
    <col min="2050" max="2050" width="5" style="8" customWidth="1"/>
    <col min="2051" max="2051" width="10.08984375" style="8" customWidth="1"/>
    <col min="2052" max="2052" width="27" style="8" customWidth="1"/>
    <col min="2053" max="2053" width="15.90625" style="8" customWidth="1"/>
    <col min="2054" max="2054" width="12.90625" style="8" customWidth="1"/>
    <col min="2055" max="2304" width="8.90625" style="8"/>
    <col min="2305" max="2305" width="7.36328125" style="8" customWidth="1"/>
    <col min="2306" max="2306" width="5" style="8" customWidth="1"/>
    <col min="2307" max="2307" width="10.08984375" style="8" customWidth="1"/>
    <col min="2308" max="2308" width="27" style="8" customWidth="1"/>
    <col min="2309" max="2309" width="15.90625" style="8" customWidth="1"/>
    <col min="2310" max="2310" width="12.90625" style="8" customWidth="1"/>
    <col min="2311" max="2560" width="8.90625" style="8"/>
    <col min="2561" max="2561" width="7.36328125" style="8" customWidth="1"/>
    <col min="2562" max="2562" width="5" style="8" customWidth="1"/>
    <col min="2563" max="2563" width="10.08984375" style="8" customWidth="1"/>
    <col min="2564" max="2564" width="27" style="8" customWidth="1"/>
    <col min="2565" max="2565" width="15.90625" style="8" customWidth="1"/>
    <col min="2566" max="2566" width="12.90625" style="8" customWidth="1"/>
    <col min="2567" max="2816" width="8.90625" style="8"/>
    <col min="2817" max="2817" width="7.36328125" style="8" customWidth="1"/>
    <col min="2818" max="2818" width="5" style="8" customWidth="1"/>
    <col min="2819" max="2819" width="10.08984375" style="8" customWidth="1"/>
    <col min="2820" max="2820" width="27" style="8" customWidth="1"/>
    <col min="2821" max="2821" width="15.90625" style="8" customWidth="1"/>
    <col min="2822" max="2822" width="12.90625" style="8" customWidth="1"/>
    <col min="2823" max="3072" width="8.90625" style="8"/>
    <col min="3073" max="3073" width="7.36328125" style="8" customWidth="1"/>
    <col min="3074" max="3074" width="5" style="8" customWidth="1"/>
    <col min="3075" max="3075" width="10.08984375" style="8" customWidth="1"/>
    <col min="3076" max="3076" width="27" style="8" customWidth="1"/>
    <col min="3077" max="3077" width="15.90625" style="8" customWidth="1"/>
    <col min="3078" max="3078" width="12.90625" style="8" customWidth="1"/>
    <col min="3079" max="3328" width="8.90625" style="8"/>
    <col min="3329" max="3329" width="7.36328125" style="8" customWidth="1"/>
    <col min="3330" max="3330" width="5" style="8" customWidth="1"/>
    <col min="3331" max="3331" width="10.08984375" style="8" customWidth="1"/>
    <col min="3332" max="3332" width="27" style="8" customWidth="1"/>
    <col min="3333" max="3333" width="15.90625" style="8" customWidth="1"/>
    <col min="3334" max="3334" width="12.90625" style="8" customWidth="1"/>
    <col min="3335" max="3584" width="8.90625" style="8"/>
    <col min="3585" max="3585" width="7.36328125" style="8" customWidth="1"/>
    <col min="3586" max="3586" width="5" style="8" customWidth="1"/>
    <col min="3587" max="3587" width="10.08984375" style="8" customWidth="1"/>
    <col min="3588" max="3588" width="27" style="8" customWidth="1"/>
    <col min="3589" max="3589" width="15.90625" style="8" customWidth="1"/>
    <col min="3590" max="3590" width="12.90625" style="8" customWidth="1"/>
    <col min="3591" max="3840" width="8.90625" style="8"/>
    <col min="3841" max="3841" width="7.36328125" style="8" customWidth="1"/>
    <col min="3842" max="3842" width="5" style="8" customWidth="1"/>
    <col min="3843" max="3843" width="10.08984375" style="8" customWidth="1"/>
    <col min="3844" max="3844" width="27" style="8" customWidth="1"/>
    <col min="3845" max="3845" width="15.90625" style="8" customWidth="1"/>
    <col min="3846" max="3846" width="12.90625" style="8" customWidth="1"/>
    <col min="3847" max="4096" width="8.90625" style="8"/>
    <col min="4097" max="4097" width="7.36328125" style="8" customWidth="1"/>
    <col min="4098" max="4098" width="5" style="8" customWidth="1"/>
    <col min="4099" max="4099" width="10.08984375" style="8" customWidth="1"/>
    <col min="4100" max="4100" width="27" style="8" customWidth="1"/>
    <col min="4101" max="4101" width="15.90625" style="8" customWidth="1"/>
    <col min="4102" max="4102" width="12.90625" style="8" customWidth="1"/>
    <col min="4103" max="4352" width="8.90625" style="8"/>
    <col min="4353" max="4353" width="7.36328125" style="8" customWidth="1"/>
    <col min="4354" max="4354" width="5" style="8" customWidth="1"/>
    <col min="4355" max="4355" width="10.08984375" style="8" customWidth="1"/>
    <col min="4356" max="4356" width="27" style="8" customWidth="1"/>
    <col min="4357" max="4357" width="15.90625" style="8" customWidth="1"/>
    <col min="4358" max="4358" width="12.90625" style="8" customWidth="1"/>
    <col min="4359" max="4608" width="8.90625" style="8"/>
    <col min="4609" max="4609" width="7.36328125" style="8" customWidth="1"/>
    <col min="4610" max="4610" width="5" style="8" customWidth="1"/>
    <col min="4611" max="4611" width="10.08984375" style="8" customWidth="1"/>
    <col min="4612" max="4612" width="27" style="8" customWidth="1"/>
    <col min="4613" max="4613" width="15.90625" style="8" customWidth="1"/>
    <col min="4614" max="4614" width="12.90625" style="8" customWidth="1"/>
    <col min="4615" max="4864" width="8.90625" style="8"/>
    <col min="4865" max="4865" width="7.36328125" style="8" customWidth="1"/>
    <col min="4866" max="4866" width="5" style="8" customWidth="1"/>
    <col min="4867" max="4867" width="10.08984375" style="8" customWidth="1"/>
    <col min="4868" max="4868" width="27" style="8" customWidth="1"/>
    <col min="4869" max="4869" width="15.90625" style="8" customWidth="1"/>
    <col min="4870" max="4870" width="12.90625" style="8" customWidth="1"/>
    <col min="4871" max="5120" width="8.90625" style="8"/>
    <col min="5121" max="5121" width="7.36328125" style="8" customWidth="1"/>
    <col min="5122" max="5122" width="5" style="8" customWidth="1"/>
    <col min="5123" max="5123" width="10.08984375" style="8" customWidth="1"/>
    <col min="5124" max="5124" width="27" style="8" customWidth="1"/>
    <col min="5125" max="5125" width="15.90625" style="8" customWidth="1"/>
    <col min="5126" max="5126" width="12.90625" style="8" customWidth="1"/>
    <col min="5127" max="5376" width="8.90625" style="8"/>
    <col min="5377" max="5377" width="7.36328125" style="8" customWidth="1"/>
    <col min="5378" max="5378" width="5" style="8" customWidth="1"/>
    <col min="5379" max="5379" width="10.08984375" style="8" customWidth="1"/>
    <col min="5380" max="5380" width="27" style="8" customWidth="1"/>
    <col min="5381" max="5381" width="15.90625" style="8" customWidth="1"/>
    <col min="5382" max="5382" width="12.90625" style="8" customWidth="1"/>
    <col min="5383" max="5632" width="8.90625" style="8"/>
    <col min="5633" max="5633" width="7.36328125" style="8" customWidth="1"/>
    <col min="5634" max="5634" width="5" style="8" customWidth="1"/>
    <col min="5635" max="5635" width="10.08984375" style="8" customWidth="1"/>
    <col min="5636" max="5636" width="27" style="8" customWidth="1"/>
    <col min="5637" max="5637" width="15.90625" style="8" customWidth="1"/>
    <col min="5638" max="5638" width="12.90625" style="8" customWidth="1"/>
    <col min="5639" max="5888" width="8.90625" style="8"/>
    <col min="5889" max="5889" width="7.36328125" style="8" customWidth="1"/>
    <col min="5890" max="5890" width="5" style="8" customWidth="1"/>
    <col min="5891" max="5891" width="10.08984375" style="8" customWidth="1"/>
    <col min="5892" max="5892" width="27" style="8" customWidth="1"/>
    <col min="5893" max="5893" width="15.90625" style="8" customWidth="1"/>
    <col min="5894" max="5894" width="12.90625" style="8" customWidth="1"/>
    <col min="5895" max="6144" width="8.90625" style="8"/>
    <col min="6145" max="6145" width="7.36328125" style="8" customWidth="1"/>
    <col min="6146" max="6146" width="5" style="8" customWidth="1"/>
    <col min="6147" max="6147" width="10.08984375" style="8" customWidth="1"/>
    <col min="6148" max="6148" width="27" style="8" customWidth="1"/>
    <col min="6149" max="6149" width="15.90625" style="8" customWidth="1"/>
    <col min="6150" max="6150" width="12.90625" style="8" customWidth="1"/>
    <col min="6151" max="6400" width="8.90625" style="8"/>
    <col min="6401" max="6401" width="7.36328125" style="8" customWidth="1"/>
    <col min="6402" max="6402" width="5" style="8" customWidth="1"/>
    <col min="6403" max="6403" width="10.08984375" style="8" customWidth="1"/>
    <col min="6404" max="6404" width="27" style="8" customWidth="1"/>
    <col min="6405" max="6405" width="15.90625" style="8" customWidth="1"/>
    <col min="6406" max="6406" width="12.90625" style="8" customWidth="1"/>
    <col min="6407" max="6656" width="8.90625" style="8"/>
    <col min="6657" max="6657" width="7.36328125" style="8" customWidth="1"/>
    <col min="6658" max="6658" width="5" style="8" customWidth="1"/>
    <col min="6659" max="6659" width="10.08984375" style="8" customWidth="1"/>
    <col min="6660" max="6660" width="27" style="8" customWidth="1"/>
    <col min="6661" max="6661" width="15.90625" style="8" customWidth="1"/>
    <col min="6662" max="6662" width="12.90625" style="8" customWidth="1"/>
    <col min="6663" max="6912" width="8.90625" style="8"/>
    <col min="6913" max="6913" width="7.36328125" style="8" customWidth="1"/>
    <col min="6914" max="6914" width="5" style="8" customWidth="1"/>
    <col min="6915" max="6915" width="10.08984375" style="8" customWidth="1"/>
    <col min="6916" max="6916" width="27" style="8" customWidth="1"/>
    <col min="6917" max="6917" width="15.90625" style="8" customWidth="1"/>
    <col min="6918" max="6918" width="12.90625" style="8" customWidth="1"/>
    <col min="6919" max="7168" width="8.90625" style="8"/>
    <col min="7169" max="7169" width="7.36328125" style="8" customWidth="1"/>
    <col min="7170" max="7170" width="5" style="8" customWidth="1"/>
    <col min="7171" max="7171" width="10.08984375" style="8" customWidth="1"/>
    <col min="7172" max="7172" width="27" style="8" customWidth="1"/>
    <col min="7173" max="7173" width="15.90625" style="8" customWidth="1"/>
    <col min="7174" max="7174" width="12.90625" style="8" customWidth="1"/>
    <col min="7175" max="7424" width="8.90625" style="8"/>
    <col min="7425" max="7425" width="7.36328125" style="8" customWidth="1"/>
    <col min="7426" max="7426" width="5" style="8" customWidth="1"/>
    <col min="7427" max="7427" width="10.08984375" style="8" customWidth="1"/>
    <col min="7428" max="7428" width="27" style="8" customWidth="1"/>
    <col min="7429" max="7429" width="15.90625" style="8" customWidth="1"/>
    <col min="7430" max="7430" width="12.90625" style="8" customWidth="1"/>
    <col min="7431" max="7680" width="8.90625" style="8"/>
    <col min="7681" max="7681" width="7.36328125" style="8" customWidth="1"/>
    <col min="7682" max="7682" width="5" style="8" customWidth="1"/>
    <col min="7683" max="7683" width="10.08984375" style="8" customWidth="1"/>
    <col min="7684" max="7684" width="27" style="8" customWidth="1"/>
    <col min="7685" max="7685" width="15.90625" style="8" customWidth="1"/>
    <col min="7686" max="7686" width="12.90625" style="8" customWidth="1"/>
    <col min="7687" max="7936" width="8.90625" style="8"/>
    <col min="7937" max="7937" width="7.36328125" style="8" customWidth="1"/>
    <col min="7938" max="7938" width="5" style="8" customWidth="1"/>
    <col min="7939" max="7939" width="10.08984375" style="8" customWidth="1"/>
    <col min="7940" max="7940" width="27" style="8" customWidth="1"/>
    <col min="7941" max="7941" width="15.90625" style="8" customWidth="1"/>
    <col min="7942" max="7942" width="12.90625" style="8" customWidth="1"/>
    <col min="7943" max="8192" width="8.90625" style="8"/>
    <col min="8193" max="8193" width="7.36328125" style="8" customWidth="1"/>
    <col min="8194" max="8194" width="5" style="8" customWidth="1"/>
    <col min="8195" max="8195" width="10.08984375" style="8" customWidth="1"/>
    <col min="8196" max="8196" width="27" style="8" customWidth="1"/>
    <col min="8197" max="8197" width="15.90625" style="8" customWidth="1"/>
    <col min="8198" max="8198" width="12.90625" style="8" customWidth="1"/>
    <col min="8199" max="8448" width="8.90625" style="8"/>
    <col min="8449" max="8449" width="7.36328125" style="8" customWidth="1"/>
    <col min="8450" max="8450" width="5" style="8" customWidth="1"/>
    <col min="8451" max="8451" width="10.08984375" style="8" customWidth="1"/>
    <col min="8452" max="8452" width="27" style="8" customWidth="1"/>
    <col min="8453" max="8453" width="15.90625" style="8" customWidth="1"/>
    <col min="8454" max="8454" width="12.90625" style="8" customWidth="1"/>
    <col min="8455" max="8704" width="8.90625" style="8"/>
    <col min="8705" max="8705" width="7.36328125" style="8" customWidth="1"/>
    <col min="8706" max="8706" width="5" style="8" customWidth="1"/>
    <col min="8707" max="8707" width="10.08984375" style="8" customWidth="1"/>
    <col min="8708" max="8708" width="27" style="8" customWidth="1"/>
    <col min="8709" max="8709" width="15.90625" style="8" customWidth="1"/>
    <col min="8710" max="8710" width="12.90625" style="8" customWidth="1"/>
    <col min="8711" max="8960" width="8.90625" style="8"/>
    <col min="8961" max="8961" width="7.36328125" style="8" customWidth="1"/>
    <col min="8962" max="8962" width="5" style="8" customWidth="1"/>
    <col min="8963" max="8963" width="10.08984375" style="8" customWidth="1"/>
    <col min="8964" max="8964" width="27" style="8" customWidth="1"/>
    <col min="8965" max="8965" width="15.90625" style="8" customWidth="1"/>
    <col min="8966" max="8966" width="12.90625" style="8" customWidth="1"/>
    <col min="8967" max="9216" width="8.90625" style="8"/>
    <col min="9217" max="9217" width="7.36328125" style="8" customWidth="1"/>
    <col min="9218" max="9218" width="5" style="8" customWidth="1"/>
    <col min="9219" max="9219" width="10.08984375" style="8" customWidth="1"/>
    <col min="9220" max="9220" width="27" style="8" customWidth="1"/>
    <col min="9221" max="9221" width="15.90625" style="8" customWidth="1"/>
    <col min="9222" max="9222" width="12.90625" style="8" customWidth="1"/>
    <col min="9223" max="9472" width="8.90625" style="8"/>
    <col min="9473" max="9473" width="7.36328125" style="8" customWidth="1"/>
    <col min="9474" max="9474" width="5" style="8" customWidth="1"/>
    <col min="9475" max="9475" width="10.08984375" style="8" customWidth="1"/>
    <col min="9476" max="9476" width="27" style="8" customWidth="1"/>
    <col min="9477" max="9477" width="15.90625" style="8" customWidth="1"/>
    <col min="9478" max="9478" width="12.90625" style="8" customWidth="1"/>
    <col min="9479" max="9728" width="8.90625" style="8"/>
    <col min="9729" max="9729" width="7.36328125" style="8" customWidth="1"/>
    <col min="9730" max="9730" width="5" style="8" customWidth="1"/>
    <col min="9731" max="9731" width="10.08984375" style="8" customWidth="1"/>
    <col min="9732" max="9732" width="27" style="8" customWidth="1"/>
    <col min="9733" max="9733" width="15.90625" style="8" customWidth="1"/>
    <col min="9734" max="9734" width="12.90625" style="8" customWidth="1"/>
    <col min="9735" max="9984" width="8.90625" style="8"/>
    <col min="9985" max="9985" width="7.36328125" style="8" customWidth="1"/>
    <col min="9986" max="9986" width="5" style="8" customWidth="1"/>
    <col min="9987" max="9987" width="10.08984375" style="8" customWidth="1"/>
    <col min="9988" max="9988" width="27" style="8" customWidth="1"/>
    <col min="9989" max="9989" width="15.90625" style="8" customWidth="1"/>
    <col min="9990" max="9990" width="12.90625" style="8" customWidth="1"/>
    <col min="9991" max="10240" width="8.90625" style="8"/>
    <col min="10241" max="10241" width="7.36328125" style="8" customWidth="1"/>
    <col min="10242" max="10242" width="5" style="8" customWidth="1"/>
    <col min="10243" max="10243" width="10.08984375" style="8" customWidth="1"/>
    <col min="10244" max="10244" width="27" style="8" customWidth="1"/>
    <col min="10245" max="10245" width="15.90625" style="8" customWidth="1"/>
    <col min="10246" max="10246" width="12.90625" style="8" customWidth="1"/>
    <col min="10247" max="10496" width="8.90625" style="8"/>
    <col min="10497" max="10497" width="7.36328125" style="8" customWidth="1"/>
    <col min="10498" max="10498" width="5" style="8" customWidth="1"/>
    <col min="10499" max="10499" width="10.08984375" style="8" customWidth="1"/>
    <col min="10500" max="10500" width="27" style="8" customWidth="1"/>
    <col min="10501" max="10501" width="15.90625" style="8" customWidth="1"/>
    <col min="10502" max="10502" width="12.90625" style="8" customWidth="1"/>
    <col min="10503" max="10752" width="8.90625" style="8"/>
    <col min="10753" max="10753" width="7.36328125" style="8" customWidth="1"/>
    <col min="10754" max="10754" width="5" style="8" customWidth="1"/>
    <col min="10755" max="10755" width="10.08984375" style="8" customWidth="1"/>
    <col min="10756" max="10756" width="27" style="8" customWidth="1"/>
    <col min="10757" max="10757" width="15.90625" style="8" customWidth="1"/>
    <col min="10758" max="10758" width="12.90625" style="8" customWidth="1"/>
    <col min="10759" max="11008" width="8.90625" style="8"/>
    <col min="11009" max="11009" width="7.36328125" style="8" customWidth="1"/>
    <col min="11010" max="11010" width="5" style="8" customWidth="1"/>
    <col min="11011" max="11011" width="10.08984375" style="8" customWidth="1"/>
    <col min="11012" max="11012" width="27" style="8" customWidth="1"/>
    <col min="11013" max="11013" width="15.90625" style="8" customWidth="1"/>
    <col min="11014" max="11014" width="12.90625" style="8" customWidth="1"/>
    <col min="11015" max="11264" width="8.90625" style="8"/>
    <col min="11265" max="11265" width="7.36328125" style="8" customWidth="1"/>
    <col min="11266" max="11266" width="5" style="8" customWidth="1"/>
    <col min="11267" max="11267" width="10.08984375" style="8" customWidth="1"/>
    <col min="11268" max="11268" width="27" style="8" customWidth="1"/>
    <col min="11269" max="11269" width="15.90625" style="8" customWidth="1"/>
    <col min="11270" max="11270" width="12.90625" style="8" customWidth="1"/>
    <col min="11271" max="11520" width="8.90625" style="8"/>
    <col min="11521" max="11521" width="7.36328125" style="8" customWidth="1"/>
    <col min="11522" max="11522" width="5" style="8" customWidth="1"/>
    <col min="11523" max="11523" width="10.08984375" style="8" customWidth="1"/>
    <col min="11524" max="11524" width="27" style="8" customWidth="1"/>
    <col min="11525" max="11525" width="15.90625" style="8" customWidth="1"/>
    <col min="11526" max="11526" width="12.90625" style="8" customWidth="1"/>
    <col min="11527" max="11776" width="8.90625" style="8"/>
    <col min="11777" max="11777" width="7.36328125" style="8" customWidth="1"/>
    <col min="11778" max="11778" width="5" style="8" customWidth="1"/>
    <col min="11779" max="11779" width="10.08984375" style="8" customWidth="1"/>
    <col min="11780" max="11780" width="27" style="8" customWidth="1"/>
    <col min="11781" max="11781" width="15.90625" style="8" customWidth="1"/>
    <col min="11782" max="11782" width="12.90625" style="8" customWidth="1"/>
    <col min="11783" max="12032" width="8.90625" style="8"/>
    <col min="12033" max="12033" width="7.36328125" style="8" customWidth="1"/>
    <col min="12034" max="12034" width="5" style="8" customWidth="1"/>
    <col min="12035" max="12035" width="10.08984375" style="8" customWidth="1"/>
    <col min="12036" max="12036" width="27" style="8" customWidth="1"/>
    <col min="12037" max="12037" width="15.90625" style="8" customWidth="1"/>
    <col min="12038" max="12038" width="12.90625" style="8" customWidth="1"/>
    <col min="12039" max="12288" width="8.90625" style="8"/>
    <col min="12289" max="12289" width="7.36328125" style="8" customWidth="1"/>
    <col min="12290" max="12290" width="5" style="8" customWidth="1"/>
    <col min="12291" max="12291" width="10.08984375" style="8" customWidth="1"/>
    <col min="12292" max="12292" width="27" style="8" customWidth="1"/>
    <col min="12293" max="12293" width="15.90625" style="8" customWidth="1"/>
    <col min="12294" max="12294" width="12.90625" style="8" customWidth="1"/>
    <col min="12295" max="12544" width="8.90625" style="8"/>
    <col min="12545" max="12545" width="7.36328125" style="8" customWidth="1"/>
    <col min="12546" max="12546" width="5" style="8" customWidth="1"/>
    <col min="12547" max="12547" width="10.08984375" style="8" customWidth="1"/>
    <col min="12548" max="12548" width="27" style="8" customWidth="1"/>
    <col min="12549" max="12549" width="15.90625" style="8" customWidth="1"/>
    <col min="12550" max="12550" width="12.90625" style="8" customWidth="1"/>
    <col min="12551" max="12800" width="8.90625" style="8"/>
    <col min="12801" max="12801" width="7.36328125" style="8" customWidth="1"/>
    <col min="12802" max="12802" width="5" style="8" customWidth="1"/>
    <col min="12803" max="12803" width="10.08984375" style="8" customWidth="1"/>
    <col min="12804" max="12804" width="27" style="8" customWidth="1"/>
    <col min="12805" max="12805" width="15.90625" style="8" customWidth="1"/>
    <col min="12806" max="12806" width="12.90625" style="8" customWidth="1"/>
    <col min="12807" max="13056" width="8.90625" style="8"/>
    <col min="13057" max="13057" width="7.36328125" style="8" customWidth="1"/>
    <col min="13058" max="13058" width="5" style="8" customWidth="1"/>
    <col min="13059" max="13059" width="10.08984375" style="8" customWidth="1"/>
    <col min="13060" max="13060" width="27" style="8" customWidth="1"/>
    <col min="13061" max="13061" width="15.90625" style="8" customWidth="1"/>
    <col min="13062" max="13062" width="12.90625" style="8" customWidth="1"/>
    <col min="13063" max="13312" width="8.90625" style="8"/>
    <col min="13313" max="13313" width="7.36328125" style="8" customWidth="1"/>
    <col min="13314" max="13314" width="5" style="8" customWidth="1"/>
    <col min="13315" max="13315" width="10.08984375" style="8" customWidth="1"/>
    <col min="13316" max="13316" width="27" style="8" customWidth="1"/>
    <col min="13317" max="13317" width="15.90625" style="8" customWidth="1"/>
    <col min="13318" max="13318" width="12.90625" style="8" customWidth="1"/>
    <col min="13319" max="13568" width="8.90625" style="8"/>
    <col min="13569" max="13569" width="7.36328125" style="8" customWidth="1"/>
    <col min="13570" max="13570" width="5" style="8" customWidth="1"/>
    <col min="13571" max="13571" width="10.08984375" style="8" customWidth="1"/>
    <col min="13572" max="13572" width="27" style="8" customWidth="1"/>
    <col min="13573" max="13573" width="15.90625" style="8" customWidth="1"/>
    <col min="13574" max="13574" width="12.90625" style="8" customWidth="1"/>
    <col min="13575" max="13824" width="8.90625" style="8"/>
    <col min="13825" max="13825" width="7.36328125" style="8" customWidth="1"/>
    <col min="13826" max="13826" width="5" style="8" customWidth="1"/>
    <col min="13827" max="13827" width="10.08984375" style="8" customWidth="1"/>
    <col min="13828" max="13828" width="27" style="8" customWidth="1"/>
    <col min="13829" max="13829" width="15.90625" style="8" customWidth="1"/>
    <col min="13830" max="13830" width="12.90625" style="8" customWidth="1"/>
    <col min="13831" max="14080" width="8.90625" style="8"/>
    <col min="14081" max="14081" width="7.36328125" style="8" customWidth="1"/>
    <col min="14082" max="14082" width="5" style="8" customWidth="1"/>
    <col min="14083" max="14083" width="10.08984375" style="8" customWidth="1"/>
    <col min="14084" max="14084" width="27" style="8" customWidth="1"/>
    <col min="14085" max="14085" width="15.90625" style="8" customWidth="1"/>
    <col min="14086" max="14086" width="12.90625" style="8" customWidth="1"/>
    <col min="14087" max="14336" width="8.90625" style="8"/>
    <col min="14337" max="14337" width="7.36328125" style="8" customWidth="1"/>
    <col min="14338" max="14338" width="5" style="8" customWidth="1"/>
    <col min="14339" max="14339" width="10.08984375" style="8" customWidth="1"/>
    <col min="14340" max="14340" width="27" style="8" customWidth="1"/>
    <col min="14341" max="14341" width="15.90625" style="8" customWidth="1"/>
    <col min="14342" max="14342" width="12.90625" style="8" customWidth="1"/>
    <col min="14343" max="14592" width="8.90625" style="8"/>
    <col min="14593" max="14593" width="7.36328125" style="8" customWidth="1"/>
    <col min="14594" max="14594" width="5" style="8" customWidth="1"/>
    <col min="14595" max="14595" width="10.08984375" style="8" customWidth="1"/>
    <col min="14596" max="14596" width="27" style="8" customWidth="1"/>
    <col min="14597" max="14597" width="15.90625" style="8" customWidth="1"/>
    <col min="14598" max="14598" width="12.90625" style="8" customWidth="1"/>
    <col min="14599" max="14848" width="8.90625" style="8"/>
    <col min="14849" max="14849" width="7.36328125" style="8" customWidth="1"/>
    <col min="14850" max="14850" width="5" style="8" customWidth="1"/>
    <col min="14851" max="14851" width="10.08984375" style="8" customWidth="1"/>
    <col min="14852" max="14852" width="27" style="8" customWidth="1"/>
    <col min="14853" max="14853" width="15.90625" style="8" customWidth="1"/>
    <col min="14854" max="14854" width="12.90625" style="8" customWidth="1"/>
    <col min="14855" max="15104" width="8.90625" style="8"/>
    <col min="15105" max="15105" width="7.36328125" style="8" customWidth="1"/>
    <col min="15106" max="15106" width="5" style="8" customWidth="1"/>
    <col min="15107" max="15107" width="10.08984375" style="8" customWidth="1"/>
    <col min="15108" max="15108" width="27" style="8" customWidth="1"/>
    <col min="15109" max="15109" width="15.90625" style="8" customWidth="1"/>
    <col min="15110" max="15110" width="12.90625" style="8" customWidth="1"/>
    <col min="15111" max="15360" width="8.90625" style="8"/>
    <col min="15361" max="15361" width="7.36328125" style="8" customWidth="1"/>
    <col min="15362" max="15362" width="5" style="8" customWidth="1"/>
    <col min="15363" max="15363" width="10.08984375" style="8" customWidth="1"/>
    <col min="15364" max="15364" width="27" style="8" customWidth="1"/>
    <col min="15365" max="15365" width="15.90625" style="8" customWidth="1"/>
    <col min="15366" max="15366" width="12.90625" style="8" customWidth="1"/>
    <col min="15367" max="15616" width="8.90625" style="8"/>
    <col min="15617" max="15617" width="7.36328125" style="8" customWidth="1"/>
    <col min="15618" max="15618" width="5" style="8" customWidth="1"/>
    <col min="15619" max="15619" width="10.08984375" style="8" customWidth="1"/>
    <col min="15620" max="15620" width="27" style="8" customWidth="1"/>
    <col min="15621" max="15621" width="15.90625" style="8" customWidth="1"/>
    <col min="15622" max="15622" width="12.90625" style="8" customWidth="1"/>
    <col min="15623" max="15872" width="8.90625" style="8"/>
    <col min="15873" max="15873" width="7.36328125" style="8" customWidth="1"/>
    <col min="15874" max="15874" width="5" style="8" customWidth="1"/>
    <col min="15875" max="15875" width="10.08984375" style="8" customWidth="1"/>
    <col min="15876" max="15876" width="27" style="8" customWidth="1"/>
    <col min="15877" max="15877" width="15.90625" style="8" customWidth="1"/>
    <col min="15878" max="15878" width="12.90625" style="8" customWidth="1"/>
    <col min="15879" max="16128" width="8.90625" style="8"/>
    <col min="16129" max="16129" width="7.36328125" style="8" customWidth="1"/>
    <col min="16130" max="16130" width="5" style="8" customWidth="1"/>
    <col min="16131" max="16131" width="10.08984375" style="8" customWidth="1"/>
    <col min="16132" max="16132" width="27" style="8" customWidth="1"/>
    <col min="16133" max="16133" width="15.90625" style="8" customWidth="1"/>
    <col min="16134" max="16134" width="12.90625" style="8" customWidth="1"/>
    <col min="16135" max="16384" width="8.90625" style="8"/>
  </cols>
  <sheetData>
    <row r="1" spans="1:8" ht="18.5">
      <c r="A1" s="44" t="s">
        <v>46</v>
      </c>
      <c r="B1" s="35"/>
    </row>
    <row r="2" spans="1:8" ht="14.5">
      <c r="A2">
        <v>3</v>
      </c>
      <c r="B2" s="44" t="s">
        <v>59</v>
      </c>
      <c r="C2" s="44"/>
    </row>
    <row r="3" spans="1:8" ht="14.5">
      <c r="F3" s="39"/>
    </row>
    <row r="4" spans="1:8" ht="14.5">
      <c r="A4" s="29"/>
      <c r="B4"/>
    </row>
    <row r="6" spans="1:8" ht="15.5">
      <c r="B6" s="9" t="s">
        <v>14</v>
      </c>
      <c r="C6" s="2" t="s">
        <v>1</v>
      </c>
      <c r="D6" s="2" t="s">
        <v>2</v>
      </c>
      <c r="E6" s="3" t="s">
        <v>3</v>
      </c>
      <c r="F6" s="10" t="s">
        <v>15</v>
      </c>
    </row>
    <row r="7" spans="1:8" ht="15.5">
      <c r="B7" s="11">
        <v>1</v>
      </c>
      <c r="C7" s="4">
        <v>101</v>
      </c>
      <c r="D7" s="5" t="str">
        <f>VLOOKUP(C7,ItemList,2,0)</f>
        <v>Executive Swivel Chair</v>
      </c>
      <c r="E7" s="12">
        <f>VLOOKUP(C7,ItemList,3,0)</f>
        <v>425</v>
      </c>
      <c r="F7" s="13">
        <f t="shared" ref="F7:F12" si="0">B7*E7</f>
        <v>425</v>
      </c>
      <c r="H7" t="s">
        <v>99</v>
      </c>
    </row>
    <row r="8" spans="1:8" ht="15.5">
      <c r="B8" s="14">
        <v>2</v>
      </c>
      <c r="C8" s="7">
        <v>103</v>
      </c>
      <c r="D8" s="5" t="str">
        <f>VLOOKUP(C8,ItemList,2,0)</f>
        <v>Std Secretary Chair</v>
      </c>
      <c r="E8" s="12">
        <f>VLOOKUP(C8,ItemList,3,0)</f>
        <v>145</v>
      </c>
      <c r="F8" s="13">
        <f t="shared" si="0"/>
        <v>290</v>
      </c>
      <c r="H8" t="s">
        <v>100</v>
      </c>
    </row>
    <row r="9" spans="1:8" ht="15.5">
      <c r="B9" s="14">
        <v>3</v>
      </c>
      <c r="C9" s="7">
        <v>104</v>
      </c>
      <c r="D9" s="5" t="str">
        <f>VLOOKUP(C9,ItemList,2,0)</f>
        <v>Deluxe Secretary Chair</v>
      </c>
      <c r="E9" s="12">
        <f>VLOOKUP(C9,ItemList,3,0)</f>
        <v>185</v>
      </c>
      <c r="F9" s="13">
        <f t="shared" si="0"/>
        <v>555</v>
      </c>
      <c r="H9" t="s">
        <v>101</v>
      </c>
    </row>
    <row r="10" spans="1:8" ht="15.5">
      <c r="B10" s="14">
        <v>1</v>
      </c>
      <c r="C10" s="7">
        <v>106</v>
      </c>
      <c r="D10" s="5" t="str">
        <f>VLOOKUP(C10,ItemList,2,0)</f>
        <v>Double Pedestal Desk</v>
      </c>
      <c r="E10" s="12">
        <f>VLOOKUP(C10,ItemList,3,0)</f>
        <v>1255</v>
      </c>
      <c r="F10" s="13">
        <f t="shared" si="0"/>
        <v>1255</v>
      </c>
      <c r="H10" t="s">
        <v>102</v>
      </c>
    </row>
    <row r="11" spans="1:8" ht="15.5">
      <c r="B11" s="14">
        <v>2</v>
      </c>
      <c r="C11" s="7">
        <v>108</v>
      </c>
      <c r="D11" s="5" t="str">
        <f>VLOOKUP(C11,ItemList,2,0)</f>
        <v>Executive Filing Cabinet</v>
      </c>
      <c r="E11" s="12">
        <f>VLOOKUP(C11,ItemList,3,0)</f>
        <v>395</v>
      </c>
      <c r="F11" s="13">
        <f t="shared" si="0"/>
        <v>790</v>
      </c>
    </row>
    <row r="12" spans="1:8" ht="15.5">
      <c r="B12" s="14">
        <v>3</v>
      </c>
      <c r="C12" s="7">
        <v>110</v>
      </c>
      <c r="D12" s="5" t="str">
        <f>VLOOKUP(C12,ItemList,2,0)</f>
        <v>Contemporary Bookcase</v>
      </c>
      <c r="E12" s="12">
        <f>VLOOKUP(C12,ItemList,3,0)</f>
        <v>650</v>
      </c>
      <c r="F12" s="13">
        <f t="shared" si="0"/>
        <v>1950</v>
      </c>
    </row>
    <row r="13" spans="1:8" ht="15.5">
      <c r="B13" s="15"/>
      <c r="C13" s="16"/>
      <c r="D13" s="5"/>
      <c r="E13" s="12"/>
      <c r="F13" s="12" t="str">
        <f>IF(B13*E13&gt;0,B13*E13,"")</f>
        <v/>
      </c>
    </row>
    <row r="14" spans="1:8">
      <c r="B14" s="17"/>
      <c r="C14" s="18"/>
      <c r="D14" s="18"/>
      <c r="E14" s="19"/>
      <c r="F14" s="20"/>
    </row>
    <row r="15" spans="1:8" ht="15.5">
      <c r="B15" s="21"/>
      <c r="C15" s="22"/>
      <c r="D15" s="22"/>
      <c r="E15" s="23" t="s">
        <v>16</v>
      </c>
      <c r="F15" s="12">
        <f>SUM(F7:F13)</f>
        <v>5265</v>
      </c>
    </row>
    <row r="16" spans="1:8">
      <c r="B16" s="24"/>
      <c r="C16" s="25"/>
      <c r="D16" s="25"/>
      <c r="E16" s="26"/>
      <c r="F16" s="27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45CF-B2BB-4643-87DE-F426C50FAF0C}">
  <sheetPr>
    <tabColor theme="8" tint="0.59999389629810485"/>
  </sheetPr>
  <dimension ref="A1:J114"/>
  <sheetViews>
    <sheetView topLeftCell="A18" zoomScale="103" zoomScaleNormal="130" workbookViewId="0">
      <selection activeCell="I8" sqref="I8:I114"/>
    </sheetView>
  </sheetViews>
  <sheetFormatPr defaultRowHeight="14.5"/>
  <cols>
    <col min="3" max="3" width="10.08984375" bestFit="1" customWidth="1"/>
    <col min="4" max="4" width="10.90625" customWidth="1"/>
    <col min="7" max="7" width="10.36328125" bestFit="1" customWidth="1"/>
    <col min="8" max="8" width="11.90625" customWidth="1"/>
    <col min="9" max="9" width="11.6328125" customWidth="1"/>
    <col min="10" max="10" width="10.90625" bestFit="1" customWidth="1"/>
  </cols>
  <sheetData>
    <row r="1" spans="1:10" ht="22.5">
      <c r="A1" s="44" t="s">
        <v>46</v>
      </c>
      <c r="B1" s="35"/>
      <c r="C1" s="65"/>
      <c r="D1" s="65"/>
      <c r="E1" s="65"/>
      <c r="F1" s="65"/>
      <c r="G1" s="65"/>
      <c r="H1" s="65"/>
      <c r="I1" s="65"/>
    </row>
    <row r="2" spans="1:10">
      <c r="A2">
        <v>4</v>
      </c>
      <c r="B2" s="44" t="s">
        <v>79</v>
      </c>
      <c r="C2" s="66"/>
      <c r="D2" s="66"/>
      <c r="E2" s="66"/>
      <c r="F2" s="66"/>
      <c r="G2" s="66"/>
      <c r="H2" s="66"/>
      <c r="I2" s="66"/>
    </row>
    <row r="3" spans="1:10">
      <c r="A3" s="66"/>
      <c r="B3" s="66"/>
      <c r="C3" s="66"/>
      <c r="D3" s="66"/>
      <c r="E3" s="66"/>
      <c r="F3" s="66"/>
      <c r="G3" s="66"/>
      <c r="H3" s="66"/>
      <c r="I3" s="66"/>
    </row>
    <row r="4" spans="1:10">
      <c r="A4" s="66"/>
      <c r="B4" s="66"/>
      <c r="C4" s="66"/>
      <c r="D4" s="66"/>
      <c r="E4" s="66"/>
      <c r="F4" s="66"/>
      <c r="G4" s="66"/>
      <c r="H4" s="66"/>
      <c r="I4" s="66"/>
    </row>
    <row r="5" spans="1:10">
      <c r="A5" s="64" t="s">
        <v>80</v>
      </c>
      <c r="B5" s="66"/>
      <c r="C5" s="66"/>
      <c r="D5" s="66"/>
      <c r="E5" s="66"/>
      <c r="F5" s="66"/>
      <c r="G5" s="66"/>
      <c r="H5" s="66"/>
      <c r="I5" s="66"/>
    </row>
    <row r="6" spans="1:10">
      <c r="A6" s="66"/>
      <c r="B6" s="75" t="s">
        <v>92</v>
      </c>
      <c r="C6" s="75"/>
      <c r="D6" s="75"/>
      <c r="E6" s="66"/>
      <c r="F6" s="75" t="s">
        <v>93</v>
      </c>
      <c r="G6" s="75"/>
      <c r="H6" s="75"/>
      <c r="I6" s="75"/>
    </row>
    <row r="7" spans="1:10">
      <c r="A7" s="66"/>
      <c r="B7" s="67" t="s">
        <v>81</v>
      </c>
      <c r="C7" s="67" t="s">
        <v>82</v>
      </c>
      <c r="D7" s="64" t="s">
        <v>15</v>
      </c>
      <c r="E7" s="66"/>
      <c r="F7" s="67" t="s">
        <v>81</v>
      </c>
      <c r="G7" s="67" t="s">
        <v>82</v>
      </c>
      <c r="H7" s="67" t="s">
        <v>15</v>
      </c>
      <c r="I7" s="68" t="s">
        <v>83</v>
      </c>
    </row>
    <row r="8" spans="1:10">
      <c r="A8" s="66"/>
      <c r="B8" s="66">
        <v>364501</v>
      </c>
      <c r="C8" s="69">
        <f t="shared" ref="C8:C37" si="0">VLOOKUP(B8,$F$8:$G$114,2,FALSE)</f>
        <v>40263</v>
      </c>
      <c r="D8" s="70">
        <v>411</v>
      </c>
      <c r="E8" s="66"/>
      <c r="F8" s="66">
        <v>364501</v>
      </c>
      <c r="G8" s="71">
        <v>40263</v>
      </c>
      <c r="H8" s="70">
        <v>411</v>
      </c>
      <c r="I8" s="70">
        <f>IFERROR(VLOOKUP(F8,$B$8:$D$37,3,0),"")</f>
        <v>411</v>
      </c>
      <c r="J8" s="70"/>
    </row>
    <row r="9" spans="1:10">
      <c r="A9" s="66"/>
      <c r="B9" s="66">
        <v>364565</v>
      </c>
      <c r="C9" s="69">
        <f t="shared" si="0"/>
        <v>40022</v>
      </c>
      <c r="D9" s="70">
        <v>714.57</v>
      </c>
      <c r="E9" s="66"/>
      <c r="F9" s="66">
        <v>364502</v>
      </c>
      <c r="G9" s="71">
        <v>40114</v>
      </c>
      <c r="H9" s="70">
        <v>714.57</v>
      </c>
      <c r="I9" s="70" t="str">
        <f t="shared" ref="I9:I72" si="1">IFERROR(VLOOKUP(F9,$B$8:$D$37,3,0),"")</f>
        <v/>
      </c>
      <c r="J9" s="70"/>
    </row>
    <row r="10" spans="1:10">
      <c r="A10" s="66"/>
      <c r="B10" s="66">
        <v>364504</v>
      </c>
      <c r="C10" s="69">
        <f t="shared" si="0"/>
        <v>40168</v>
      </c>
      <c r="D10" s="70">
        <v>97</v>
      </c>
      <c r="E10" s="66"/>
      <c r="F10" s="66">
        <v>364503</v>
      </c>
      <c r="G10" s="71">
        <v>40030</v>
      </c>
      <c r="H10" s="70">
        <v>81.33</v>
      </c>
      <c r="I10" s="70" t="str">
        <f t="shared" si="1"/>
        <v/>
      </c>
      <c r="J10" s="70"/>
    </row>
    <row r="11" spans="1:10">
      <c r="A11" s="66"/>
      <c r="B11" s="66">
        <v>364505</v>
      </c>
      <c r="C11" s="69">
        <f t="shared" si="0"/>
        <v>40119</v>
      </c>
      <c r="D11" s="70">
        <v>124</v>
      </c>
      <c r="E11" s="66"/>
      <c r="F11" s="66">
        <v>364504</v>
      </c>
      <c r="G11" s="71">
        <v>40168</v>
      </c>
      <c r="H11" s="70">
        <v>97</v>
      </c>
      <c r="I11" s="70">
        <f t="shared" si="1"/>
        <v>97</v>
      </c>
      <c r="J11" s="70"/>
    </row>
    <row r="12" spans="1:10">
      <c r="A12" s="66"/>
      <c r="B12" s="66">
        <v>364506</v>
      </c>
      <c r="C12" s="69">
        <f t="shared" si="0"/>
        <v>40131</v>
      </c>
      <c r="D12" s="70">
        <v>151</v>
      </c>
      <c r="E12" s="66"/>
      <c r="F12" s="66">
        <v>364505</v>
      </c>
      <c r="G12" s="71">
        <v>40119</v>
      </c>
      <c r="H12" s="70">
        <v>124</v>
      </c>
      <c r="I12" s="70">
        <f t="shared" si="1"/>
        <v>124</v>
      </c>
      <c r="J12" s="70"/>
    </row>
    <row r="13" spans="1:10">
      <c r="A13" s="66"/>
      <c r="B13" s="66">
        <v>364508</v>
      </c>
      <c r="C13" s="69">
        <f t="shared" si="0"/>
        <v>40255</v>
      </c>
      <c r="D13" s="70">
        <v>205</v>
      </c>
      <c r="E13" s="66"/>
      <c r="F13" s="66">
        <v>364506</v>
      </c>
      <c r="G13" s="71">
        <v>40131</v>
      </c>
      <c r="H13" s="70">
        <v>151</v>
      </c>
      <c r="I13" s="70">
        <f t="shared" si="1"/>
        <v>151</v>
      </c>
      <c r="J13" s="70"/>
    </row>
    <row r="14" spans="1:10">
      <c r="A14" s="66"/>
      <c r="B14" s="66">
        <v>364510</v>
      </c>
      <c r="C14" s="69">
        <f t="shared" si="0"/>
        <v>40283</v>
      </c>
      <c r="D14" s="70">
        <v>259</v>
      </c>
      <c r="E14" s="66"/>
      <c r="F14" s="66">
        <v>364507</v>
      </c>
      <c r="G14" s="71">
        <v>40115</v>
      </c>
      <c r="H14" s="70">
        <v>178</v>
      </c>
      <c r="I14" s="70" t="str">
        <f t="shared" si="1"/>
        <v/>
      </c>
      <c r="J14" s="70"/>
    </row>
    <row r="15" spans="1:10">
      <c r="A15" s="66"/>
      <c r="B15" s="66">
        <v>364512</v>
      </c>
      <c r="C15" s="69">
        <f t="shared" si="0"/>
        <v>40071</v>
      </c>
      <c r="D15" s="70">
        <v>313</v>
      </c>
      <c r="E15" s="66"/>
      <c r="F15" s="66">
        <v>364508</v>
      </c>
      <c r="G15" s="71">
        <v>40255</v>
      </c>
      <c r="H15" s="70">
        <v>205</v>
      </c>
      <c r="I15" s="70">
        <f t="shared" si="1"/>
        <v>205</v>
      </c>
      <c r="J15" s="70"/>
    </row>
    <row r="16" spans="1:10">
      <c r="A16" s="66"/>
      <c r="B16" s="66">
        <v>364514</v>
      </c>
      <c r="C16" s="69">
        <f t="shared" si="0"/>
        <v>40013</v>
      </c>
      <c r="D16" s="70">
        <v>367</v>
      </c>
      <c r="E16" s="66"/>
      <c r="F16" s="66">
        <v>364509</v>
      </c>
      <c r="G16" s="71">
        <v>40238</v>
      </c>
      <c r="H16" s="70">
        <v>232</v>
      </c>
      <c r="I16" s="70" t="str">
        <f t="shared" si="1"/>
        <v/>
      </c>
      <c r="J16" s="70"/>
    </row>
    <row r="17" spans="1:10">
      <c r="A17" s="66"/>
      <c r="B17" s="66">
        <v>364554</v>
      </c>
      <c r="C17" s="69">
        <f t="shared" si="0"/>
        <v>40072</v>
      </c>
      <c r="D17" s="70">
        <v>421</v>
      </c>
      <c r="E17" s="66"/>
      <c r="F17" s="66">
        <v>364510</v>
      </c>
      <c r="G17" s="71">
        <v>40283</v>
      </c>
      <c r="H17" s="70">
        <v>259</v>
      </c>
      <c r="I17" s="70">
        <f t="shared" si="1"/>
        <v>259</v>
      </c>
      <c r="J17" s="70"/>
    </row>
    <row r="18" spans="1:10">
      <c r="A18" s="66"/>
      <c r="B18" s="66">
        <v>364556</v>
      </c>
      <c r="C18" s="69">
        <f t="shared" si="0"/>
        <v>40081</v>
      </c>
      <c r="D18" s="70">
        <v>475</v>
      </c>
      <c r="E18" s="66"/>
      <c r="F18" s="66">
        <v>364511</v>
      </c>
      <c r="G18" s="71">
        <v>40062</v>
      </c>
      <c r="H18" s="70">
        <v>286</v>
      </c>
      <c r="I18" s="70" t="str">
        <f t="shared" si="1"/>
        <v/>
      </c>
      <c r="J18" s="70"/>
    </row>
    <row r="19" spans="1:10">
      <c r="A19" s="66"/>
      <c r="B19" s="66">
        <v>364558</v>
      </c>
      <c r="C19" s="69">
        <f t="shared" si="0"/>
        <v>40020</v>
      </c>
      <c r="D19" s="70">
        <v>529</v>
      </c>
      <c r="E19" s="66"/>
      <c r="F19" s="66">
        <v>364512</v>
      </c>
      <c r="G19" s="71">
        <v>40071</v>
      </c>
      <c r="H19" s="70">
        <v>313</v>
      </c>
      <c r="I19" s="70">
        <f t="shared" si="1"/>
        <v>313</v>
      </c>
      <c r="J19" s="70"/>
    </row>
    <row r="20" spans="1:10">
      <c r="A20" s="66"/>
      <c r="B20" s="66">
        <v>364560</v>
      </c>
      <c r="C20" s="69">
        <f t="shared" si="0"/>
        <v>40129</v>
      </c>
      <c r="D20" s="70">
        <v>583</v>
      </c>
      <c r="E20" s="66"/>
      <c r="F20" s="66">
        <v>364513</v>
      </c>
      <c r="G20" s="71">
        <v>40171</v>
      </c>
      <c r="H20" s="70">
        <v>340</v>
      </c>
      <c r="I20" s="70">
        <f t="shared" si="1"/>
        <v>365</v>
      </c>
      <c r="J20" s="70"/>
    </row>
    <row r="21" spans="1:10">
      <c r="A21" s="66"/>
      <c r="B21" s="66">
        <v>364562</v>
      </c>
      <c r="C21" s="69">
        <f t="shared" si="0"/>
        <v>40234</v>
      </c>
      <c r="D21" s="70">
        <v>637</v>
      </c>
      <c r="E21" s="66"/>
      <c r="F21" s="66">
        <v>364514</v>
      </c>
      <c r="G21" s="71">
        <v>40013</v>
      </c>
      <c r="H21" s="70">
        <v>367</v>
      </c>
      <c r="I21" s="70">
        <f t="shared" si="1"/>
        <v>367</v>
      </c>
      <c r="J21" s="70"/>
    </row>
    <row r="22" spans="1:10">
      <c r="A22" s="66"/>
      <c r="B22" s="66">
        <v>364587</v>
      </c>
      <c r="C22" s="69">
        <f t="shared" si="0"/>
        <v>40225</v>
      </c>
      <c r="D22" s="70">
        <v>1250</v>
      </c>
      <c r="E22" s="66"/>
      <c r="F22" s="66">
        <v>364515</v>
      </c>
      <c r="G22" s="71">
        <v>40033</v>
      </c>
      <c r="H22" s="70">
        <v>394</v>
      </c>
      <c r="I22" s="70" t="str">
        <f t="shared" si="1"/>
        <v/>
      </c>
      <c r="J22" s="70"/>
    </row>
    <row r="23" spans="1:10">
      <c r="A23" s="66"/>
      <c r="B23" s="66">
        <v>364577</v>
      </c>
      <c r="C23" s="69">
        <f t="shared" si="0"/>
        <v>40040</v>
      </c>
      <c r="D23" s="70">
        <v>1004</v>
      </c>
      <c r="E23" s="66"/>
      <c r="F23" s="66">
        <v>364516</v>
      </c>
      <c r="G23" s="71">
        <v>40102</v>
      </c>
      <c r="H23" s="70">
        <v>421</v>
      </c>
      <c r="I23" s="70" t="str">
        <f t="shared" si="1"/>
        <v/>
      </c>
      <c r="J23" s="70"/>
    </row>
    <row r="24" spans="1:10">
      <c r="A24" s="66"/>
      <c r="B24" s="66">
        <v>364567</v>
      </c>
      <c r="C24" s="69">
        <f t="shared" si="0"/>
        <v>40154</v>
      </c>
      <c r="D24" s="70">
        <v>758</v>
      </c>
      <c r="E24" s="66"/>
      <c r="F24" s="66">
        <v>364517</v>
      </c>
      <c r="G24" s="71">
        <v>40192</v>
      </c>
      <c r="H24" s="70">
        <v>448</v>
      </c>
      <c r="I24" s="70" t="str">
        <f t="shared" si="1"/>
        <v/>
      </c>
      <c r="J24" s="70"/>
    </row>
    <row r="25" spans="1:10">
      <c r="A25" s="66"/>
      <c r="B25" s="66">
        <v>364557</v>
      </c>
      <c r="C25" s="69">
        <f t="shared" si="0"/>
        <v>40047</v>
      </c>
      <c r="D25" s="70">
        <v>512</v>
      </c>
      <c r="E25" s="66"/>
      <c r="F25" s="66">
        <v>364518</v>
      </c>
      <c r="G25" s="71">
        <v>40238</v>
      </c>
      <c r="H25" s="70">
        <v>475</v>
      </c>
      <c r="I25" s="70" t="str">
        <f t="shared" si="1"/>
        <v/>
      </c>
      <c r="J25" s="70"/>
    </row>
    <row r="26" spans="1:10">
      <c r="A26" s="66"/>
      <c r="B26" s="66">
        <v>364513</v>
      </c>
      <c r="C26" s="69">
        <f t="shared" si="0"/>
        <v>40171</v>
      </c>
      <c r="D26" s="70">
        <v>365</v>
      </c>
      <c r="E26" s="66"/>
      <c r="F26" s="66">
        <v>364519</v>
      </c>
      <c r="G26" s="71">
        <v>40300</v>
      </c>
      <c r="H26" s="70">
        <v>502</v>
      </c>
      <c r="I26" s="70" t="str">
        <f t="shared" si="1"/>
        <v/>
      </c>
      <c r="J26" s="70"/>
    </row>
    <row r="27" spans="1:10">
      <c r="A27" s="66"/>
      <c r="B27" s="66">
        <v>364564</v>
      </c>
      <c r="C27" s="69">
        <f t="shared" si="0"/>
        <v>40133</v>
      </c>
      <c r="D27" s="70">
        <v>665</v>
      </c>
      <c r="E27" s="66"/>
      <c r="F27" s="66">
        <v>364520</v>
      </c>
      <c r="G27" s="71">
        <v>40179</v>
      </c>
      <c r="H27" s="70">
        <v>529</v>
      </c>
      <c r="I27" s="70" t="str">
        <f t="shared" si="1"/>
        <v/>
      </c>
      <c r="J27" s="70"/>
    </row>
    <row r="28" spans="1:10">
      <c r="A28" s="66"/>
      <c r="B28" s="66">
        <v>364566</v>
      </c>
      <c r="C28" s="69">
        <f t="shared" si="0"/>
        <v>40095</v>
      </c>
      <c r="D28" s="70">
        <v>715</v>
      </c>
      <c r="E28" s="66"/>
      <c r="F28" s="66">
        <v>364521</v>
      </c>
      <c r="G28" s="71">
        <v>40247</v>
      </c>
      <c r="H28" s="70">
        <v>556</v>
      </c>
      <c r="I28" s="70" t="str">
        <f t="shared" si="1"/>
        <v/>
      </c>
      <c r="J28" s="70"/>
    </row>
    <row r="29" spans="1:10">
      <c r="A29" s="66"/>
      <c r="B29" s="66">
        <v>364568</v>
      </c>
      <c r="C29" s="69">
        <f t="shared" si="0"/>
        <v>40094</v>
      </c>
      <c r="D29" s="70">
        <v>765</v>
      </c>
      <c r="E29" s="66"/>
      <c r="F29" s="66">
        <v>364522</v>
      </c>
      <c r="G29" s="71">
        <v>40149</v>
      </c>
      <c r="H29" s="70">
        <v>583</v>
      </c>
      <c r="I29" s="70" t="str">
        <f t="shared" si="1"/>
        <v/>
      </c>
      <c r="J29" s="70"/>
    </row>
    <row r="30" spans="1:10">
      <c r="A30" s="66"/>
      <c r="B30" s="66">
        <v>364570</v>
      </c>
      <c r="C30" s="69">
        <f t="shared" si="0"/>
        <v>40006</v>
      </c>
      <c r="D30" s="70">
        <v>815</v>
      </c>
      <c r="E30" s="66"/>
      <c r="F30" s="66">
        <v>364523</v>
      </c>
      <c r="G30" s="71">
        <v>40269</v>
      </c>
      <c r="H30" s="70">
        <v>610</v>
      </c>
      <c r="I30" s="70" t="str">
        <f t="shared" si="1"/>
        <v/>
      </c>
      <c r="J30" s="70"/>
    </row>
    <row r="31" spans="1:10">
      <c r="A31" s="66"/>
      <c r="B31" s="66">
        <v>364572</v>
      </c>
      <c r="C31" s="69">
        <f t="shared" si="0"/>
        <v>40156</v>
      </c>
      <c r="D31" s="70">
        <v>865</v>
      </c>
      <c r="E31" s="66"/>
      <c r="F31" s="66">
        <v>364524</v>
      </c>
      <c r="G31" s="71">
        <v>40101</v>
      </c>
      <c r="H31" s="70">
        <v>637</v>
      </c>
      <c r="I31" s="70" t="str">
        <f t="shared" si="1"/>
        <v/>
      </c>
      <c r="J31" s="70"/>
    </row>
    <row r="32" spans="1:10">
      <c r="A32" s="66"/>
      <c r="B32" s="66">
        <v>364574</v>
      </c>
      <c r="C32" s="69">
        <f t="shared" si="0"/>
        <v>40206</v>
      </c>
      <c r="D32" s="70">
        <v>915</v>
      </c>
      <c r="E32" s="66"/>
      <c r="F32" s="66">
        <v>364525</v>
      </c>
      <c r="G32" s="71">
        <v>40174</v>
      </c>
      <c r="H32" s="70">
        <v>664</v>
      </c>
      <c r="I32" s="70" t="str">
        <f t="shared" si="1"/>
        <v/>
      </c>
      <c r="J32" s="70"/>
    </row>
    <row r="33" spans="1:10">
      <c r="A33" s="66"/>
      <c r="B33" s="66">
        <v>364576</v>
      </c>
      <c r="C33" s="69">
        <f t="shared" si="0"/>
        <v>40293</v>
      </c>
      <c r="D33" s="70">
        <v>965</v>
      </c>
      <c r="E33" s="66"/>
      <c r="F33" s="66">
        <v>364526</v>
      </c>
      <c r="G33" s="71">
        <v>40028</v>
      </c>
      <c r="H33" s="70">
        <v>691</v>
      </c>
      <c r="I33" s="70" t="str">
        <f t="shared" si="1"/>
        <v/>
      </c>
      <c r="J33" s="70"/>
    </row>
    <row r="34" spans="1:10">
      <c r="A34" s="66"/>
      <c r="B34" s="66">
        <v>364578</v>
      </c>
      <c r="C34" s="69">
        <f t="shared" si="0"/>
        <v>40214</v>
      </c>
      <c r="D34" s="70">
        <v>1015</v>
      </c>
      <c r="E34" s="66"/>
      <c r="F34" s="66">
        <v>364527</v>
      </c>
      <c r="G34" s="71">
        <v>40060</v>
      </c>
      <c r="H34" s="70">
        <v>788</v>
      </c>
      <c r="I34" s="70" t="str">
        <f t="shared" si="1"/>
        <v/>
      </c>
      <c r="J34" s="70"/>
    </row>
    <row r="35" spans="1:10">
      <c r="A35" s="66"/>
      <c r="B35" s="66">
        <v>364580</v>
      </c>
      <c r="C35" s="69">
        <f t="shared" si="0"/>
        <v>40061</v>
      </c>
      <c r="D35" s="70">
        <v>1065</v>
      </c>
      <c r="E35" s="66"/>
      <c r="F35" s="66">
        <v>364528</v>
      </c>
      <c r="G35" s="71">
        <v>40152</v>
      </c>
      <c r="H35" s="70">
        <v>1250</v>
      </c>
      <c r="I35" s="70" t="str">
        <f t="shared" si="1"/>
        <v/>
      </c>
      <c r="J35" s="70"/>
    </row>
    <row r="36" spans="1:10">
      <c r="A36" s="66"/>
      <c r="B36" s="66">
        <v>364582</v>
      </c>
      <c r="C36" s="69">
        <f t="shared" si="0"/>
        <v>40258</v>
      </c>
      <c r="D36" s="70">
        <v>1115</v>
      </c>
      <c r="E36" s="66"/>
      <c r="F36" s="66">
        <v>364529</v>
      </c>
      <c r="G36" s="71">
        <v>40283</v>
      </c>
      <c r="H36" s="70">
        <v>1127</v>
      </c>
      <c r="I36" s="70" t="str">
        <f t="shared" si="1"/>
        <v/>
      </c>
      <c r="J36" s="70"/>
    </row>
    <row r="37" spans="1:10">
      <c r="A37" s="66"/>
      <c r="B37" s="66">
        <v>364584</v>
      </c>
      <c r="C37" s="69">
        <f t="shared" si="0"/>
        <v>40047</v>
      </c>
      <c r="D37" s="70">
        <v>1165</v>
      </c>
      <c r="E37" s="66"/>
      <c r="F37" s="66">
        <v>364530</v>
      </c>
      <c r="G37" s="71">
        <v>40052</v>
      </c>
      <c r="H37" s="70">
        <v>1004</v>
      </c>
      <c r="I37" s="70" t="str">
        <f t="shared" si="1"/>
        <v/>
      </c>
      <c r="J37" s="70"/>
    </row>
    <row r="38" spans="1:10">
      <c r="A38" s="66"/>
      <c r="E38" s="66"/>
      <c r="F38" s="66">
        <v>364531</v>
      </c>
      <c r="G38" s="71">
        <v>40135</v>
      </c>
      <c r="H38" s="70">
        <v>881</v>
      </c>
      <c r="I38" s="70" t="str">
        <f t="shared" si="1"/>
        <v/>
      </c>
      <c r="J38" s="70"/>
    </row>
    <row r="39" spans="1:10">
      <c r="A39" s="66"/>
      <c r="E39" s="66"/>
      <c r="F39" s="66">
        <v>364532</v>
      </c>
      <c r="G39" s="71">
        <v>40074</v>
      </c>
      <c r="H39" s="70">
        <v>758</v>
      </c>
      <c r="I39" s="70" t="str">
        <f t="shared" si="1"/>
        <v/>
      </c>
      <c r="J39" s="70"/>
    </row>
    <row r="40" spans="1:10">
      <c r="A40" s="66"/>
      <c r="E40" s="66"/>
      <c r="F40" s="66">
        <v>364533</v>
      </c>
      <c r="G40" s="71">
        <v>40128</v>
      </c>
      <c r="H40" s="70">
        <v>635</v>
      </c>
      <c r="I40" s="70" t="str">
        <f t="shared" si="1"/>
        <v/>
      </c>
      <c r="J40" s="70"/>
    </row>
    <row r="41" spans="1:10">
      <c r="A41" s="66"/>
      <c r="E41" s="66"/>
      <c r="F41" s="66">
        <v>364534</v>
      </c>
      <c r="G41" s="71">
        <v>40064</v>
      </c>
      <c r="H41" s="70">
        <v>512</v>
      </c>
      <c r="I41" s="70" t="str">
        <f t="shared" si="1"/>
        <v/>
      </c>
      <c r="J41" s="70"/>
    </row>
    <row r="42" spans="1:10">
      <c r="A42" s="66"/>
      <c r="E42" s="66"/>
      <c r="F42" s="66">
        <v>364535</v>
      </c>
      <c r="G42" s="71">
        <v>40257</v>
      </c>
      <c r="H42" s="70">
        <v>389</v>
      </c>
      <c r="I42" s="70" t="str">
        <f t="shared" si="1"/>
        <v/>
      </c>
      <c r="J42" s="70"/>
    </row>
    <row r="43" spans="1:10">
      <c r="A43" s="66"/>
      <c r="E43" s="66"/>
      <c r="F43" s="66">
        <v>364536</v>
      </c>
      <c r="G43" s="71">
        <v>40146</v>
      </c>
      <c r="H43" s="70">
        <v>266</v>
      </c>
      <c r="I43" s="70" t="str">
        <f t="shared" si="1"/>
        <v/>
      </c>
      <c r="J43" s="70"/>
    </row>
    <row r="44" spans="1:10">
      <c r="A44" s="66"/>
      <c r="E44" s="66"/>
      <c r="F44" s="66">
        <v>364537</v>
      </c>
      <c r="G44" s="71">
        <v>40009</v>
      </c>
      <c r="H44" s="70">
        <v>143</v>
      </c>
      <c r="I44" s="70" t="str">
        <f t="shared" si="1"/>
        <v/>
      </c>
      <c r="J44" s="70"/>
    </row>
    <row r="45" spans="1:10">
      <c r="A45" s="66"/>
      <c r="E45" s="66"/>
      <c r="F45" s="66">
        <v>364538</v>
      </c>
      <c r="G45" s="71">
        <v>40067</v>
      </c>
      <c r="H45" s="70">
        <v>20</v>
      </c>
      <c r="I45" s="70" t="str">
        <f t="shared" si="1"/>
        <v/>
      </c>
      <c r="J45" s="70"/>
    </row>
    <row r="46" spans="1:10">
      <c r="A46" s="66"/>
      <c r="E46" s="66"/>
      <c r="F46" s="66">
        <v>364539</v>
      </c>
      <c r="G46" s="71">
        <v>40040</v>
      </c>
      <c r="H46" s="70">
        <v>40</v>
      </c>
      <c r="I46" s="70" t="str">
        <f t="shared" si="1"/>
        <v/>
      </c>
      <c r="J46" s="70"/>
    </row>
    <row r="47" spans="1:10">
      <c r="A47" s="66"/>
      <c r="E47" s="66"/>
      <c r="F47" s="66">
        <v>364540</v>
      </c>
      <c r="G47" s="71">
        <v>40266</v>
      </c>
      <c r="H47" s="70">
        <v>65</v>
      </c>
      <c r="I47" s="70" t="str">
        <f t="shared" si="1"/>
        <v/>
      </c>
      <c r="J47" s="70"/>
    </row>
    <row r="48" spans="1:10">
      <c r="A48" s="66"/>
      <c r="E48" s="66"/>
      <c r="F48" s="66">
        <v>364541</v>
      </c>
      <c r="G48" s="71">
        <v>40178</v>
      </c>
      <c r="H48" s="70">
        <v>90</v>
      </c>
      <c r="I48" s="70" t="str">
        <f t="shared" si="1"/>
        <v/>
      </c>
      <c r="J48" s="70"/>
    </row>
    <row r="49" spans="1:10">
      <c r="A49" s="66"/>
      <c r="E49" s="66"/>
      <c r="F49" s="66">
        <v>364542</v>
      </c>
      <c r="G49" s="71">
        <v>40107</v>
      </c>
      <c r="H49" s="70">
        <v>115</v>
      </c>
      <c r="I49" s="70" t="str">
        <f t="shared" si="1"/>
        <v/>
      </c>
      <c r="J49" s="70"/>
    </row>
    <row r="50" spans="1:10">
      <c r="A50" s="66"/>
      <c r="B50" s="66"/>
      <c r="C50" s="66"/>
      <c r="D50" s="66"/>
      <c r="E50" s="66"/>
      <c r="F50" s="66">
        <v>364543</v>
      </c>
      <c r="G50" s="71">
        <v>40252</v>
      </c>
      <c r="H50" s="70">
        <v>140</v>
      </c>
      <c r="I50" s="70" t="str">
        <f t="shared" si="1"/>
        <v/>
      </c>
      <c r="J50" s="70"/>
    </row>
    <row r="51" spans="1:10">
      <c r="A51" s="66"/>
      <c r="B51" s="66"/>
      <c r="C51" s="66"/>
      <c r="D51" s="66"/>
      <c r="E51" s="66"/>
      <c r="F51" s="66">
        <v>364544</v>
      </c>
      <c r="G51" s="71">
        <v>40273</v>
      </c>
      <c r="H51" s="70">
        <v>165</v>
      </c>
      <c r="I51" s="70" t="str">
        <f t="shared" si="1"/>
        <v/>
      </c>
      <c r="J51" s="70"/>
    </row>
    <row r="52" spans="1:10">
      <c r="A52" s="66"/>
      <c r="B52" s="66"/>
      <c r="C52" s="66"/>
      <c r="D52" s="66"/>
      <c r="E52" s="66"/>
      <c r="F52" s="66">
        <v>364545</v>
      </c>
      <c r="G52" s="71">
        <v>40144</v>
      </c>
      <c r="H52" s="70">
        <v>190</v>
      </c>
      <c r="I52" s="70" t="str">
        <f t="shared" si="1"/>
        <v/>
      </c>
      <c r="J52" s="70"/>
    </row>
    <row r="53" spans="1:10">
      <c r="A53" s="66"/>
      <c r="B53" s="66"/>
      <c r="C53" s="66"/>
      <c r="D53" s="66"/>
      <c r="E53" s="66"/>
      <c r="F53" s="66">
        <v>364546</v>
      </c>
      <c r="G53" s="71">
        <v>40176</v>
      </c>
      <c r="H53" s="70">
        <v>215</v>
      </c>
      <c r="I53" s="70" t="str">
        <f t="shared" si="1"/>
        <v/>
      </c>
      <c r="J53" s="70"/>
    </row>
    <row r="54" spans="1:10">
      <c r="A54" s="66"/>
      <c r="B54" s="66"/>
      <c r="C54" s="66"/>
      <c r="D54" s="66"/>
      <c r="E54" s="66"/>
      <c r="F54" s="66">
        <v>364547</v>
      </c>
      <c r="G54" s="71">
        <v>40023</v>
      </c>
      <c r="H54" s="70">
        <v>240</v>
      </c>
      <c r="I54" s="70" t="str">
        <f t="shared" si="1"/>
        <v/>
      </c>
      <c r="J54" s="70"/>
    </row>
    <row r="55" spans="1:10">
      <c r="A55" s="66"/>
      <c r="B55" s="66"/>
      <c r="C55" s="66"/>
      <c r="D55" s="66"/>
      <c r="E55" s="66"/>
      <c r="F55" s="66">
        <v>364548</v>
      </c>
      <c r="G55" s="71">
        <v>40105</v>
      </c>
      <c r="H55" s="70">
        <v>265</v>
      </c>
      <c r="I55" s="70" t="str">
        <f t="shared" si="1"/>
        <v/>
      </c>
      <c r="J55" s="70"/>
    </row>
    <row r="56" spans="1:10">
      <c r="A56" s="66"/>
      <c r="B56" s="66"/>
      <c r="C56" s="66"/>
      <c r="D56" s="66"/>
      <c r="E56" s="66"/>
      <c r="F56" s="66">
        <v>364549</v>
      </c>
      <c r="G56" s="71">
        <v>40136</v>
      </c>
      <c r="H56" s="70">
        <v>290</v>
      </c>
      <c r="I56" s="70" t="str">
        <f t="shared" si="1"/>
        <v/>
      </c>
      <c r="J56" s="70"/>
    </row>
    <row r="57" spans="1:10">
      <c r="A57" s="66"/>
      <c r="B57" s="66"/>
      <c r="C57" s="66"/>
      <c r="D57" s="66"/>
      <c r="E57" s="66"/>
      <c r="F57" s="66">
        <v>364550</v>
      </c>
      <c r="G57" s="71">
        <v>40272</v>
      </c>
      <c r="H57" s="70">
        <v>315</v>
      </c>
      <c r="I57" s="70" t="str">
        <f t="shared" si="1"/>
        <v/>
      </c>
      <c r="J57" s="70"/>
    </row>
    <row r="58" spans="1:10">
      <c r="A58" s="66"/>
      <c r="B58" s="66"/>
      <c r="C58" s="66"/>
      <c r="D58" s="66"/>
      <c r="E58" s="66"/>
      <c r="F58" s="66">
        <v>364551</v>
      </c>
      <c r="G58" s="71">
        <v>40106</v>
      </c>
      <c r="H58" s="70">
        <v>340</v>
      </c>
      <c r="I58" s="70" t="str">
        <f t="shared" si="1"/>
        <v/>
      </c>
      <c r="J58" s="70"/>
    </row>
    <row r="59" spans="1:10">
      <c r="A59" s="66"/>
      <c r="B59" s="66"/>
      <c r="C59" s="66"/>
      <c r="D59" s="66"/>
      <c r="E59" s="66"/>
      <c r="F59" s="66">
        <v>364552</v>
      </c>
      <c r="G59" s="71">
        <v>40014</v>
      </c>
      <c r="H59" s="70">
        <v>365</v>
      </c>
      <c r="I59" s="70" t="str">
        <f t="shared" si="1"/>
        <v/>
      </c>
      <c r="J59" s="70"/>
    </row>
    <row r="60" spans="1:10">
      <c r="A60" s="66"/>
      <c r="B60" s="66"/>
      <c r="C60" s="66"/>
      <c r="D60" s="66"/>
      <c r="E60" s="66"/>
      <c r="F60" s="66">
        <v>364553</v>
      </c>
      <c r="G60" s="71">
        <v>40031</v>
      </c>
      <c r="H60" s="70">
        <v>390</v>
      </c>
      <c r="I60" s="70" t="str">
        <f t="shared" si="1"/>
        <v/>
      </c>
      <c r="J60" s="70"/>
    </row>
    <row r="61" spans="1:10">
      <c r="A61" s="66"/>
      <c r="B61" s="66"/>
      <c r="C61" s="66"/>
      <c r="D61" s="66"/>
      <c r="E61" s="66"/>
      <c r="F61" s="66">
        <v>364554</v>
      </c>
      <c r="G61" s="71">
        <v>40072</v>
      </c>
      <c r="H61" s="70">
        <v>415</v>
      </c>
      <c r="I61" s="70">
        <f t="shared" si="1"/>
        <v>421</v>
      </c>
      <c r="J61" s="70"/>
    </row>
    <row r="62" spans="1:10">
      <c r="A62" s="66"/>
      <c r="B62" s="66"/>
      <c r="C62" s="66"/>
      <c r="D62" s="66"/>
      <c r="E62" s="66"/>
      <c r="F62" s="66">
        <v>364555</v>
      </c>
      <c r="G62" s="71">
        <v>40107</v>
      </c>
      <c r="H62" s="70">
        <v>440</v>
      </c>
      <c r="I62" s="70" t="str">
        <f t="shared" si="1"/>
        <v/>
      </c>
      <c r="J62" s="70"/>
    </row>
    <row r="63" spans="1:10">
      <c r="A63" s="66"/>
      <c r="B63" s="66"/>
      <c r="C63" s="66"/>
      <c r="D63" s="66"/>
      <c r="E63" s="66"/>
      <c r="F63" s="66">
        <v>364556</v>
      </c>
      <c r="G63" s="71">
        <v>40081</v>
      </c>
      <c r="H63" s="70">
        <v>465</v>
      </c>
      <c r="I63" s="70">
        <f t="shared" si="1"/>
        <v>475</v>
      </c>
      <c r="J63" s="70"/>
    </row>
    <row r="64" spans="1:10">
      <c r="A64" s="66"/>
      <c r="B64" s="66"/>
      <c r="C64" s="66"/>
      <c r="D64" s="66"/>
      <c r="E64" s="66"/>
      <c r="F64" s="66">
        <v>364557</v>
      </c>
      <c r="G64" s="71">
        <v>40047</v>
      </c>
      <c r="H64" s="70">
        <v>490</v>
      </c>
      <c r="I64" s="70">
        <f t="shared" si="1"/>
        <v>512</v>
      </c>
      <c r="J64" s="70"/>
    </row>
    <row r="65" spans="1:10">
      <c r="A65" s="66"/>
      <c r="B65" s="66"/>
      <c r="C65" s="66"/>
      <c r="D65" s="66"/>
      <c r="E65" s="66"/>
      <c r="F65" s="66">
        <v>364558</v>
      </c>
      <c r="G65" s="71">
        <v>40020</v>
      </c>
      <c r="H65" s="70">
        <v>515</v>
      </c>
      <c r="I65" s="70">
        <f t="shared" si="1"/>
        <v>529</v>
      </c>
      <c r="J65" s="70"/>
    </row>
    <row r="66" spans="1:10">
      <c r="A66" s="66"/>
      <c r="B66" s="66"/>
      <c r="C66" s="66"/>
      <c r="D66" s="66"/>
      <c r="E66" s="66"/>
      <c r="F66" s="66">
        <v>364559</v>
      </c>
      <c r="G66" s="71">
        <v>40225</v>
      </c>
      <c r="H66" s="70">
        <v>540</v>
      </c>
      <c r="I66" s="70" t="str">
        <f t="shared" si="1"/>
        <v/>
      </c>
      <c r="J66" s="70"/>
    </row>
    <row r="67" spans="1:10">
      <c r="A67" s="66"/>
      <c r="B67" s="66"/>
      <c r="C67" s="66"/>
      <c r="D67" s="66"/>
      <c r="E67" s="66"/>
      <c r="F67" s="66">
        <v>364560</v>
      </c>
      <c r="G67" s="71">
        <v>40129</v>
      </c>
      <c r="H67" s="70">
        <v>565</v>
      </c>
      <c r="I67" s="70">
        <f t="shared" si="1"/>
        <v>583</v>
      </c>
      <c r="J67" s="70"/>
    </row>
    <row r="68" spans="1:10">
      <c r="A68" s="66"/>
      <c r="B68" s="66"/>
      <c r="C68" s="66"/>
      <c r="D68" s="66"/>
      <c r="E68" s="66"/>
      <c r="F68" s="66">
        <v>364561</v>
      </c>
      <c r="G68" s="71">
        <v>40130</v>
      </c>
      <c r="H68" s="70">
        <v>590</v>
      </c>
      <c r="I68" s="70" t="str">
        <f t="shared" si="1"/>
        <v/>
      </c>
      <c r="J68" s="70"/>
    </row>
    <row r="69" spans="1:10">
      <c r="A69" s="66"/>
      <c r="B69" s="66"/>
      <c r="C69" s="66"/>
      <c r="D69" s="66"/>
      <c r="E69" s="66"/>
      <c r="F69" s="66">
        <v>364562</v>
      </c>
      <c r="G69" s="71">
        <v>40234</v>
      </c>
      <c r="H69" s="70">
        <v>615</v>
      </c>
      <c r="I69" s="70">
        <f t="shared" si="1"/>
        <v>637</v>
      </c>
      <c r="J69" s="70"/>
    </row>
    <row r="70" spans="1:10">
      <c r="A70" s="66"/>
      <c r="B70" s="66"/>
      <c r="C70" s="66"/>
      <c r="D70" s="66"/>
      <c r="E70" s="66"/>
      <c r="F70" s="66">
        <v>364563</v>
      </c>
      <c r="G70" s="71">
        <v>40181</v>
      </c>
      <c r="H70" s="70">
        <v>640</v>
      </c>
      <c r="I70" s="70" t="str">
        <f t="shared" si="1"/>
        <v/>
      </c>
      <c r="J70" s="70"/>
    </row>
    <row r="71" spans="1:10">
      <c r="A71" s="66"/>
      <c r="B71" s="66"/>
      <c r="C71" s="66"/>
      <c r="D71" s="66"/>
      <c r="E71" s="66"/>
      <c r="F71" s="66">
        <v>364564</v>
      </c>
      <c r="G71" s="71">
        <v>40133</v>
      </c>
      <c r="H71" s="70">
        <v>665</v>
      </c>
      <c r="I71" s="70">
        <f t="shared" si="1"/>
        <v>665</v>
      </c>
      <c r="J71" s="70"/>
    </row>
    <row r="72" spans="1:10">
      <c r="A72" s="66"/>
      <c r="B72" s="66"/>
      <c r="C72" s="66"/>
      <c r="D72" s="66"/>
      <c r="E72" s="66"/>
      <c r="F72" s="66">
        <v>364565</v>
      </c>
      <c r="G72" s="71">
        <v>40022</v>
      </c>
      <c r="H72" s="70">
        <v>690</v>
      </c>
      <c r="I72" s="70">
        <f t="shared" si="1"/>
        <v>714.57</v>
      </c>
      <c r="J72" s="70"/>
    </row>
    <row r="73" spans="1:10">
      <c r="A73" s="66"/>
      <c r="B73" s="66"/>
      <c r="C73" s="66"/>
      <c r="D73" s="66"/>
      <c r="E73" s="66"/>
      <c r="F73" s="66">
        <v>364566</v>
      </c>
      <c r="G73" s="71">
        <v>40095</v>
      </c>
      <c r="H73" s="70">
        <v>715</v>
      </c>
      <c r="I73" s="70">
        <f t="shared" ref="I73:I114" si="2">IFERROR(VLOOKUP(F73,$B$8:$D$37,3,0),"")</f>
        <v>715</v>
      </c>
      <c r="J73" s="70"/>
    </row>
    <row r="74" spans="1:10">
      <c r="A74" s="66"/>
      <c r="B74" s="66"/>
      <c r="C74" s="66"/>
      <c r="D74" s="66"/>
      <c r="E74" s="66"/>
      <c r="F74" s="66">
        <v>364567</v>
      </c>
      <c r="G74" s="71">
        <v>40154</v>
      </c>
      <c r="H74" s="70">
        <v>740</v>
      </c>
      <c r="I74" s="70">
        <f t="shared" si="2"/>
        <v>758</v>
      </c>
      <c r="J74" s="70"/>
    </row>
    <row r="75" spans="1:10">
      <c r="A75" s="66"/>
      <c r="B75" s="66"/>
      <c r="C75" s="66"/>
      <c r="D75" s="66"/>
      <c r="E75" s="66"/>
      <c r="F75" s="66">
        <v>364568</v>
      </c>
      <c r="G75" s="71">
        <v>40094</v>
      </c>
      <c r="H75" s="70">
        <v>765</v>
      </c>
      <c r="I75" s="70">
        <f t="shared" si="2"/>
        <v>765</v>
      </c>
      <c r="J75" s="70"/>
    </row>
    <row r="76" spans="1:10">
      <c r="A76" s="66"/>
      <c r="B76" s="66"/>
      <c r="C76" s="66"/>
      <c r="D76" s="66"/>
      <c r="E76" s="66"/>
      <c r="F76" s="66">
        <v>364569</v>
      </c>
      <c r="G76" s="71">
        <v>40125</v>
      </c>
      <c r="H76" s="70">
        <v>790</v>
      </c>
      <c r="I76" s="70" t="str">
        <f t="shared" si="2"/>
        <v/>
      </c>
      <c r="J76" s="70"/>
    </row>
    <row r="77" spans="1:10">
      <c r="A77" s="66"/>
      <c r="B77" s="66"/>
      <c r="C77" s="66"/>
      <c r="D77" s="66"/>
      <c r="E77" s="66"/>
      <c r="F77" s="66">
        <v>364570</v>
      </c>
      <c r="G77" s="71">
        <v>40006</v>
      </c>
      <c r="H77" s="70">
        <v>815</v>
      </c>
      <c r="I77" s="70">
        <f t="shared" si="2"/>
        <v>815</v>
      </c>
      <c r="J77" s="70"/>
    </row>
    <row r="78" spans="1:10">
      <c r="A78" s="66"/>
      <c r="B78" s="66"/>
      <c r="C78" s="66"/>
      <c r="D78" s="66"/>
      <c r="E78" s="66"/>
      <c r="F78" s="66">
        <v>364571</v>
      </c>
      <c r="G78" s="71">
        <v>40239</v>
      </c>
      <c r="H78" s="70">
        <v>840</v>
      </c>
      <c r="I78" s="70" t="str">
        <f t="shared" si="2"/>
        <v/>
      </c>
      <c r="J78" s="70"/>
    </row>
    <row r="79" spans="1:10">
      <c r="A79" s="66"/>
      <c r="B79" s="66"/>
      <c r="C79" s="66"/>
      <c r="D79" s="66"/>
      <c r="E79" s="66"/>
      <c r="F79" s="66">
        <v>364572</v>
      </c>
      <c r="G79" s="71">
        <v>40156</v>
      </c>
      <c r="H79" s="70">
        <v>865</v>
      </c>
      <c r="I79" s="70">
        <f t="shared" si="2"/>
        <v>865</v>
      </c>
      <c r="J79" s="70"/>
    </row>
    <row r="80" spans="1:10">
      <c r="A80" s="66"/>
      <c r="B80" s="66"/>
      <c r="C80" s="66"/>
      <c r="D80" s="66"/>
      <c r="E80" s="66"/>
      <c r="F80" s="66">
        <v>364573</v>
      </c>
      <c r="G80" s="71">
        <v>40127</v>
      </c>
      <c r="H80" s="70">
        <v>890</v>
      </c>
      <c r="I80" s="70" t="str">
        <f t="shared" si="2"/>
        <v/>
      </c>
      <c r="J80" s="70"/>
    </row>
    <row r="81" spans="1:10">
      <c r="A81" s="66"/>
      <c r="B81" s="66"/>
      <c r="C81" s="66"/>
      <c r="D81" s="66"/>
      <c r="E81" s="66"/>
      <c r="F81" s="66">
        <v>364574</v>
      </c>
      <c r="G81" s="71">
        <v>40206</v>
      </c>
      <c r="H81" s="70">
        <v>915</v>
      </c>
      <c r="I81" s="70">
        <f t="shared" si="2"/>
        <v>915</v>
      </c>
      <c r="J81" s="70"/>
    </row>
    <row r="82" spans="1:10">
      <c r="A82" s="66"/>
      <c r="B82" s="66"/>
      <c r="C82" s="66"/>
      <c r="D82" s="66"/>
      <c r="E82" s="66"/>
      <c r="F82" s="66">
        <v>364575</v>
      </c>
      <c r="G82" s="71">
        <v>40071</v>
      </c>
      <c r="H82" s="70">
        <v>940</v>
      </c>
      <c r="I82" s="70" t="str">
        <f t="shared" si="2"/>
        <v/>
      </c>
      <c r="J82" s="70"/>
    </row>
    <row r="83" spans="1:10">
      <c r="A83" s="66"/>
      <c r="B83" s="66"/>
      <c r="C83" s="66"/>
      <c r="D83" s="66"/>
      <c r="E83" s="66"/>
      <c r="F83" s="66">
        <v>364576</v>
      </c>
      <c r="G83" s="71">
        <v>40293</v>
      </c>
      <c r="H83" s="70">
        <v>965</v>
      </c>
      <c r="I83" s="70">
        <f t="shared" si="2"/>
        <v>965</v>
      </c>
      <c r="J83" s="70"/>
    </row>
    <row r="84" spans="1:10">
      <c r="A84" s="66"/>
      <c r="B84" s="66"/>
      <c r="C84" s="66"/>
      <c r="D84" s="66"/>
      <c r="E84" s="66"/>
      <c r="F84" s="66">
        <v>364577</v>
      </c>
      <c r="G84" s="71">
        <v>40040</v>
      </c>
      <c r="H84" s="70">
        <v>990</v>
      </c>
      <c r="I84" s="70">
        <f t="shared" si="2"/>
        <v>1004</v>
      </c>
      <c r="J84" s="70"/>
    </row>
    <row r="85" spans="1:10">
      <c r="A85" s="66"/>
      <c r="B85" s="66"/>
      <c r="C85" s="66"/>
      <c r="D85" s="66"/>
      <c r="E85" s="66"/>
      <c r="F85" s="66">
        <v>364578</v>
      </c>
      <c r="G85" s="71">
        <v>40214</v>
      </c>
      <c r="H85" s="70">
        <v>1015</v>
      </c>
      <c r="I85" s="70">
        <f t="shared" si="2"/>
        <v>1015</v>
      </c>
      <c r="J85" s="70"/>
    </row>
    <row r="86" spans="1:10">
      <c r="A86" s="66"/>
      <c r="B86" s="66"/>
      <c r="C86" s="66"/>
      <c r="D86" s="66"/>
      <c r="E86" s="66"/>
      <c r="F86" s="66">
        <v>364579</v>
      </c>
      <c r="G86" s="71">
        <v>40226</v>
      </c>
      <c r="H86" s="70">
        <v>1040</v>
      </c>
      <c r="I86" s="70" t="str">
        <f t="shared" si="2"/>
        <v/>
      </c>
      <c r="J86" s="70"/>
    </row>
    <row r="87" spans="1:10">
      <c r="A87" s="66"/>
      <c r="B87" s="66"/>
      <c r="C87" s="66"/>
      <c r="D87" s="66"/>
      <c r="E87" s="66"/>
      <c r="F87" s="66">
        <v>364580</v>
      </c>
      <c r="G87" s="71">
        <v>40061</v>
      </c>
      <c r="H87" s="70">
        <v>1065</v>
      </c>
      <c r="I87" s="70">
        <f t="shared" si="2"/>
        <v>1065</v>
      </c>
      <c r="J87" s="70"/>
    </row>
    <row r="88" spans="1:10">
      <c r="A88" s="66"/>
      <c r="B88" s="66"/>
      <c r="C88" s="66"/>
      <c r="D88" s="66"/>
      <c r="E88" s="66"/>
      <c r="F88" s="66">
        <v>364581</v>
      </c>
      <c r="G88" s="71">
        <v>40023</v>
      </c>
      <c r="H88" s="70">
        <v>1090</v>
      </c>
      <c r="I88" s="70" t="str">
        <f t="shared" si="2"/>
        <v/>
      </c>
      <c r="J88" s="70"/>
    </row>
    <row r="89" spans="1:10">
      <c r="A89" s="66"/>
      <c r="B89" s="66"/>
      <c r="C89" s="66"/>
      <c r="D89" s="66"/>
      <c r="E89" s="66"/>
      <c r="F89" s="66">
        <v>364582</v>
      </c>
      <c r="G89" s="71">
        <v>40258</v>
      </c>
      <c r="H89" s="70">
        <v>1115</v>
      </c>
      <c r="I89" s="70">
        <f t="shared" si="2"/>
        <v>1115</v>
      </c>
      <c r="J89" s="70"/>
    </row>
    <row r="90" spans="1:10">
      <c r="A90" s="66"/>
      <c r="B90" s="66"/>
      <c r="C90" s="66"/>
      <c r="D90" s="66"/>
      <c r="E90" s="66"/>
      <c r="F90" s="66">
        <v>364583</v>
      </c>
      <c r="G90" s="71">
        <v>40162</v>
      </c>
      <c r="H90" s="70">
        <v>1140</v>
      </c>
      <c r="I90" s="70" t="str">
        <f t="shared" si="2"/>
        <v/>
      </c>
      <c r="J90" s="70"/>
    </row>
    <row r="91" spans="1:10">
      <c r="A91" s="66"/>
      <c r="B91" s="66"/>
      <c r="C91" s="66"/>
      <c r="D91" s="66"/>
      <c r="E91" s="66"/>
      <c r="F91" s="66">
        <v>364584</v>
      </c>
      <c r="G91" s="71">
        <v>40047</v>
      </c>
      <c r="H91" s="70">
        <v>1165</v>
      </c>
      <c r="I91" s="70">
        <f t="shared" si="2"/>
        <v>1165</v>
      </c>
      <c r="J91" s="70"/>
    </row>
    <row r="92" spans="1:10">
      <c r="A92" s="66"/>
      <c r="B92" s="66"/>
      <c r="C92" s="66"/>
      <c r="D92" s="66"/>
      <c r="E92" s="66"/>
      <c r="F92" s="66">
        <v>364585</v>
      </c>
      <c r="G92" s="71">
        <v>40102</v>
      </c>
      <c r="H92" s="70">
        <v>1190</v>
      </c>
      <c r="I92" s="70" t="str">
        <f t="shared" si="2"/>
        <v/>
      </c>
      <c r="J92" s="70"/>
    </row>
    <row r="93" spans="1:10">
      <c r="A93" s="66"/>
      <c r="B93" s="66"/>
      <c r="C93" s="66"/>
      <c r="D93" s="66"/>
      <c r="E93" s="66"/>
      <c r="F93" s="66">
        <v>364586</v>
      </c>
      <c r="G93" s="71">
        <v>40012</v>
      </c>
      <c r="H93" s="70">
        <v>1215</v>
      </c>
      <c r="I93" s="70" t="str">
        <f t="shared" si="2"/>
        <v/>
      </c>
      <c r="J93" s="70"/>
    </row>
    <row r="94" spans="1:10">
      <c r="A94" s="66"/>
      <c r="B94" s="66"/>
      <c r="C94" s="66"/>
      <c r="D94" s="66"/>
      <c r="E94" s="66"/>
      <c r="F94" s="66">
        <v>364587</v>
      </c>
      <c r="G94" s="71">
        <v>40225</v>
      </c>
      <c r="H94" s="70">
        <v>1240</v>
      </c>
      <c r="I94" s="70">
        <f t="shared" si="2"/>
        <v>1250</v>
      </c>
      <c r="J94" s="70"/>
    </row>
    <row r="95" spans="1:10">
      <c r="A95" s="66"/>
      <c r="B95" s="66"/>
      <c r="C95" s="66"/>
      <c r="D95" s="66"/>
      <c r="E95" s="66"/>
      <c r="F95" s="66">
        <v>364588</v>
      </c>
      <c r="G95" s="71">
        <v>40179</v>
      </c>
      <c r="H95" s="70">
        <v>1265</v>
      </c>
      <c r="I95" s="70" t="str">
        <f t="shared" si="2"/>
        <v/>
      </c>
      <c r="J95" s="70"/>
    </row>
    <row r="96" spans="1:10">
      <c r="A96" s="66"/>
      <c r="B96" s="66"/>
      <c r="C96" s="66"/>
      <c r="D96" s="66"/>
      <c r="E96" s="66"/>
      <c r="F96" s="66">
        <v>364589</v>
      </c>
      <c r="G96" s="71">
        <v>40245</v>
      </c>
      <c r="H96" s="70">
        <v>1290</v>
      </c>
      <c r="I96" s="70" t="str">
        <f t="shared" si="2"/>
        <v/>
      </c>
      <c r="J96" s="70"/>
    </row>
    <row r="97" spans="1:10">
      <c r="A97" s="66"/>
      <c r="B97" s="66"/>
      <c r="C97" s="66"/>
      <c r="D97" s="66"/>
      <c r="E97" s="66"/>
      <c r="F97" s="66">
        <v>364590</v>
      </c>
      <c r="G97" s="71">
        <v>40067</v>
      </c>
      <c r="H97" s="70">
        <v>1315</v>
      </c>
      <c r="I97" s="70" t="str">
        <f t="shared" si="2"/>
        <v/>
      </c>
      <c r="J97" s="70"/>
    </row>
    <row r="98" spans="1:10">
      <c r="A98" s="66"/>
      <c r="B98" s="66"/>
      <c r="C98" s="66"/>
      <c r="D98" s="66"/>
      <c r="E98" s="66"/>
      <c r="F98" s="66">
        <v>364591</v>
      </c>
      <c r="G98" s="71">
        <v>40120</v>
      </c>
      <c r="H98" s="70">
        <v>1340</v>
      </c>
      <c r="I98" s="70" t="str">
        <f t="shared" si="2"/>
        <v/>
      </c>
      <c r="J98" s="70"/>
    </row>
    <row r="99" spans="1:10">
      <c r="A99" s="66"/>
      <c r="B99" s="66"/>
      <c r="C99" s="66"/>
      <c r="D99" s="66"/>
      <c r="E99" s="66"/>
      <c r="F99" s="66">
        <v>364592</v>
      </c>
      <c r="G99" s="71">
        <v>40001</v>
      </c>
      <c r="H99" s="70">
        <v>1365</v>
      </c>
      <c r="I99" s="70" t="str">
        <f t="shared" si="2"/>
        <v/>
      </c>
      <c r="J99" s="70"/>
    </row>
    <row r="100" spans="1:10">
      <c r="A100" s="66"/>
      <c r="B100" s="66"/>
      <c r="C100" s="66"/>
      <c r="D100" s="66"/>
      <c r="E100" s="66"/>
      <c r="F100" s="66">
        <v>364593</v>
      </c>
      <c r="G100" s="71">
        <v>40227</v>
      </c>
      <c r="H100" s="70">
        <v>1390</v>
      </c>
      <c r="I100" s="70" t="str">
        <f t="shared" si="2"/>
        <v/>
      </c>
      <c r="J100" s="70"/>
    </row>
    <row r="101" spans="1:10">
      <c r="A101" s="66"/>
      <c r="B101" s="66"/>
      <c r="C101" s="66"/>
      <c r="D101" s="66"/>
      <c r="E101" s="66"/>
      <c r="F101" s="66">
        <v>364594</v>
      </c>
      <c r="G101" s="71">
        <v>40210</v>
      </c>
      <c r="H101" s="70">
        <v>1415</v>
      </c>
      <c r="I101" s="70" t="str">
        <f t="shared" si="2"/>
        <v/>
      </c>
      <c r="J101" s="70"/>
    </row>
    <row r="102" spans="1:10">
      <c r="A102" s="66"/>
      <c r="B102" s="66"/>
      <c r="C102" s="66"/>
      <c r="D102" s="66"/>
      <c r="E102" s="66"/>
      <c r="F102" s="66">
        <v>364595</v>
      </c>
      <c r="G102" s="71">
        <v>40170</v>
      </c>
      <c r="H102" s="70">
        <v>1440</v>
      </c>
      <c r="I102" s="70" t="str">
        <f t="shared" si="2"/>
        <v/>
      </c>
      <c r="J102" s="70"/>
    </row>
    <row r="103" spans="1:10">
      <c r="A103" s="66"/>
      <c r="B103" s="66"/>
      <c r="C103" s="66"/>
      <c r="D103" s="66"/>
      <c r="E103" s="66"/>
      <c r="F103" s="66">
        <v>364596</v>
      </c>
      <c r="G103" s="71">
        <v>40147</v>
      </c>
      <c r="H103" s="70">
        <v>1465</v>
      </c>
      <c r="I103" s="70" t="str">
        <f t="shared" si="2"/>
        <v/>
      </c>
      <c r="J103" s="70"/>
    </row>
    <row r="104" spans="1:10">
      <c r="A104" s="66"/>
      <c r="B104" s="66"/>
      <c r="C104" s="66"/>
      <c r="D104" s="66"/>
      <c r="E104" s="66"/>
      <c r="F104" s="66">
        <v>364597</v>
      </c>
      <c r="G104" s="71">
        <v>40179</v>
      </c>
      <c r="H104" s="70">
        <v>1490</v>
      </c>
      <c r="I104" s="70" t="str">
        <f t="shared" si="2"/>
        <v/>
      </c>
      <c r="J104" s="70"/>
    </row>
    <row r="105" spans="1:10">
      <c r="A105" s="66"/>
      <c r="B105" s="66"/>
      <c r="C105" s="66"/>
      <c r="D105" s="66"/>
      <c r="E105" s="66"/>
      <c r="F105" s="66">
        <v>364598</v>
      </c>
      <c r="G105" s="71">
        <v>40192</v>
      </c>
      <c r="H105" s="70">
        <v>1515</v>
      </c>
      <c r="I105" s="70" t="str">
        <f t="shared" si="2"/>
        <v/>
      </c>
      <c r="J105" s="70"/>
    </row>
    <row r="106" spans="1:10">
      <c r="A106" s="66"/>
      <c r="B106" s="66"/>
      <c r="C106" s="66"/>
      <c r="D106" s="66"/>
      <c r="E106" s="66"/>
      <c r="F106" s="66">
        <v>364599</v>
      </c>
      <c r="G106" s="71">
        <v>40101</v>
      </c>
      <c r="H106" s="70">
        <v>1540</v>
      </c>
      <c r="I106" s="70" t="str">
        <f t="shared" si="2"/>
        <v/>
      </c>
      <c r="J106" s="70"/>
    </row>
    <row r="107" spans="1:10">
      <c r="A107" s="66"/>
      <c r="B107" s="66"/>
      <c r="C107" s="66"/>
      <c r="D107" s="66"/>
      <c r="E107" s="66"/>
      <c r="F107" s="66">
        <v>364600</v>
      </c>
      <c r="G107" s="71">
        <v>40210</v>
      </c>
      <c r="H107" s="70">
        <v>1565</v>
      </c>
      <c r="I107" s="70" t="str">
        <f t="shared" si="2"/>
        <v/>
      </c>
      <c r="J107" s="70"/>
    </row>
    <row r="108" spans="1:10">
      <c r="A108" s="66"/>
      <c r="B108" s="66"/>
      <c r="C108" s="66"/>
      <c r="D108" s="66"/>
      <c r="E108" s="66"/>
      <c r="F108" s="66">
        <v>364601</v>
      </c>
      <c r="G108" s="71">
        <v>40000</v>
      </c>
      <c r="H108" s="70">
        <v>1590</v>
      </c>
      <c r="I108" s="70" t="str">
        <f t="shared" si="2"/>
        <v/>
      </c>
      <c r="J108" s="70"/>
    </row>
    <row r="109" spans="1:10">
      <c r="A109" s="66"/>
      <c r="B109" s="66"/>
      <c r="C109" s="66"/>
      <c r="D109" s="66"/>
      <c r="E109" s="66"/>
      <c r="F109" s="66">
        <v>364602</v>
      </c>
      <c r="G109" s="71">
        <v>40147</v>
      </c>
      <c r="H109" s="70">
        <v>1615</v>
      </c>
      <c r="I109" s="70" t="str">
        <f t="shared" si="2"/>
        <v/>
      </c>
      <c r="J109" s="70"/>
    </row>
    <row r="110" spans="1:10">
      <c r="A110" s="66"/>
      <c r="B110" s="66"/>
      <c r="C110" s="66"/>
      <c r="D110" s="66"/>
      <c r="E110" s="66"/>
      <c r="F110" s="66">
        <v>364603</v>
      </c>
      <c r="G110" s="71">
        <v>40180</v>
      </c>
      <c r="H110" s="70">
        <v>1640</v>
      </c>
      <c r="I110" s="70" t="str">
        <f t="shared" si="2"/>
        <v/>
      </c>
      <c r="J110" s="70"/>
    </row>
    <row r="111" spans="1:10">
      <c r="A111" s="66"/>
      <c r="B111" s="66"/>
      <c r="C111" s="66"/>
      <c r="D111" s="66"/>
      <c r="E111" s="66"/>
      <c r="F111" s="66">
        <v>364604</v>
      </c>
      <c r="G111" s="71">
        <v>40145</v>
      </c>
      <c r="H111" s="70">
        <v>1665</v>
      </c>
      <c r="I111" s="70" t="str">
        <f t="shared" si="2"/>
        <v/>
      </c>
      <c r="J111" s="70"/>
    </row>
    <row r="112" spans="1:10">
      <c r="A112" s="66"/>
      <c r="B112" s="66"/>
      <c r="C112" s="66"/>
      <c r="D112" s="66"/>
      <c r="E112" s="66"/>
      <c r="F112" s="66">
        <v>364605</v>
      </c>
      <c r="G112" s="71">
        <v>40087</v>
      </c>
      <c r="H112" s="70">
        <v>1690</v>
      </c>
      <c r="I112" s="70" t="str">
        <f t="shared" si="2"/>
        <v/>
      </c>
      <c r="J112" s="70"/>
    </row>
    <row r="113" spans="1:10">
      <c r="A113" s="66"/>
      <c r="E113" s="66"/>
      <c r="F113" s="66">
        <v>364606</v>
      </c>
      <c r="G113" s="71">
        <v>40020</v>
      </c>
      <c r="H113" s="70">
        <v>1715</v>
      </c>
      <c r="I113" s="70" t="str">
        <f t="shared" si="2"/>
        <v/>
      </c>
      <c r="J113" s="70"/>
    </row>
    <row r="114" spans="1:10">
      <c r="A114" s="66"/>
      <c r="E114" s="66"/>
      <c r="F114" s="66">
        <v>364607</v>
      </c>
      <c r="G114" s="71">
        <v>40104</v>
      </c>
      <c r="H114" s="70">
        <v>1740</v>
      </c>
      <c r="I114" s="70" t="str">
        <f t="shared" si="2"/>
        <v/>
      </c>
      <c r="J114" s="70"/>
    </row>
  </sheetData>
  <mergeCells count="2">
    <mergeCell ref="B6:D6"/>
    <mergeCell ref="F6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2B85-170B-4D8A-9B79-3A94980B452F}">
  <sheetPr>
    <tabColor theme="8" tint="0.59999389629810485"/>
  </sheetPr>
  <dimension ref="A1:I21"/>
  <sheetViews>
    <sheetView zoomScale="101" zoomScaleNormal="160" workbookViewId="0">
      <selection activeCell="J18" sqref="J18"/>
    </sheetView>
  </sheetViews>
  <sheetFormatPr defaultRowHeight="12.5"/>
  <cols>
    <col min="1" max="1" width="18.6328125" style="50" customWidth="1"/>
    <col min="2" max="2" width="11" style="50" customWidth="1"/>
    <col min="3" max="3" width="10.90625" style="50" bestFit="1" customWidth="1"/>
    <col min="4" max="4" width="7.453125" style="50" bestFit="1" customWidth="1"/>
    <col min="5" max="5" width="5.6328125" style="50" bestFit="1" customWidth="1"/>
    <col min="6" max="6" width="11.36328125" style="50" bestFit="1" customWidth="1"/>
    <col min="7" max="8" width="8.90625" style="50"/>
    <col min="9" max="9" width="12.453125" style="50" bestFit="1" customWidth="1"/>
    <col min="10" max="256" width="8.90625" style="50"/>
    <col min="257" max="257" width="18.6328125" style="50" customWidth="1"/>
    <col min="258" max="258" width="11" style="50" customWidth="1"/>
    <col min="259" max="259" width="10.90625" style="50" bestFit="1" customWidth="1"/>
    <col min="260" max="260" width="7.453125" style="50" bestFit="1" customWidth="1"/>
    <col min="261" max="261" width="5.6328125" style="50" bestFit="1" customWidth="1"/>
    <col min="262" max="262" width="11.36328125" style="50" bestFit="1" customWidth="1"/>
    <col min="263" max="264" width="8.90625" style="50"/>
    <col min="265" max="265" width="12.453125" style="50" bestFit="1" customWidth="1"/>
    <col min="266" max="512" width="8.90625" style="50"/>
    <col min="513" max="513" width="18.6328125" style="50" customWidth="1"/>
    <col min="514" max="514" width="11" style="50" customWidth="1"/>
    <col min="515" max="515" width="10.90625" style="50" bestFit="1" customWidth="1"/>
    <col min="516" max="516" width="7.453125" style="50" bestFit="1" customWidth="1"/>
    <col min="517" max="517" width="5.6328125" style="50" bestFit="1" customWidth="1"/>
    <col min="518" max="518" width="11.36328125" style="50" bestFit="1" customWidth="1"/>
    <col min="519" max="520" width="8.90625" style="50"/>
    <col min="521" max="521" width="12.453125" style="50" bestFit="1" customWidth="1"/>
    <col min="522" max="768" width="8.90625" style="50"/>
    <col min="769" max="769" width="18.6328125" style="50" customWidth="1"/>
    <col min="770" max="770" width="11" style="50" customWidth="1"/>
    <col min="771" max="771" width="10.90625" style="50" bestFit="1" customWidth="1"/>
    <col min="772" max="772" width="7.453125" style="50" bestFit="1" customWidth="1"/>
    <col min="773" max="773" width="5.6328125" style="50" bestFit="1" customWidth="1"/>
    <col min="774" max="774" width="11.36328125" style="50" bestFit="1" customWidth="1"/>
    <col min="775" max="776" width="8.90625" style="50"/>
    <col min="777" max="777" width="12.453125" style="50" bestFit="1" customWidth="1"/>
    <col min="778" max="1024" width="8.90625" style="50"/>
    <col min="1025" max="1025" width="18.6328125" style="50" customWidth="1"/>
    <col min="1026" max="1026" width="11" style="50" customWidth="1"/>
    <col min="1027" max="1027" width="10.90625" style="50" bestFit="1" customWidth="1"/>
    <col min="1028" max="1028" width="7.453125" style="50" bestFit="1" customWidth="1"/>
    <col min="1029" max="1029" width="5.6328125" style="50" bestFit="1" customWidth="1"/>
    <col min="1030" max="1030" width="11.36328125" style="50" bestFit="1" customWidth="1"/>
    <col min="1031" max="1032" width="8.90625" style="50"/>
    <col min="1033" max="1033" width="12.453125" style="50" bestFit="1" customWidth="1"/>
    <col min="1034" max="1280" width="8.90625" style="50"/>
    <col min="1281" max="1281" width="18.6328125" style="50" customWidth="1"/>
    <col min="1282" max="1282" width="11" style="50" customWidth="1"/>
    <col min="1283" max="1283" width="10.90625" style="50" bestFit="1" customWidth="1"/>
    <col min="1284" max="1284" width="7.453125" style="50" bestFit="1" customWidth="1"/>
    <col min="1285" max="1285" width="5.6328125" style="50" bestFit="1" customWidth="1"/>
    <col min="1286" max="1286" width="11.36328125" style="50" bestFit="1" customWidth="1"/>
    <col min="1287" max="1288" width="8.90625" style="50"/>
    <col min="1289" max="1289" width="12.453125" style="50" bestFit="1" customWidth="1"/>
    <col min="1290" max="1536" width="8.90625" style="50"/>
    <col min="1537" max="1537" width="18.6328125" style="50" customWidth="1"/>
    <col min="1538" max="1538" width="11" style="50" customWidth="1"/>
    <col min="1539" max="1539" width="10.90625" style="50" bestFit="1" customWidth="1"/>
    <col min="1540" max="1540" width="7.453125" style="50" bestFit="1" customWidth="1"/>
    <col min="1541" max="1541" width="5.6328125" style="50" bestFit="1" customWidth="1"/>
    <col min="1542" max="1542" width="11.36328125" style="50" bestFit="1" customWidth="1"/>
    <col min="1543" max="1544" width="8.90625" style="50"/>
    <col min="1545" max="1545" width="12.453125" style="50" bestFit="1" customWidth="1"/>
    <col min="1546" max="1792" width="8.90625" style="50"/>
    <col min="1793" max="1793" width="18.6328125" style="50" customWidth="1"/>
    <col min="1794" max="1794" width="11" style="50" customWidth="1"/>
    <col min="1795" max="1795" width="10.90625" style="50" bestFit="1" customWidth="1"/>
    <col min="1796" max="1796" width="7.453125" style="50" bestFit="1" customWidth="1"/>
    <col min="1797" max="1797" width="5.6328125" style="50" bestFit="1" customWidth="1"/>
    <col min="1798" max="1798" width="11.36328125" style="50" bestFit="1" customWidth="1"/>
    <col min="1799" max="1800" width="8.90625" style="50"/>
    <col min="1801" max="1801" width="12.453125" style="50" bestFit="1" customWidth="1"/>
    <col min="1802" max="2048" width="8.90625" style="50"/>
    <col min="2049" max="2049" width="18.6328125" style="50" customWidth="1"/>
    <col min="2050" max="2050" width="11" style="50" customWidth="1"/>
    <col min="2051" max="2051" width="10.90625" style="50" bestFit="1" customWidth="1"/>
    <col min="2052" max="2052" width="7.453125" style="50" bestFit="1" customWidth="1"/>
    <col min="2053" max="2053" width="5.6328125" style="50" bestFit="1" customWidth="1"/>
    <col min="2054" max="2054" width="11.36328125" style="50" bestFit="1" customWidth="1"/>
    <col min="2055" max="2056" width="8.90625" style="50"/>
    <col min="2057" max="2057" width="12.453125" style="50" bestFit="1" customWidth="1"/>
    <col min="2058" max="2304" width="8.90625" style="50"/>
    <col min="2305" max="2305" width="18.6328125" style="50" customWidth="1"/>
    <col min="2306" max="2306" width="11" style="50" customWidth="1"/>
    <col min="2307" max="2307" width="10.90625" style="50" bestFit="1" customWidth="1"/>
    <col min="2308" max="2308" width="7.453125" style="50" bestFit="1" customWidth="1"/>
    <col min="2309" max="2309" width="5.6328125" style="50" bestFit="1" customWidth="1"/>
    <col min="2310" max="2310" width="11.36328125" style="50" bestFit="1" customWidth="1"/>
    <col min="2311" max="2312" width="8.90625" style="50"/>
    <col min="2313" max="2313" width="12.453125" style="50" bestFit="1" customWidth="1"/>
    <col min="2314" max="2560" width="8.90625" style="50"/>
    <col min="2561" max="2561" width="18.6328125" style="50" customWidth="1"/>
    <col min="2562" max="2562" width="11" style="50" customWidth="1"/>
    <col min="2563" max="2563" width="10.90625" style="50" bestFit="1" customWidth="1"/>
    <col min="2564" max="2564" width="7.453125" style="50" bestFit="1" customWidth="1"/>
    <col min="2565" max="2565" width="5.6328125" style="50" bestFit="1" customWidth="1"/>
    <col min="2566" max="2566" width="11.36328125" style="50" bestFit="1" customWidth="1"/>
    <col min="2567" max="2568" width="8.90625" style="50"/>
    <col min="2569" max="2569" width="12.453125" style="50" bestFit="1" customWidth="1"/>
    <col min="2570" max="2816" width="8.90625" style="50"/>
    <col min="2817" max="2817" width="18.6328125" style="50" customWidth="1"/>
    <col min="2818" max="2818" width="11" style="50" customWidth="1"/>
    <col min="2819" max="2819" width="10.90625" style="50" bestFit="1" customWidth="1"/>
    <col min="2820" max="2820" width="7.453125" style="50" bestFit="1" customWidth="1"/>
    <col min="2821" max="2821" width="5.6328125" style="50" bestFit="1" customWidth="1"/>
    <col min="2822" max="2822" width="11.36328125" style="50" bestFit="1" customWidth="1"/>
    <col min="2823" max="2824" width="8.90625" style="50"/>
    <col min="2825" max="2825" width="12.453125" style="50" bestFit="1" customWidth="1"/>
    <col min="2826" max="3072" width="8.90625" style="50"/>
    <col min="3073" max="3073" width="18.6328125" style="50" customWidth="1"/>
    <col min="3074" max="3074" width="11" style="50" customWidth="1"/>
    <col min="3075" max="3075" width="10.90625" style="50" bestFit="1" customWidth="1"/>
    <col min="3076" max="3076" width="7.453125" style="50" bestFit="1" customWidth="1"/>
    <col min="3077" max="3077" width="5.6328125" style="50" bestFit="1" customWidth="1"/>
    <col min="3078" max="3078" width="11.36328125" style="50" bestFit="1" customWidth="1"/>
    <col min="3079" max="3080" width="8.90625" style="50"/>
    <col min="3081" max="3081" width="12.453125" style="50" bestFit="1" customWidth="1"/>
    <col min="3082" max="3328" width="8.90625" style="50"/>
    <col min="3329" max="3329" width="18.6328125" style="50" customWidth="1"/>
    <col min="3330" max="3330" width="11" style="50" customWidth="1"/>
    <col min="3331" max="3331" width="10.90625" style="50" bestFit="1" customWidth="1"/>
    <col min="3332" max="3332" width="7.453125" style="50" bestFit="1" customWidth="1"/>
    <col min="3333" max="3333" width="5.6328125" style="50" bestFit="1" customWidth="1"/>
    <col min="3334" max="3334" width="11.36328125" style="50" bestFit="1" customWidth="1"/>
    <col min="3335" max="3336" width="8.90625" style="50"/>
    <col min="3337" max="3337" width="12.453125" style="50" bestFit="1" customWidth="1"/>
    <col min="3338" max="3584" width="8.90625" style="50"/>
    <col min="3585" max="3585" width="18.6328125" style="50" customWidth="1"/>
    <col min="3586" max="3586" width="11" style="50" customWidth="1"/>
    <col min="3587" max="3587" width="10.90625" style="50" bestFit="1" customWidth="1"/>
    <col min="3588" max="3588" width="7.453125" style="50" bestFit="1" customWidth="1"/>
    <col min="3589" max="3589" width="5.6328125" style="50" bestFit="1" customWidth="1"/>
    <col min="3590" max="3590" width="11.36328125" style="50" bestFit="1" customWidth="1"/>
    <col min="3591" max="3592" width="8.90625" style="50"/>
    <col min="3593" max="3593" width="12.453125" style="50" bestFit="1" customWidth="1"/>
    <col min="3594" max="3840" width="8.90625" style="50"/>
    <col min="3841" max="3841" width="18.6328125" style="50" customWidth="1"/>
    <col min="3842" max="3842" width="11" style="50" customWidth="1"/>
    <col min="3843" max="3843" width="10.90625" style="50" bestFit="1" customWidth="1"/>
    <col min="3844" max="3844" width="7.453125" style="50" bestFit="1" customWidth="1"/>
    <col min="3845" max="3845" width="5.6328125" style="50" bestFit="1" customWidth="1"/>
    <col min="3846" max="3846" width="11.36328125" style="50" bestFit="1" customWidth="1"/>
    <col min="3847" max="3848" width="8.90625" style="50"/>
    <col min="3849" max="3849" width="12.453125" style="50" bestFit="1" customWidth="1"/>
    <col min="3850" max="4096" width="8.90625" style="50"/>
    <col min="4097" max="4097" width="18.6328125" style="50" customWidth="1"/>
    <col min="4098" max="4098" width="11" style="50" customWidth="1"/>
    <col min="4099" max="4099" width="10.90625" style="50" bestFit="1" customWidth="1"/>
    <col min="4100" max="4100" width="7.453125" style="50" bestFit="1" customWidth="1"/>
    <col min="4101" max="4101" width="5.6328125" style="50" bestFit="1" customWidth="1"/>
    <col min="4102" max="4102" width="11.36328125" style="50" bestFit="1" customWidth="1"/>
    <col min="4103" max="4104" width="8.90625" style="50"/>
    <col min="4105" max="4105" width="12.453125" style="50" bestFit="1" customWidth="1"/>
    <col min="4106" max="4352" width="8.90625" style="50"/>
    <col min="4353" max="4353" width="18.6328125" style="50" customWidth="1"/>
    <col min="4354" max="4354" width="11" style="50" customWidth="1"/>
    <col min="4355" max="4355" width="10.90625" style="50" bestFit="1" customWidth="1"/>
    <col min="4356" max="4356" width="7.453125" style="50" bestFit="1" customWidth="1"/>
    <col min="4357" max="4357" width="5.6328125" style="50" bestFit="1" customWidth="1"/>
    <col min="4358" max="4358" width="11.36328125" style="50" bestFit="1" customWidth="1"/>
    <col min="4359" max="4360" width="8.90625" style="50"/>
    <col min="4361" max="4361" width="12.453125" style="50" bestFit="1" customWidth="1"/>
    <col min="4362" max="4608" width="8.90625" style="50"/>
    <col min="4609" max="4609" width="18.6328125" style="50" customWidth="1"/>
    <col min="4610" max="4610" width="11" style="50" customWidth="1"/>
    <col min="4611" max="4611" width="10.90625" style="50" bestFit="1" customWidth="1"/>
    <col min="4612" max="4612" width="7.453125" style="50" bestFit="1" customWidth="1"/>
    <col min="4613" max="4613" width="5.6328125" style="50" bestFit="1" customWidth="1"/>
    <col min="4614" max="4614" width="11.36328125" style="50" bestFit="1" customWidth="1"/>
    <col min="4615" max="4616" width="8.90625" style="50"/>
    <col min="4617" max="4617" width="12.453125" style="50" bestFit="1" customWidth="1"/>
    <col min="4618" max="4864" width="8.90625" style="50"/>
    <col min="4865" max="4865" width="18.6328125" style="50" customWidth="1"/>
    <col min="4866" max="4866" width="11" style="50" customWidth="1"/>
    <col min="4867" max="4867" width="10.90625" style="50" bestFit="1" customWidth="1"/>
    <col min="4868" max="4868" width="7.453125" style="50" bestFit="1" customWidth="1"/>
    <col min="4869" max="4869" width="5.6328125" style="50" bestFit="1" customWidth="1"/>
    <col min="4870" max="4870" width="11.36328125" style="50" bestFit="1" customWidth="1"/>
    <col min="4871" max="4872" width="8.90625" style="50"/>
    <col min="4873" max="4873" width="12.453125" style="50" bestFit="1" customWidth="1"/>
    <col min="4874" max="5120" width="8.90625" style="50"/>
    <col min="5121" max="5121" width="18.6328125" style="50" customWidth="1"/>
    <col min="5122" max="5122" width="11" style="50" customWidth="1"/>
    <col min="5123" max="5123" width="10.90625" style="50" bestFit="1" customWidth="1"/>
    <col min="5124" max="5124" width="7.453125" style="50" bestFit="1" customWidth="1"/>
    <col min="5125" max="5125" width="5.6328125" style="50" bestFit="1" customWidth="1"/>
    <col min="5126" max="5126" width="11.36328125" style="50" bestFit="1" customWidth="1"/>
    <col min="5127" max="5128" width="8.90625" style="50"/>
    <col min="5129" max="5129" width="12.453125" style="50" bestFit="1" customWidth="1"/>
    <col min="5130" max="5376" width="8.90625" style="50"/>
    <col min="5377" max="5377" width="18.6328125" style="50" customWidth="1"/>
    <col min="5378" max="5378" width="11" style="50" customWidth="1"/>
    <col min="5379" max="5379" width="10.90625" style="50" bestFit="1" customWidth="1"/>
    <col min="5380" max="5380" width="7.453125" style="50" bestFit="1" customWidth="1"/>
    <col min="5381" max="5381" width="5.6328125" style="50" bestFit="1" customWidth="1"/>
    <col min="5382" max="5382" width="11.36328125" style="50" bestFit="1" customWidth="1"/>
    <col min="5383" max="5384" width="8.90625" style="50"/>
    <col min="5385" max="5385" width="12.453125" style="50" bestFit="1" customWidth="1"/>
    <col min="5386" max="5632" width="8.90625" style="50"/>
    <col min="5633" max="5633" width="18.6328125" style="50" customWidth="1"/>
    <col min="5634" max="5634" width="11" style="50" customWidth="1"/>
    <col min="5635" max="5635" width="10.90625" style="50" bestFit="1" customWidth="1"/>
    <col min="5636" max="5636" width="7.453125" style="50" bestFit="1" customWidth="1"/>
    <col min="5637" max="5637" width="5.6328125" style="50" bestFit="1" customWidth="1"/>
    <col min="5638" max="5638" width="11.36328125" style="50" bestFit="1" customWidth="1"/>
    <col min="5639" max="5640" width="8.90625" style="50"/>
    <col min="5641" max="5641" width="12.453125" style="50" bestFit="1" customWidth="1"/>
    <col min="5642" max="5888" width="8.90625" style="50"/>
    <col min="5889" max="5889" width="18.6328125" style="50" customWidth="1"/>
    <col min="5890" max="5890" width="11" style="50" customWidth="1"/>
    <col min="5891" max="5891" width="10.90625" style="50" bestFit="1" customWidth="1"/>
    <col min="5892" max="5892" width="7.453125" style="50" bestFit="1" customWidth="1"/>
    <col min="5893" max="5893" width="5.6328125" style="50" bestFit="1" customWidth="1"/>
    <col min="5894" max="5894" width="11.36328125" style="50" bestFit="1" customWidth="1"/>
    <col min="5895" max="5896" width="8.90625" style="50"/>
    <col min="5897" max="5897" width="12.453125" style="50" bestFit="1" customWidth="1"/>
    <col min="5898" max="6144" width="8.90625" style="50"/>
    <col min="6145" max="6145" width="18.6328125" style="50" customWidth="1"/>
    <col min="6146" max="6146" width="11" style="50" customWidth="1"/>
    <col min="6147" max="6147" width="10.90625" style="50" bestFit="1" customWidth="1"/>
    <col min="6148" max="6148" width="7.453125" style="50" bestFit="1" customWidth="1"/>
    <col min="6149" max="6149" width="5.6328125" style="50" bestFit="1" customWidth="1"/>
    <col min="6150" max="6150" width="11.36328125" style="50" bestFit="1" customWidth="1"/>
    <col min="6151" max="6152" width="8.90625" style="50"/>
    <col min="6153" max="6153" width="12.453125" style="50" bestFit="1" customWidth="1"/>
    <col min="6154" max="6400" width="8.90625" style="50"/>
    <col min="6401" max="6401" width="18.6328125" style="50" customWidth="1"/>
    <col min="6402" max="6402" width="11" style="50" customWidth="1"/>
    <col min="6403" max="6403" width="10.90625" style="50" bestFit="1" customWidth="1"/>
    <col min="6404" max="6404" width="7.453125" style="50" bestFit="1" customWidth="1"/>
    <col min="6405" max="6405" width="5.6328125" style="50" bestFit="1" customWidth="1"/>
    <col min="6406" max="6406" width="11.36328125" style="50" bestFit="1" customWidth="1"/>
    <col min="6407" max="6408" width="8.90625" style="50"/>
    <col min="6409" max="6409" width="12.453125" style="50" bestFit="1" customWidth="1"/>
    <col min="6410" max="6656" width="8.90625" style="50"/>
    <col min="6657" max="6657" width="18.6328125" style="50" customWidth="1"/>
    <col min="6658" max="6658" width="11" style="50" customWidth="1"/>
    <col min="6659" max="6659" width="10.90625" style="50" bestFit="1" customWidth="1"/>
    <col min="6660" max="6660" width="7.453125" style="50" bestFit="1" customWidth="1"/>
    <col min="6661" max="6661" width="5.6328125" style="50" bestFit="1" customWidth="1"/>
    <col min="6662" max="6662" width="11.36328125" style="50" bestFit="1" customWidth="1"/>
    <col min="6663" max="6664" width="8.90625" style="50"/>
    <col min="6665" max="6665" width="12.453125" style="50" bestFit="1" customWidth="1"/>
    <col min="6666" max="6912" width="8.90625" style="50"/>
    <col min="6913" max="6913" width="18.6328125" style="50" customWidth="1"/>
    <col min="6914" max="6914" width="11" style="50" customWidth="1"/>
    <col min="6915" max="6915" width="10.90625" style="50" bestFit="1" customWidth="1"/>
    <col min="6916" max="6916" width="7.453125" style="50" bestFit="1" customWidth="1"/>
    <col min="6917" max="6917" width="5.6328125" style="50" bestFit="1" customWidth="1"/>
    <col min="6918" max="6918" width="11.36328125" style="50" bestFit="1" customWidth="1"/>
    <col min="6919" max="6920" width="8.90625" style="50"/>
    <col min="6921" max="6921" width="12.453125" style="50" bestFit="1" customWidth="1"/>
    <col min="6922" max="7168" width="8.90625" style="50"/>
    <col min="7169" max="7169" width="18.6328125" style="50" customWidth="1"/>
    <col min="7170" max="7170" width="11" style="50" customWidth="1"/>
    <col min="7171" max="7171" width="10.90625" style="50" bestFit="1" customWidth="1"/>
    <col min="7172" max="7172" width="7.453125" style="50" bestFit="1" customWidth="1"/>
    <col min="7173" max="7173" width="5.6328125" style="50" bestFit="1" customWidth="1"/>
    <col min="7174" max="7174" width="11.36328125" style="50" bestFit="1" customWidth="1"/>
    <col min="7175" max="7176" width="8.90625" style="50"/>
    <col min="7177" max="7177" width="12.453125" style="50" bestFit="1" customWidth="1"/>
    <col min="7178" max="7424" width="8.90625" style="50"/>
    <col min="7425" max="7425" width="18.6328125" style="50" customWidth="1"/>
    <col min="7426" max="7426" width="11" style="50" customWidth="1"/>
    <col min="7427" max="7427" width="10.90625" style="50" bestFit="1" customWidth="1"/>
    <col min="7428" max="7428" width="7.453125" style="50" bestFit="1" customWidth="1"/>
    <col min="7429" max="7429" width="5.6328125" style="50" bestFit="1" customWidth="1"/>
    <col min="7430" max="7430" width="11.36328125" style="50" bestFit="1" customWidth="1"/>
    <col min="7431" max="7432" width="8.90625" style="50"/>
    <col min="7433" max="7433" width="12.453125" style="50" bestFit="1" customWidth="1"/>
    <col min="7434" max="7680" width="8.90625" style="50"/>
    <col min="7681" max="7681" width="18.6328125" style="50" customWidth="1"/>
    <col min="7682" max="7682" width="11" style="50" customWidth="1"/>
    <col min="7683" max="7683" width="10.90625" style="50" bestFit="1" customWidth="1"/>
    <col min="7684" max="7684" width="7.453125" style="50" bestFit="1" customWidth="1"/>
    <col min="7685" max="7685" width="5.6328125" style="50" bestFit="1" customWidth="1"/>
    <col min="7686" max="7686" width="11.36328125" style="50" bestFit="1" customWidth="1"/>
    <col min="7687" max="7688" width="8.90625" style="50"/>
    <col min="7689" max="7689" width="12.453125" style="50" bestFit="1" customWidth="1"/>
    <col min="7690" max="7936" width="8.90625" style="50"/>
    <col min="7937" max="7937" width="18.6328125" style="50" customWidth="1"/>
    <col min="7938" max="7938" width="11" style="50" customWidth="1"/>
    <col min="7939" max="7939" width="10.90625" style="50" bestFit="1" customWidth="1"/>
    <col min="7940" max="7940" width="7.453125" style="50" bestFit="1" customWidth="1"/>
    <col min="7941" max="7941" width="5.6328125" style="50" bestFit="1" customWidth="1"/>
    <col min="7942" max="7942" width="11.36328125" style="50" bestFit="1" customWidth="1"/>
    <col min="7943" max="7944" width="8.90625" style="50"/>
    <col min="7945" max="7945" width="12.453125" style="50" bestFit="1" customWidth="1"/>
    <col min="7946" max="8192" width="8.90625" style="50"/>
    <col min="8193" max="8193" width="18.6328125" style="50" customWidth="1"/>
    <col min="8194" max="8194" width="11" style="50" customWidth="1"/>
    <col min="8195" max="8195" width="10.90625" style="50" bestFit="1" customWidth="1"/>
    <col min="8196" max="8196" width="7.453125" style="50" bestFit="1" customWidth="1"/>
    <col min="8197" max="8197" width="5.6328125" style="50" bestFit="1" customWidth="1"/>
    <col min="8198" max="8198" width="11.36328125" style="50" bestFit="1" customWidth="1"/>
    <col min="8199" max="8200" width="8.90625" style="50"/>
    <col min="8201" max="8201" width="12.453125" style="50" bestFit="1" customWidth="1"/>
    <col min="8202" max="8448" width="8.90625" style="50"/>
    <col min="8449" max="8449" width="18.6328125" style="50" customWidth="1"/>
    <col min="8450" max="8450" width="11" style="50" customWidth="1"/>
    <col min="8451" max="8451" width="10.90625" style="50" bestFit="1" customWidth="1"/>
    <col min="8452" max="8452" width="7.453125" style="50" bestFit="1" customWidth="1"/>
    <col min="8453" max="8453" width="5.6328125" style="50" bestFit="1" customWidth="1"/>
    <col min="8454" max="8454" width="11.36328125" style="50" bestFit="1" customWidth="1"/>
    <col min="8455" max="8456" width="8.90625" style="50"/>
    <col min="8457" max="8457" width="12.453125" style="50" bestFit="1" customWidth="1"/>
    <col min="8458" max="8704" width="8.90625" style="50"/>
    <col min="8705" max="8705" width="18.6328125" style="50" customWidth="1"/>
    <col min="8706" max="8706" width="11" style="50" customWidth="1"/>
    <col min="8707" max="8707" width="10.90625" style="50" bestFit="1" customWidth="1"/>
    <col min="8708" max="8708" width="7.453125" style="50" bestFit="1" customWidth="1"/>
    <col min="8709" max="8709" width="5.6328125" style="50" bestFit="1" customWidth="1"/>
    <col min="8710" max="8710" width="11.36328125" style="50" bestFit="1" customWidth="1"/>
    <col min="8711" max="8712" width="8.90625" style="50"/>
    <col min="8713" max="8713" width="12.453125" style="50" bestFit="1" customWidth="1"/>
    <col min="8714" max="8960" width="8.90625" style="50"/>
    <col min="8961" max="8961" width="18.6328125" style="50" customWidth="1"/>
    <col min="8962" max="8962" width="11" style="50" customWidth="1"/>
    <col min="8963" max="8963" width="10.90625" style="50" bestFit="1" customWidth="1"/>
    <col min="8964" max="8964" width="7.453125" style="50" bestFit="1" customWidth="1"/>
    <col min="8965" max="8965" width="5.6328125" style="50" bestFit="1" customWidth="1"/>
    <col min="8966" max="8966" width="11.36328125" style="50" bestFit="1" customWidth="1"/>
    <col min="8967" max="8968" width="8.90625" style="50"/>
    <col min="8969" max="8969" width="12.453125" style="50" bestFit="1" customWidth="1"/>
    <col min="8970" max="9216" width="8.90625" style="50"/>
    <col min="9217" max="9217" width="18.6328125" style="50" customWidth="1"/>
    <col min="9218" max="9218" width="11" style="50" customWidth="1"/>
    <col min="9219" max="9219" width="10.90625" style="50" bestFit="1" customWidth="1"/>
    <col min="9220" max="9220" width="7.453125" style="50" bestFit="1" customWidth="1"/>
    <col min="9221" max="9221" width="5.6328125" style="50" bestFit="1" customWidth="1"/>
    <col min="9222" max="9222" width="11.36328125" style="50" bestFit="1" customWidth="1"/>
    <col min="9223" max="9224" width="8.90625" style="50"/>
    <col min="9225" max="9225" width="12.453125" style="50" bestFit="1" customWidth="1"/>
    <col min="9226" max="9472" width="8.90625" style="50"/>
    <col min="9473" max="9473" width="18.6328125" style="50" customWidth="1"/>
    <col min="9474" max="9474" width="11" style="50" customWidth="1"/>
    <col min="9475" max="9475" width="10.90625" style="50" bestFit="1" customWidth="1"/>
    <col min="9476" max="9476" width="7.453125" style="50" bestFit="1" customWidth="1"/>
    <col min="9477" max="9477" width="5.6328125" style="50" bestFit="1" customWidth="1"/>
    <col min="9478" max="9478" width="11.36328125" style="50" bestFit="1" customWidth="1"/>
    <col min="9479" max="9480" width="8.90625" style="50"/>
    <col min="9481" max="9481" width="12.453125" style="50" bestFit="1" customWidth="1"/>
    <col min="9482" max="9728" width="8.90625" style="50"/>
    <col min="9729" max="9729" width="18.6328125" style="50" customWidth="1"/>
    <col min="9730" max="9730" width="11" style="50" customWidth="1"/>
    <col min="9731" max="9731" width="10.90625" style="50" bestFit="1" customWidth="1"/>
    <col min="9732" max="9732" width="7.453125" style="50" bestFit="1" customWidth="1"/>
    <col min="9733" max="9733" width="5.6328125" style="50" bestFit="1" customWidth="1"/>
    <col min="9734" max="9734" width="11.36328125" style="50" bestFit="1" customWidth="1"/>
    <col min="9735" max="9736" width="8.90625" style="50"/>
    <col min="9737" max="9737" width="12.453125" style="50" bestFit="1" customWidth="1"/>
    <col min="9738" max="9984" width="8.90625" style="50"/>
    <col min="9985" max="9985" width="18.6328125" style="50" customWidth="1"/>
    <col min="9986" max="9986" width="11" style="50" customWidth="1"/>
    <col min="9987" max="9987" width="10.90625" style="50" bestFit="1" customWidth="1"/>
    <col min="9988" max="9988" width="7.453125" style="50" bestFit="1" customWidth="1"/>
    <col min="9989" max="9989" width="5.6328125" style="50" bestFit="1" customWidth="1"/>
    <col min="9990" max="9990" width="11.36328125" style="50" bestFit="1" customWidth="1"/>
    <col min="9991" max="9992" width="8.90625" style="50"/>
    <col min="9993" max="9993" width="12.453125" style="50" bestFit="1" customWidth="1"/>
    <col min="9994" max="10240" width="8.90625" style="50"/>
    <col min="10241" max="10241" width="18.6328125" style="50" customWidth="1"/>
    <col min="10242" max="10242" width="11" style="50" customWidth="1"/>
    <col min="10243" max="10243" width="10.90625" style="50" bestFit="1" customWidth="1"/>
    <col min="10244" max="10244" width="7.453125" style="50" bestFit="1" customWidth="1"/>
    <col min="10245" max="10245" width="5.6328125" style="50" bestFit="1" customWidth="1"/>
    <col min="10246" max="10246" width="11.36328125" style="50" bestFit="1" customWidth="1"/>
    <col min="10247" max="10248" width="8.90625" style="50"/>
    <col min="10249" max="10249" width="12.453125" style="50" bestFit="1" customWidth="1"/>
    <col min="10250" max="10496" width="8.90625" style="50"/>
    <col min="10497" max="10497" width="18.6328125" style="50" customWidth="1"/>
    <col min="10498" max="10498" width="11" style="50" customWidth="1"/>
    <col min="10499" max="10499" width="10.90625" style="50" bestFit="1" customWidth="1"/>
    <col min="10500" max="10500" width="7.453125" style="50" bestFit="1" customWidth="1"/>
    <col min="10501" max="10501" width="5.6328125" style="50" bestFit="1" customWidth="1"/>
    <col min="10502" max="10502" width="11.36328125" style="50" bestFit="1" customWidth="1"/>
    <col min="10503" max="10504" width="8.90625" style="50"/>
    <col min="10505" max="10505" width="12.453125" style="50" bestFit="1" customWidth="1"/>
    <col min="10506" max="10752" width="8.90625" style="50"/>
    <col min="10753" max="10753" width="18.6328125" style="50" customWidth="1"/>
    <col min="10754" max="10754" width="11" style="50" customWidth="1"/>
    <col min="10755" max="10755" width="10.90625" style="50" bestFit="1" customWidth="1"/>
    <col min="10756" max="10756" width="7.453125" style="50" bestFit="1" customWidth="1"/>
    <col min="10757" max="10757" width="5.6328125" style="50" bestFit="1" customWidth="1"/>
    <col min="10758" max="10758" width="11.36328125" style="50" bestFit="1" customWidth="1"/>
    <col min="10759" max="10760" width="8.90625" style="50"/>
    <col min="10761" max="10761" width="12.453125" style="50" bestFit="1" customWidth="1"/>
    <col min="10762" max="11008" width="8.90625" style="50"/>
    <col min="11009" max="11009" width="18.6328125" style="50" customWidth="1"/>
    <col min="11010" max="11010" width="11" style="50" customWidth="1"/>
    <col min="11011" max="11011" width="10.90625" style="50" bestFit="1" customWidth="1"/>
    <col min="11012" max="11012" width="7.453125" style="50" bestFit="1" customWidth="1"/>
    <col min="11013" max="11013" width="5.6328125" style="50" bestFit="1" customWidth="1"/>
    <col min="11014" max="11014" width="11.36328125" style="50" bestFit="1" customWidth="1"/>
    <col min="11015" max="11016" width="8.90625" style="50"/>
    <col min="11017" max="11017" width="12.453125" style="50" bestFit="1" customWidth="1"/>
    <col min="11018" max="11264" width="8.90625" style="50"/>
    <col min="11265" max="11265" width="18.6328125" style="50" customWidth="1"/>
    <col min="11266" max="11266" width="11" style="50" customWidth="1"/>
    <col min="11267" max="11267" width="10.90625" style="50" bestFit="1" customWidth="1"/>
    <col min="11268" max="11268" width="7.453125" style="50" bestFit="1" customWidth="1"/>
    <col min="11269" max="11269" width="5.6328125" style="50" bestFit="1" customWidth="1"/>
    <col min="11270" max="11270" width="11.36328125" style="50" bestFit="1" customWidth="1"/>
    <col min="11271" max="11272" width="8.90625" style="50"/>
    <col min="11273" max="11273" width="12.453125" style="50" bestFit="1" customWidth="1"/>
    <col min="11274" max="11520" width="8.90625" style="50"/>
    <col min="11521" max="11521" width="18.6328125" style="50" customWidth="1"/>
    <col min="11522" max="11522" width="11" style="50" customWidth="1"/>
    <col min="11523" max="11523" width="10.90625" style="50" bestFit="1" customWidth="1"/>
    <col min="11524" max="11524" width="7.453125" style="50" bestFit="1" customWidth="1"/>
    <col min="11525" max="11525" width="5.6328125" style="50" bestFit="1" customWidth="1"/>
    <col min="11526" max="11526" width="11.36328125" style="50" bestFit="1" customWidth="1"/>
    <col min="11527" max="11528" width="8.90625" style="50"/>
    <col min="11529" max="11529" width="12.453125" style="50" bestFit="1" customWidth="1"/>
    <col min="11530" max="11776" width="8.90625" style="50"/>
    <col min="11777" max="11777" width="18.6328125" style="50" customWidth="1"/>
    <col min="11778" max="11778" width="11" style="50" customWidth="1"/>
    <col min="11779" max="11779" width="10.90625" style="50" bestFit="1" customWidth="1"/>
    <col min="11780" max="11780" width="7.453125" style="50" bestFit="1" customWidth="1"/>
    <col min="11781" max="11781" width="5.6328125" style="50" bestFit="1" customWidth="1"/>
    <col min="11782" max="11782" width="11.36328125" style="50" bestFit="1" customWidth="1"/>
    <col min="11783" max="11784" width="8.90625" style="50"/>
    <col min="11785" max="11785" width="12.453125" style="50" bestFit="1" customWidth="1"/>
    <col min="11786" max="12032" width="8.90625" style="50"/>
    <col min="12033" max="12033" width="18.6328125" style="50" customWidth="1"/>
    <col min="12034" max="12034" width="11" style="50" customWidth="1"/>
    <col min="12035" max="12035" width="10.90625" style="50" bestFit="1" customWidth="1"/>
    <col min="12036" max="12036" width="7.453125" style="50" bestFit="1" customWidth="1"/>
    <col min="12037" max="12037" width="5.6328125" style="50" bestFit="1" customWidth="1"/>
    <col min="12038" max="12038" width="11.36328125" style="50" bestFit="1" customWidth="1"/>
    <col min="12039" max="12040" width="8.90625" style="50"/>
    <col min="12041" max="12041" width="12.453125" style="50" bestFit="1" customWidth="1"/>
    <col min="12042" max="12288" width="8.90625" style="50"/>
    <col min="12289" max="12289" width="18.6328125" style="50" customWidth="1"/>
    <col min="12290" max="12290" width="11" style="50" customWidth="1"/>
    <col min="12291" max="12291" width="10.90625" style="50" bestFit="1" customWidth="1"/>
    <col min="12292" max="12292" width="7.453125" style="50" bestFit="1" customWidth="1"/>
    <col min="12293" max="12293" width="5.6328125" style="50" bestFit="1" customWidth="1"/>
    <col min="12294" max="12294" width="11.36328125" style="50" bestFit="1" customWidth="1"/>
    <col min="12295" max="12296" width="8.90625" style="50"/>
    <col min="12297" max="12297" width="12.453125" style="50" bestFit="1" customWidth="1"/>
    <col min="12298" max="12544" width="8.90625" style="50"/>
    <col min="12545" max="12545" width="18.6328125" style="50" customWidth="1"/>
    <col min="12546" max="12546" width="11" style="50" customWidth="1"/>
    <col min="12547" max="12547" width="10.90625" style="50" bestFit="1" customWidth="1"/>
    <col min="12548" max="12548" width="7.453125" style="50" bestFit="1" customWidth="1"/>
    <col min="12549" max="12549" width="5.6328125" style="50" bestFit="1" customWidth="1"/>
    <col min="12550" max="12550" width="11.36328125" style="50" bestFit="1" customWidth="1"/>
    <col min="12551" max="12552" width="8.90625" style="50"/>
    <col min="12553" max="12553" width="12.453125" style="50" bestFit="1" customWidth="1"/>
    <col min="12554" max="12800" width="8.90625" style="50"/>
    <col min="12801" max="12801" width="18.6328125" style="50" customWidth="1"/>
    <col min="12802" max="12802" width="11" style="50" customWidth="1"/>
    <col min="12803" max="12803" width="10.90625" style="50" bestFit="1" customWidth="1"/>
    <col min="12804" max="12804" width="7.453125" style="50" bestFit="1" customWidth="1"/>
    <col min="12805" max="12805" width="5.6328125" style="50" bestFit="1" customWidth="1"/>
    <col min="12806" max="12806" width="11.36328125" style="50" bestFit="1" customWidth="1"/>
    <col min="12807" max="12808" width="8.90625" style="50"/>
    <col min="12809" max="12809" width="12.453125" style="50" bestFit="1" customWidth="1"/>
    <col min="12810" max="13056" width="8.90625" style="50"/>
    <col min="13057" max="13057" width="18.6328125" style="50" customWidth="1"/>
    <col min="13058" max="13058" width="11" style="50" customWidth="1"/>
    <col min="13059" max="13059" width="10.90625" style="50" bestFit="1" customWidth="1"/>
    <col min="13060" max="13060" width="7.453125" style="50" bestFit="1" customWidth="1"/>
    <col min="13061" max="13061" width="5.6328125" style="50" bestFit="1" customWidth="1"/>
    <col min="13062" max="13062" width="11.36328125" style="50" bestFit="1" customWidth="1"/>
    <col min="13063" max="13064" width="8.90625" style="50"/>
    <col min="13065" max="13065" width="12.453125" style="50" bestFit="1" customWidth="1"/>
    <col min="13066" max="13312" width="8.90625" style="50"/>
    <col min="13313" max="13313" width="18.6328125" style="50" customWidth="1"/>
    <col min="13314" max="13314" width="11" style="50" customWidth="1"/>
    <col min="13315" max="13315" width="10.90625" style="50" bestFit="1" customWidth="1"/>
    <col min="13316" max="13316" width="7.453125" style="50" bestFit="1" customWidth="1"/>
    <col min="13317" max="13317" width="5.6328125" style="50" bestFit="1" customWidth="1"/>
    <col min="13318" max="13318" width="11.36328125" style="50" bestFit="1" customWidth="1"/>
    <col min="13319" max="13320" width="8.90625" style="50"/>
    <col min="13321" max="13321" width="12.453125" style="50" bestFit="1" customWidth="1"/>
    <col min="13322" max="13568" width="8.90625" style="50"/>
    <col min="13569" max="13569" width="18.6328125" style="50" customWidth="1"/>
    <col min="13570" max="13570" width="11" style="50" customWidth="1"/>
    <col min="13571" max="13571" width="10.90625" style="50" bestFit="1" customWidth="1"/>
    <col min="13572" max="13572" width="7.453125" style="50" bestFit="1" customWidth="1"/>
    <col min="13573" max="13573" width="5.6328125" style="50" bestFit="1" customWidth="1"/>
    <col min="13574" max="13574" width="11.36328125" style="50" bestFit="1" customWidth="1"/>
    <col min="13575" max="13576" width="8.90625" style="50"/>
    <col min="13577" max="13577" width="12.453125" style="50" bestFit="1" customWidth="1"/>
    <col min="13578" max="13824" width="8.90625" style="50"/>
    <col min="13825" max="13825" width="18.6328125" style="50" customWidth="1"/>
    <col min="13826" max="13826" width="11" style="50" customWidth="1"/>
    <col min="13827" max="13827" width="10.90625" style="50" bestFit="1" customWidth="1"/>
    <col min="13828" max="13828" width="7.453125" style="50" bestFit="1" customWidth="1"/>
    <col min="13829" max="13829" width="5.6328125" style="50" bestFit="1" customWidth="1"/>
    <col min="13830" max="13830" width="11.36328125" style="50" bestFit="1" customWidth="1"/>
    <col min="13831" max="13832" width="8.90625" style="50"/>
    <col min="13833" max="13833" width="12.453125" style="50" bestFit="1" customWidth="1"/>
    <col min="13834" max="14080" width="8.90625" style="50"/>
    <col min="14081" max="14081" width="18.6328125" style="50" customWidth="1"/>
    <col min="14082" max="14082" width="11" style="50" customWidth="1"/>
    <col min="14083" max="14083" width="10.90625" style="50" bestFit="1" customWidth="1"/>
    <col min="14084" max="14084" width="7.453125" style="50" bestFit="1" customWidth="1"/>
    <col min="14085" max="14085" width="5.6328125" style="50" bestFit="1" customWidth="1"/>
    <col min="14086" max="14086" width="11.36328125" style="50" bestFit="1" customWidth="1"/>
    <col min="14087" max="14088" width="8.90625" style="50"/>
    <col min="14089" max="14089" width="12.453125" style="50" bestFit="1" customWidth="1"/>
    <col min="14090" max="14336" width="8.90625" style="50"/>
    <col min="14337" max="14337" width="18.6328125" style="50" customWidth="1"/>
    <col min="14338" max="14338" width="11" style="50" customWidth="1"/>
    <col min="14339" max="14339" width="10.90625" style="50" bestFit="1" customWidth="1"/>
    <col min="14340" max="14340" width="7.453125" style="50" bestFit="1" customWidth="1"/>
    <col min="14341" max="14341" width="5.6328125" style="50" bestFit="1" customWidth="1"/>
    <col min="14342" max="14342" width="11.36328125" style="50" bestFit="1" customWidth="1"/>
    <col min="14343" max="14344" width="8.90625" style="50"/>
    <col min="14345" max="14345" width="12.453125" style="50" bestFit="1" customWidth="1"/>
    <col min="14346" max="14592" width="8.90625" style="50"/>
    <col min="14593" max="14593" width="18.6328125" style="50" customWidth="1"/>
    <col min="14594" max="14594" width="11" style="50" customWidth="1"/>
    <col min="14595" max="14595" width="10.90625" style="50" bestFit="1" customWidth="1"/>
    <col min="14596" max="14596" width="7.453125" style="50" bestFit="1" customWidth="1"/>
    <col min="14597" max="14597" width="5.6328125" style="50" bestFit="1" customWidth="1"/>
    <col min="14598" max="14598" width="11.36328125" style="50" bestFit="1" customWidth="1"/>
    <col min="14599" max="14600" width="8.90625" style="50"/>
    <col min="14601" max="14601" width="12.453125" style="50" bestFit="1" customWidth="1"/>
    <col min="14602" max="14848" width="8.90625" style="50"/>
    <col min="14849" max="14849" width="18.6328125" style="50" customWidth="1"/>
    <col min="14850" max="14850" width="11" style="50" customWidth="1"/>
    <col min="14851" max="14851" width="10.90625" style="50" bestFit="1" customWidth="1"/>
    <col min="14852" max="14852" width="7.453125" style="50" bestFit="1" customWidth="1"/>
    <col min="14853" max="14853" width="5.6328125" style="50" bestFit="1" customWidth="1"/>
    <col min="14854" max="14854" width="11.36328125" style="50" bestFit="1" customWidth="1"/>
    <col min="14855" max="14856" width="8.90625" style="50"/>
    <col min="14857" max="14857" width="12.453125" style="50" bestFit="1" customWidth="1"/>
    <col min="14858" max="15104" width="8.90625" style="50"/>
    <col min="15105" max="15105" width="18.6328125" style="50" customWidth="1"/>
    <col min="15106" max="15106" width="11" style="50" customWidth="1"/>
    <col min="15107" max="15107" width="10.90625" style="50" bestFit="1" customWidth="1"/>
    <col min="15108" max="15108" width="7.453125" style="50" bestFit="1" customWidth="1"/>
    <col min="15109" max="15109" width="5.6328125" style="50" bestFit="1" customWidth="1"/>
    <col min="15110" max="15110" width="11.36328125" style="50" bestFit="1" customWidth="1"/>
    <col min="15111" max="15112" width="8.90625" style="50"/>
    <col min="15113" max="15113" width="12.453125" style="50" bestFit="1" customWidth="1"/>
    <col min="15114" max="15360" width="8.90625" style="50"/>
    <col min="15361" max="15361" width="18.6328125" style="50" customWidth="1"/>
    <col min="15362" max="15362" width="11" style="50" customWidth="1"/>
    <col min="15363" max="15363" width="10.90625" style="50" bestFit="1" customWidth="1"/>
    <col min="15364" max="15364" width="7.453125" style="50" bestFit="1" customWidth="1"/>
    <col min="15365" max="15365" width="5.6328125" style="50" bestFit="1" customWidth="1"/>
    <col min="15366" max="15366" width="11.36328125" style="50" bestFit="1" customWidth="1"/>
    <col min="15367" max="15368" width="8.90625" style="50"/>
    <col min="15369" max="15369" width="12.453125" style="50" bestFit="1" customWidth="1"/>
    <col min="15370" max="15616" width="8.90625" style="50"/>
    <col min="15617" max="15617" width="18.6328125" style="50" customWidth="1"/>
    <col min="15618" max="15618" width="11" style="50" customWidth="1"/>
    <col min="15619" max="15619" width="10.90625" style="50" bestFit="1" customWidth="1"/>
    <col min="15620" max="15620" width="7.453125" style="50" bestFit="1" customWidth="1"/>
    <col min="15621" max="15621" width="5.6328125" style="50" bestFit="1" customWidth="1"/>
    <col min="15622" max="15622" width="11.36328125" style="50" bestFit="1" customWidth="1"/>
    <col min="15623" max="15624" width="8.90625" style="50"/>
    <col min="15625" max="15625" width="12.453125" style="50" bestFit="1" customWidth="1"/>
    <col min="15626" max="15872" width="8.90625" style="50"/>
    <col min="15873" max="15873" width="18.6328125" style="50" customWidth="1"/>
    <col min="15874" max="15874" width="11" style="50" customWidth="1"/>
    <col min="15875" max="15875" width="10.90625" style="50" bestFit="1" customWidth="1"/>
    <col min="15876" max="15876" width="7.453125" style="50" bestFit="1" customWidth="1"/>
    <col min="15877" max="15877" width="5.6328125" style="50" bestFit="1" customWidth="1"/>
    <col min="15878" max="15878" width="11.36328125" style="50" bestFit="1" customWidth="1"/>
    <col min="15879" max="15880" width="8.90625" style="50"/>
    <col min="15881" max="15881" width="12.453125" style="50" bestFit="1" customWidth="1"/>
    <col min="15882" max="16128" width="8.90625" style="50"/>
    <col min="16129" max="16129" width="18.6328125" style="50" customWidth="1"/>
    <col min="16130" max="16130" width="11" style="50" customWidth="1"/>
    <col min="16131" max="16131" width="10.90625" style="50" bestFit="1" customWidth="1"/>
    <col min="16132" max="16132" width="7.453125" style="50" bestFit="1" customWidth="1"/>
    <col min="16133" max="16133" width="5.6328125" style="50" bestFit="1" customWidth="1"/>
    <col min="16134" max="16134" width="11.36328125" style="50" bestFit="1" customWidth="1"/>
    <col min="16135" max="16136" width="8.90625" style="50"/>
    <col min="16137" max="16137" width="12.453125" style="50" bestFit="1" customWidth="1"/>
    <col min="16138" max="16384" width="8.90625" style="50"/>
  </cols>
  <sheetData>
    <row r="1" spans="1:9" ht="18.5">
      <c r="A1" s="73" t="s">
        <v>46</v>
      </c>
      <c r="B1" s="35"/>
    </row>
    <row r="2" spans="1:9" ht="14.5">
      <c r="A2">
        <v>5</v>
      </c>
      <c r="B2" s="44" t="s">
        <v>94</v>
      </c>
    </row>
    <row r="4" spans="1:9" ht="18">
      <c r="A4" s="49"/>
      <c r="B4" s="76" t="s">
        <v>60</v>
      </c>
      <c r="C4" s="76"/>
      <c r="D4" s="76"/>
      <c r="E4" s="49"/>
      <c r="F4" s="49"/>
    </row>
    <row r="5" spans="1:9" ht="18">
      <c r="A5" s="51" t="s">
        <v>61</v>
      </c>
      <c r="B5" s="52" t="s">
        <v>62</v>
      </c>
      <c r="C5" s="52" t="s">
        <v>63</v>
      </c>
      <c r="D5" s="52" t="s">
        <v>64</v>
      </c>
      <c r="E5" s="52" t="s">
        <v>34</v>
      </c>
      <c r="F5" s="52" t="s">
        <v>65</v>
      </c>
      <c r="H5" s="77" t="s">
        <v>66</v>
      </c>
      <c r="I5" s="77"/>
    </row>
    <row r="6" spans="1:9" ht="13">
      <c r="A6" s="51" t="s">
        <v>67</v>
      </c>
      <c r="B6" s="53" t="s">
        <v>68</v>
      </c>
      <c r="C6" s="53" t="s">
        <v>69</v>
      </c>
      <c r="D6" s="53" t="s">
        <v>69</v>
      </c>
      <c r="E6" s="53" t="s">
        <v>70</v>
      </c>
      <c r="F6" s="52"/>
      <c r="H6" s="54" t="s">
        <v>71</v>
      </c>
      <c r="I6" s="55" t="s">
        <v>65</v>
      </c>
    </row>
    <row r="7" spans="1:9">
      <c r="A7" s="56" t="s">
        <v>72</v>
      </c>
      <c r="B7" s="57"/>
      <c r="C7" s="57"/>
      <c r="D7" s="57"/>
      <c r="E7" s="58"/>
      <c r="F7" s="59"/>
      <c r="H7" s="58">
        <v>0</v>
      </c>
      <c r="I7" s="59" t="s">
        <v>73</v>
      </c>
    </row>
    <row r="8" spans="1:9" ht="15.75" customHeight="1">
      <c r="A8" s="60">
        <v>1</v>
      </c>
      <c r="B8" s="61">
        <v>30</v>
      </c>
      <c r="C8" s="61">
        <v>30</v>
      </c>
      <c r="D8" s="61">
        <v>35</v>
      </c>
      <c r="E8" s="62">
        <f>SUM(B8:D8)</f>
        <v>95</v>
      </c>
      <c r="F8" s="59" t="str">
        <f>VLOOKUP(E8,GRADES,2,1)</f>
        <v>A</v>
      </c>
      <c r="H8" s="62">
        <v>50</v>
      </c>
      <c r="I8" s="59" t="s">
        <v>74</v>
      </c>
    </row>
    <row r="9" spans="1:9">
      <c r="A9" s="60">
        <v>2</v>
      </c>
      <c r="B9" s="61">
        <v>25</v>
      </c>
      <c r="C9" s="61">
        <v>25</v>
      </c>
      <c r="D9" s="61">
        <v>25</v>
      </c>
      <c r="E9" s="62">
        <f t="shared" ref="E9:E20" si="0">SUM(B9:D9)</f>
        <v>75</v>
      </c>
      <c r="F9" s="59" t="str">
        <f>VLOOKUP(E9,GRADES,2,1)</f>
        <v>C</v>
      </c>
      <c r="H9" s="62">
        <v>55</v>
      </c>
      <c r="I9" s="59" t="s">
        <v>75</v>
      </c>
    </row>
    <row r="10" spans="1:9">
      <c r="A10" s="60">
        <v>3</v>
      </c>
      <c r="B10" s="61">
        <v>30</v>
      </c>
      <c r="C10" s="61">
        <v>30</v>
      </c>
      <c r="D10" s="61">
        <v>25</v>
      </c>
      <c r="E10" s="62">
        <f t="shared" si="0"/>
        <v>85</v>
      </c>
      <c r="F10" s="59" t="str">
        <f>VLOOKUP(E10,GRADES,2,1)</f>
        <v>B</v>
      </c>
      <c r="H10" s="62">
        <v>60</v>
      </c>
      <c r="I10" s="59" t="s">
        <v>36</v>
      </c>
    </row>
    <row r="11" spans="1:9">
      <c r="A11" s="60">
        <v>4</v>
      </c>
      <c r="B11" s="61">
        <v>25</v>
      </c>
      <c r="C11" s="61">
        <v>20</v>
      </c>
      <c r="D11" s="61">
        <v>21</v>
      </c>
      <c r="E11" s="62">
        <f t="shared" si="0"/>
        <v>66</v>
      </c>
      <c r="F11" s="59" t="str">
        <f>VLOOKUP(E11,GRADES,2,1)</f>
        <v>D</v>
      </c>
      <c r="H11" s="62">
        <v>70</v>
      </c>
      <c r="I11" s="59" t="s">
        <v>76</v>
      </c>
    </row>
    <row r="12" spans="1:9">
      <c r="A12" s="60">
        <v>5</v>
      </c>
      <c r="B12" s="61">
        <v>24</v>
      </c>
      <c r="C12" s="61">
        <v>28</v>
      </c>
      <c r="D12" s="61">
        <v>29</v>
      </c>
      <c r="E12" s="62">
        <f t="shared" si="0"/>
        <v>81</v>
      </c>
      <c r="F12" s="59" t="str">
        <f>VLOOKUP(E12,GRADES,2,1)</f>
        <v>B</v>
      </c>
      <c r="H12" s="58">
        <v>80</v>
      </c>
      <c r="I12" s="59" t="s">
        <v>77</v>
      </c>
    </row>
    <row r="13" spans="1:9">
      <c r="A13" s="60">
        <v>6</v>
      </c>
      <c r="B13" s="61">
        <v>15</v>
      </c>
      <c r="C13" s="61">
        <v>15</v>
      </c>
      <c r="D13" s="61">
        <v>15</v>
      </c>
      <c r="E13" s="62">
        <f t="shared" si="0"/>
        <v>45</v>
      </c>
      <c r="F13" s="59" t="str">
        <f>VLOOKUP(E13,GRADES,2,1)</f>
        <v>G</v>
      </c>
      <c r="H13" s="58">
        <v>90</v>
      </c>
      <c r="I13" s="59" t="s">
        <v>78</v>
      </c>
    </row>
    <row r="14" spans="1:9">
      <c r="A14" s="60">
        <v>7</v>
      </c>
      <c r="B14" s="61">
        <v>15</v>
      </c>
      <c r="C14" s="61">
        <v>30</v>
      </c>
      <c r="D14" s="61">
        <v>20</v>
      </c>
      <c r="E14" s="62">
        <f t="shared" si="0"/>
        <v>65</v>
      </c>
      <c r="F14" s="59" t="str">
        <f>VLOOKUP(E14,GRADES,2,1)</f>
        <v>D</v>
      </c>
    </row>
    <row r="15" spans="1:9">
      <c r="A15" s="60">
        <v>8</v>
      </c>
      <c r="B15" s="61">
        <v>30</v>
      </c>
      <c r="C15" s="61">
        <v>35</v>
      </c>
      <c r="D15" s="61">
        <v>35</v>
      </c>
      <c r="E15" s="62">
        <f t="shared" si="0"/>
        <v>100</v>
      </c>
      <c r="F15" s="59" t="str">
        <f>VLOOKUP(E15,GRADES,2,1)</f>
        <v>A</v>
      </c>
    </row>
    <row r="16" spans="1:9">
      <c r="A16" s="60">
        <v>9</v>
      </c>
      <c r="B16" s="61">
        <v>30</v>
      </c>
      <c r="C16" s="61">
        <v>35</v>
      </c>
      <c r="D16" s="61">
        <v>35</v>
      </c>
      <c r="E16" s="62">
        <f t="shared" si="0"/>
        <v>100</v>
      </c>
      <c r="F16" s="59" t="str">
        <f>VLOOKUP(E16,GRADES,2,1)</f>
        <v>A</v>
      </c>
    </row>
    <row r="17" spans="1:6">
      <c r="A17" s="60">
        <v>10</v>
      </c>
      <c r="B17" s="61">
        <v>28</v>
      </c>
      <c r="C17" s="61">
        <v>32</v>
      </c>
      <c r="D17" s="61">
        <v>28</v>
      </c>
      <c r="E17" s="62">
        <f t="shared" si="0"/>
        <v>88</v>
      </c>
      <c r="F17" s="59" t="str">
        <f>VLOOKUP(E17,GRADES,2,1)</f>
        <v>B</v>
      </c>
    </row>
    <row r="18" spans="1:6">
      <c r="A18" s="60">
        <v>11</v>
      </c>
      <c r="B18" s="61">
        <v>30</v>
      </c>
      <c r="C18" s="61">
        <v>34</v>
      </c>
      <c r="D18" s="61">
        <v>33</v>
      </c>
      <c r="E18" s="62">
        <f t="shared" si="0"/>
        <v>97</v>
      </c>
      <c r="F18" s="59" t="str">
        <f>VLOOKUP(E18,GRADES,2,1)</f>
        <v>A</v>
      </c>
    </row>
    <row r="19" spans="1:6">
      <c r="A19" s="60">
        <v>12</v>
      </c>
      <c r="B19" s="61">
        <v>25</v>
      </c>
      <c r="C19" s="61">
        <v>30</v>
      </c>
      <c r="D19" s="61">
        <v>27</v>
      </c>
      <c r="E19" s="62">
        <f t="shared" si="0"/>
        <v>82</v>
      </c>
      <c r="F19" s="59" t="str">
        <f>VLOOKUP(E19,GRADES,2,1)</f>
        <v>B</v>
      </c>
    </row>
    <row r="20" spans="1:6">
      <c r="A20" s="60">
        <v>13</v>
      </c>
      <c r="B20" s="61">
        <v>30</v>
      </c>
      <c r="C20" s="61">
        <v>35</v>
      </c>
      <c r="D20" s="61">
        <v>30</v>
      </c>
      <c r="E20" s="62">
        <f t="shared" si="0"/>
        <v>95</v>
      </c>
      <c r="F20" s="59" t="str">
        <f>VLOOKUP(E20,GRADES,2,1)</f>
        <v>A</v>
      </c>
    </row>
    <row r="21" spans="1:6" ht="13">
      <c r="E21" s="63">
        <f>(AVERAGE(E8:E19)+E20)/2</f>
        <v>88.291666666666657</v>
      </c>
      <c r="F21" s="59" t="str">
        <f>VLOOKUP(E21,GRADES,2,1)</f>
        <v>B</v>
      </c>
    </row>
  </sheetData>
  <mergeCells count="2">
    <mergeCell ref="B4:D4"/>
    <mergeCell ref="H5:I5"/>
  </mergeCells>
  <printOptions horizontalCentered="1" verticalCentered="1" gridLines="1"/>
  <pageMargins left="0.75" right="0.75" top="1" bottom="1" header="0.5" footer="0.5"/>
  <pageSetup orientation="portrait" horizont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27C9-D862-494D-88CC-2A19218834A5}">
  <dimension ref="A1:F11"/>
  <sheetViews>
    <sheetView zoomScale="156" zoomScaleNormal="190" workbookViewId="0">
      <selection activeCell="E5" sqref="E5"/>
    </sheetView>
  </sheetViews>
  <sheetFormatPr defaultRowHeight="14.5"/>
  <cols>
    <col min="1" max="1" width="14.08984375" bestFit="1" customWidth="1"/>
  </cols>
  <sheetData>
    <row r="1" spans="1:6" ht="18.5">
      <c r="A1" s="73" t="s">
        <v>46</v>
      </c>
      <c r="B1" s="35"/>
    </row>
    <row r="2" spans="1:6">
      <c r="A2">
        <v>6</v>
      </c>
      <c r="B2" s="44" t="s">
        <v>95</v>
      </c>
    </row>
    <row r="4" spans="1:6">
      <c r="A4" s="72" t="s">
        <v>84</v>
      </c>
      <c r="B4" s="72" t="s">
        <v>28</v>
      </c>
      <c r="C4" s="72" t="s">
        <v>85</v>
      </c>
    </row>
    <row r="5" spans="1:6">
      <c r="A5" s="30" t="s">
        <v>86</v>
      </c>
      <c r="B5" s="30">
        <v>4300</v>
      </c>
      <c r="C5" s="30">
        <f>HLOOKUP(B5,$B$10:$F$11,2,1)</f>
        <v>200</v>
      </c>
    </row>
    <row r="6" spans="1:6">
      <c r="A6" s="30" t="s">
        <v>87</v>
      </c>
      <c r="B6" s="30">
        <v>2220</v>
      </c>
      <c r="C6" s="30">
        <f t="shared" ref="C6:C8" si="0">HLOOKUP(B6,$B$10:$F$11,2,1)</f>
        <v>100</v>
      </c>
    </row>
    <row r="7" spans="1:6">
      <c r="A7" s="30" t="s">
        <v>88</v>
      </c>
      <c r="B7" s="30">
        <v>7890</v>
      </c>
      <c r="C7" s="30">
        <f t="shared" si="0"/>
        <v>250</v>
      </c>
    </row>
    <row r="8" spans="1:6">
      <c r="A8" s="30" t="s">
        <v>89</v>
      </c>
      <c r="B8" s="30">
        <v>6130</v>
      </c>
      <c r="C8" s="30">
        <f t="shared" si="0"/>
        <v>250</v>
      </c>
    </row>
    <row r="10" spans="1:6">
      <c r="A10" s="72" t="s">
        <v>90</v>
      </c>
      <c r="B10" s="72">
        <v>1000</v>
      </c>
      <c r="C10" s="72">
        <v>2000</v>
      </c>
      <c r="D10" s="72">
        <v>3000</v>
      </c>
      <c r="E10" s="72">
        <v>4000</v>
      </c>
      <c r="F10" s="72">
        <v>5000</v>
      </c>
    </row>
    <row r="11" spans="1:6">
      <c r="A11" s="72" t="s">
        <v>91</v>
      </c>
      <c r="B11" s="30">
        <v>50</v>
      </c>
      <c r="C11" s="30">
        <v>100</v>
      </c>
      <c r="D11" s="30">
        <v>150</v>
      </c>
      <c r="E11" s="30">
        <v>200</v>
      </c>
      <c r="F11" s="30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zoomScale="85" zoomScaleNormal="120" workbookViewId="0">
      <selection activeCell="F17" sqref="F17"/>
    </sheetView>
  </sheetViews>
  <sheetFormatPr defaultRowHeight="14.5"/>
  <cols>
    <col min="1" max="1" width="12.81640625" customWidth="1"/>
    <col min="2" max="2" width="7.54296875" customWidth="1"/>
    <col min="3" max="3" width="11.6328125" bestFit="1" customWidth="1"/>
    <col min="4" max="4" width="11.90625" bestFit="1" customWidth="1"/>
    <col min="5" max="5" width="10.36328125" customWidth="1"/>
    <col min="6" max="6" width="13.36328125" customWidth="1"/>
    <col min="7" max="7" width="11.36328125" customWidth="1"/>
    <col min="8" max="8" width="10" bestFit="1" customWidth="1"/>
    <col min="10" max="10" width="11.6328125" bestFit="1" customWidth="1"/>
    <col min="11" max="11" width="14.08984375" bestFit="1" customWidth="1"/>
    <col min="12" max="12" width="7.36328125" customWidth="1"/>
  </cols>
  <sheetData>
    <row r="1" spans="1:14" s="8" customFormat="1" ht="18.5">
      <c r="A1" s="37" t="s">
        <v>46</v>
      </c>
      <c r="B1" s="35"/>
    </row>
    <row r="2" spans="1:14" s="8" customFormat="1" ht="18.5">
      <c r="A2" s="35">
        <v>7</v>
      </c>
      <c r="B2" s="35" t="s">
        <v>96</v>
      </c>
    </row>
    <row r="3" spans="1:14" s="8" customFormat="1" ht="21">
      <c r="A3" s="38"/>
      <c r="B3" s="38"/>
      <c r="J3" s="39"/>
    </row>
    <row r="4" spans="1:14" ht="18.5">
      <c r="H4" s="37" t="s">
        <v>29</v>
      </c>
      <c r="I4" s="1"/>
    </row>
    <row r="5" spans="1:14" ht="18.5">
      <c r="A5" s="74" t="s">
        <v>97</v>
      </c>
      <c r="B5" s="74" t="s">
        <v>24</v>
      </c>
      <c r="C5" s="74" t="s">
        <v>0</v>
      </c>
      <c r="D5" s="74" t="s">
        <v>25</v>
      </c>
      <c r="E5" s="74" t="s">
        <v>34</v>
      </c>
      <c r="H5" s="32" t="s">
        <v>97</v>
      </c>
      <c r="I5" s="32" t="s">
        <v>24</v>
      </c>
      <c r="J5" s="32" t="s">
        <v>0</v>
      </c>
      <c r="K5" s="32" t="s">
        <v>25</v>
      </c>
      <c r="L5" s="32" t="s">
        <v>14</v>
      </c>
      <c r="M5" s="32" t="s">
        <v>28</v>
      </c>
      <c r="N5" s="32" t="s">
        <v>34</v>
      </c>
    </row>
    <row r="6" spans="1:14" ht="18.5">
      <c r="A6" s="36" t="str">
        <f>COUNTIFS($B$6:B6,B6)&amp;B6</f>
        <v>11001</v>
      </c>
      <c r="B6" s="35">
        <v>1001</v>
      </c>
      <c r="C6" s="35" t="s">
        <v>20</v>
      </c>
      <c r="D6" s="35" t="str">
        <f>VLOOKUP(A6,H6:K18,4,0)</f>
        <v>Mouse</v>
      </c>
      <c r="E6" s="35">
        <f>VLOOKUP(A6,H6:N18,7,0)</f>
        <v>7000</v>
      </c>
      <c r="H6" t="str">
        <f>COUNTIFS($I$6:I6,I6)&amp;I6</f>
        <v>11001</v>
      </c>
      <c r="I6" s="33">
        <v>1001</v>
      </c>
      <c r="J6" s="33" t="s">
        <v>20</v>
      </c>
      <c r="K6" s="33" t="s">
        <v>30</v>
      </c>
      <c r="L6" s="33">
        <v>20</v>
      </c>
      <c r="M6" s="33">
        <v>350</v>
      </c>
      <c r="N6" s="33">
        <f>L6*M6</f>
        <v>7000</v>
      </c>
    </row>
    <row r="7" spans="1:14" ht="18.5">
      <c r="A7" s="36" t="str">
        <f>COUNTIFS($B$6:B7,B7)&amp;B7</f>
        <v>11002</v>
      </c>
      <c r="B7" s="35">
        <v>1002</v>
      </c>
      <c r="C7" s="35" t="s">
        <v>21</v>
      </c>
      <c r="D7" s="35" t="str">
        <f t="shared" ref="D7:D18" si="0">VLOOKUP(A7,H7:K19,4,0)</f>
        <v>Headphone</v>
      </c>
      <c r="E7" s="35">
        <f t="shared" ref="E7:E18" si="1">VLOOKUP(A7,H7:N19,7,0)</f>
        <v>15200</v>
      </c>
      <c r="H7" t="str">
        <f>COUNTIFS($I$6:I7,I7)&amp;I7</f>
        <v>11002</v>
      </c>
      <c r="I7" s="34">
        <v>1002</v>
      </c>
      <c r="J7" s="34" t="s">
        <v>21</v>
      </c>
      <c r="K7" s="34" t="s">
        <v>33</v>
      </c>
      <c r="L7" s="34">
        <v>19</v>
      </c>
      <c r="M7" s="34">
        <v>800</v>
      </c>
      <c r="N7" s="34">
        <f t="shared" ref="N7:N18" si="2">L7*M7</f>
        <v>15200</v>
      </c>
    </row>
    <row r="8" spans="1:14" ht="18.5">
      <c r="A8" s="36" t="str">
        <f>COUNTIFS($B$6:B8,B8)&amp;B8</f>
        <v>11003</v>
      </c>
      <c r="B8" s="35">
        <v>1003</v>
      </c>
      <c r="C8" s="35" t="s">
        <v>22</v>
      </c>
      <c r="D8" s="35" t="str">
        <f t="shared" si="0"/>
        <v>Speaker</v>
      </c>
      <c r="E8" s="35">
        <f t="shared" si="1"/>
        <v>18000</v>
      </c>
      <c r="H8" t="str">
        <f>COUNTIFS($I$6:I8,I8)&amp;I8</f>
        <v>11003</v>
      </c>
      <c r="I8" s="33">
        <v>1003</v>
      </c>
      <c r="J8" s="33" t="s">
        <v>22</v>
      </c>
      <c r="K8" s="33" t="s">
        <v>31</v>
      </c>
      <c r="L8" s="33">
        <v>12</v>
      </c>
      <c r="M8" s="33">
        <v>1500</v>
      </c>
      <c r="N8" s="33">
        <f t="shared" si="2"/>
        <v>18000</v>
      </c>
    </row>
    <row r="9" spans="1:14" ht="18.5">
      <c r="A9" s="36" t="str">
        <f>COUNTIFS($B$6:B9,B9)&amp;B9</f>
        <v>11004</v>
      </c>
      <c r="B9" s="35">
        <v>1004</v>
      </c>
      <c r="C9" s="35" t="s">
        <v>37</v>
      </c>
      <c r="D9" s="35" t="str">
        <f t="shared" si="0"/>
        <v>Mic</v>
      </c>
      <c r="E9" s="35">
        <f t="shared" si="1"/>
        <v>1200</v>
      </c>
      <c r="H9" t="str">
        <f>COUNTIFS($I$6:I9,I9)&amp;I9</f>
        <v>11004</v>
      </c>
      <c r="I9" s="34">
        <v>1004</v>
      </c>
      <c r="J9" s="34" t="s">
        <v>37</v>
      </c>
      <c r="K9" s="34" t="s">
        <v>32</v>
      </c>
      <c r="L9" s="34">
        <v>6</v>
      </c>
      <c r="M9" s="34">
        <v>200</v>
      </c>
      <c r="N9" s="34">
        <f t="shared" si="2"/>
        <v>1200</v>
      </c>
    </row>
    <row r="10" spans="1:14" ht="18.5">
      <c r="A10" s="36" t="str">
        <f>COUNTIFS($B$6:B10,B10)&amp;B10</f>
        <v>11005</v>
      </c>
      <c r="B10" s="35">
        <v>1005</v>
      </c>
      <c r="C10" s="35" t="s">
        <v>38</v>
      </c>
      <c r="D10" s="35" t="str">
        <f t="shared" si="0"/>
        <v>Mouse</v>
      </c>
      <c r="E10" s="35">
        <f t="shared" si="1"/>
        <v>4900</v>
      </c>
      <c r="H10" t="str">
        <f>COUNTIFS($I$6:I10,I10)&amp;I10</f>
        <v>11005</v>
      </c>
      <c r="I10" s="33">
        <v>1005</v>
      </c>
      <c r="J10" s="33" t="s">
        <v>38</v>
      </c>
      <c r="K10" s="33" t="s">
        <v>30</v>
      </c>
      <c r="L10" s="33">
        <v>14</v>
      </c>
      <c r="M10" s="33">
        <v>350</v>
      </c>
      <c r="N10" s="33">
        <f t="shared" si="2"/>
        <v>4900</v>
      </c>
    </row>
    <row r="11" spans="1:14" ht="18.5">
      <c r="A11" s="36" t="str">
        <f>COUNTIFS($B$6:B11,B11)&amp;B11</f>
        <v>21002</v>
      </c>
      <c r="B11" s="35">
        <v>1002</v>
      </c>
      <c r="C11" s="35" t="s">
        <v>21</v>
      </c>
      <c r="D11" s="35" t="str">
        <f t="shared" si="0"/>
        <v>Mic</v>
      </c>
      <c r="E11" s="35">
        <f t="shared" si="1"/>
        <v>3600</v>
      </c>
      <c r="H11" t="str">
        <f>COUNTIFS($I$6:I11,I11)&amp;I11</f>
        <v>21002</v>
      </c>
      <c r="I11" s="34">
        <v>1002</v>
      </c>
      <c r="J11" s="34" t="s">
        <v>21</v>
      </c>
      <c r="K11" s="34" t="s">
        <v>32</v>
      </c>
      <c r="L11" s="34">
        <v>18</v>
      </c>
      <c r="M11" s="34">
        <v>200</v>
      </c>
      <c r="N11" s="34">
        <f t="shared" si="2"/>
        <v>3600</v>
      </c>
    </row>
    <row r="12" spans="1:14" ht="18.5">
      <c r="A12" s="36" t="str">
        <f>COUNTIFS($B$6:B12,B12)&amp;B12</f>
        <v>21005</v>
      </c>
      <c r="B12" s="35">
        <v>1005</v>
      </c>
      <c r="C12" s="35" t="s">
        <v>23</v>
      </c>
      <c r="D12" s="35" t="str">
        <f t="shared" si="0"/>
        <v>Speaker</v>
      </c>
      <c r="E12" s="35">
        <f t="shared" si="1"/>
        <v>19500</v>
      </c>
      <c r="H12" t="str">
        <f>COUNTIFS($I$6:I12,I12)&amp;I12</f>
        <v>21005</v>
      </c>
      <c r="I12" s="33">
        <v>1005</v>
      </c>
      <c r="J12" s="33" t="s">
        <v>23</v>
      </c>
      <c r="K12" s="33" t="s">
        <v>31</v>
      </c>
      <c r="L12" s="33">
        <v>13</v>
      </c>
      <c r="M12" s="33">
        <v>1500</v>
      </c>
      <c r="N12" s="33">
        <f t="shared" si="2"/>
        <v>19500</v>
      </c>
    </row>
    <row r="13" spans="1:14" ht="18.5">
      <c r="A13" s="36" t="str">
        <f>COUNTIFS($B$6:B13,B13)&amp;B13</f>
        <v>11007</v>
      </c>
      <c r="B13" s="35">
        <v>1007</v>
      </c>
      <c r="C13" s="35" t="s">
        <v>26</v>
      </c>
      <c r="D13" s="35" t="str">
        <f t="shared" si="0"/>
        <v>Mouse</v>
      </c>
      <c r="E13" s="35">
        <f t="shared" si="1"/>
        <v>2450</v>
      </c>
      <c r="H13" t="str">
        <f>COUNTIFS($I$6:I13,I13)&amp;I13</f>
        <v>11007</v>
      </c>
      <c r="I13" s="34">
        <v>1007</v>
      </c>
      <c r="J13" s="34" t="s">
        <v>26</v>
      </c>
      <c r="K13" s="34" t="s">
        <v>30</v>
      </c>
      <c r="L13" s="34">
        <v>7</v>
      </c>
      <c r="M13" s="34">
        <v>350</v>
      </c>
      <c r="N13" s="34">
        <f t="shared" si="2"/>
        <v>2450</v>
      </c>
    </row>
    <row r="14" spans="1:14" ht="18.5">
      <c r="A14" s="36" t="str">
        <f>COUNTIFS($B$6:B14,B14)&amp;B14</f>
        <v>11008</v>
      </c>
      <c r="B14" s="35">
        <v>1008</v>
      </c>
      <c r="C14" s="35" t="s">
        <v>27</v>
      </c>
      <c r="D14" s="35" t="str">
        <f t="shared" si="0"/>
        <v>Headphone</v>
      </c>
      <c r="E14" s="35">
        <f t="shared" si="1"/>
        <v>7200</v>
      </c>
      <c r="H14" t="str">
        <f>COUNTIFS($I$6:I14,I14)&amp;I14</f>
        <v>11008</v>
      </c>
      <c r="I14" s="33">
        <v>1008</v>
      </c>
      <c r="J14" s="33" t="s">
        <v>27</v>
      </c>
      <c r="K14" s="33" t="s">
        <v>33</v>
      </c>
      <c r="L14" s="33">
        <v>9</v>
      </c>
      <c r="M14" s="33">
        <v>800</v>
      </c>
      <c r="N14" s="33">
        <f t="shared" si="2"/>
        <v>7200</v>
      </c>
    </row>
    <row r="15" spans="1:14" ht="18.5">
      <c r="A15" s="36" t="str">
        <f>COUNTIFS($B$6:B15,B15)&amp;B15</f>
        <v>21003</v>
      </c>
      <c r="B15" s="35">
        <v>1003</v>
      </c>
      <c r="C15" s="35" t="s">
        <v>22</v>
      </c>
      <c r="D15" s="35" t="str">
        <f t="shared" si="0"/>
        <v>Mouse</v>
      </c>
      <c r="E15" s="35">
        <f t="shared" si="1"/>
        <v>2450</v>
      </c>
      <c r="H15" t="str">
        <f>COUNTIFS($I$6:I15,I15)&amp;I15</f>
        <v>21003</v>
      </c>
      <c r="I15" s="34">
        <v>1003</v>
      </c>
      <c r="J15" s="34" t="s">
        <v>22</v>
      </c>
      <c r="K15" s="34" t="s">
        <v>30</v>
      </c>
      <c r="L15" s="34">
        <v>7</v>
      </c>
      <c r="M15" s="34">
        <v>350</v>
      </c>
      <c r="N15" s="34">
        <f t="shared" si="2"/>
        <v>2450</v>
      </c>
    </row>
    <row r="16" spans="1:14" ht="18.5">
      <c r="A16" s="36" t="str">
        <f>COUNTIFS($B$6:B16,B16)&amp;B16</f>
        <v>21008</v>
      </c>
      <c r="B16" s="35">
        <v>1008</v>
      </c>
      <c r="C16" s="35" t="s">
        <v>27</v>
      </c>
      <c r="D16" s="35" t="str">
        <f t="shared" si="0"/>
        <v>Mic</v>
      </c>
      <c r="E16" s="35">
        <f t="shared" si="1"/>
        <v>3200</v>
      </c>
      <c r="H16" t="str">
        <f>COUNTIFS($I$6:I16,I16)&amp;I16</f>
        <v>21008</v>
      </c>
      <c r="I16" s="33">
        <v>1008</v>
      </c>
      <c r="J16" s="33" t="s">
        <v>27</v>
      </c>
      <c r="K16" s="33" t="s">
        <v>32</v>
      </c>
      <c r="L16" s="33">
        <v>16</v>
      </c>
      <c r="M16" s="33">
        <v>200</v>
      </c>
      <c r="N16" s="33">
        <f t="shared" si="2"/>
        <v>3200</v>
      </c>
    </row>
    <row r="17" spans="1:14" ht="18.5">
      <c r="A17" s="36" t="str">
        <f>COUNTIFS($B$6:B17,B17)&amp;B17</f>
        <v>21001</v>
      </c>
      <c r="B17" s="35">
        <v>1001</v>
      </c>
      <c r="C17" s="35" t="s">
        <v>20</v>
      </c>
      <c r="D17" s="35" t="str">
        <f t="shared" si="0"/>
        <v>Mic</v>
      </c>
      <c r="E17" s="35">
        <f t="shared" si="1"/>
        <v>1000</v>
      </c>
      <c r="H17" t="str">
        <f>COUNTIFS($I$6:I17,I17)&amp;I17</f>
        <v>21001</v>
      </c>
      <c r="I17" s="34">
        <v>1001</v>
      </c>
      <c r="J17" s="34" t="s">
        <v>20</v>
      </c>
      <c r="K17" s="34" t="s">
        <v>32</v>
      </c>
      <c r="L17" s="34">
        <v>5</v>
      </c>
      <c r="M17" s="34">
        <v>200</v>
      </c>
      <c r="N17" s="34">
        <f t="shared" si="2"/>
        <v>1000</v>
      </c>
    </row>
    <row r="18" spans="1:14" ht="18.5">
      <c r="A18" s="36" t="str">
        <f>COUNTIFS($B$6:B18,B18)&amp;B18</f>
        <v>31002</v>
      </c>
      <c r="B18" s="35">
        <v>1002</v>
      </c>
      <c r="C18" s="35" t="s">
        <v>21</v>
      </c>
      <c r="D18" s="35" t="str">
        <f t="shared" si="0"/>
        <v>Speaker</v>
      </c>
      <c r="E18" s="35">
        <f t="shared" si="1"/>
        <v>15000</v>
      </c>
      <c r="H18" t="str">
        <f>COUNTIFS($I$6:I18,I18)&amp;I18</f>
        <v>31002</v>
      </c>
      <c r="I18" s="33">
        <v>1002</v>
      </c>
      <c r="J18" s="33" t="s">
        <v>21</v>
      </c>
      <c r="K18" s="33" t="s">
        <v>31</v>
      </c>
      <c r="L18" s="33">
        <v>10</v>
      </c>
      <c r="M18" s="33">
        <v>1500</v>
      </c>
      <c r="N18" s="33">
        <f t="shared" si="2"/>
        <v>15000</v>
      </c>
    </row>
  </sheetData>
  <sortState xmlns:xlrd2="http://schemas.microsoft.com/office/spreadsheetml/2017/richdata2" ref="A6:A18">
    <sortCondition ref="A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tabSelected="1" zoomScale="124" zoomScaleNormal="160" workbookViewId="0">
      <selection activeCell="E11" sqref="E11"/>
    </sheetView>
  </sheetViews>
  <sheetFormatPr defaultRowHeight="14.5"/>
  <cols>
    <col min="1" max="1" width="10.6328125" bestFit="1" customWidth="1"/>
  </cols>
  <sheetData>
    <row r="1" spans="1:10" ht="18.5">
      <c r="A1" s="30" t="s">
        <v>19</v>
      </c>
      <c r="B1" s="40" t="s">
        <v>39</v>
      </c>
      <c r="C1" s="40" t="s">
        <v>40</v>
      </c>
      <c r="D1" s="40" t="s">
        <v>41</v>
      </c>
      <c r="E1" s="40" t="s">
        <v>42</v>
      </c>
      <c r="F1" s="40" t="s">
        <v>43</v>
      </c>
      <c r="G1" s="40" t="s">
        <v>44</v>
      </c>
      <c r="I1" s="37" t="s">
        <v>46</v>
      </c>
      <c r="J1" s="35"/>
    </row>
    <row r="2" spans="1:10" ht="18.5">
      <c r="A2" s="41" t="s">
        <v>20</v>
      </c>
      <c r="B2" s="42">
        <v>60</v>
      </c>
      <c r="C2" s="42">
        <v>98</v>
      </c>
      <c r="D2" s="42">
        <v>99</v>
      </c>
      <c r="E2" s="42">
        <v>60</v>
      </c>
      <c r="F2" s="42">
        <v>76</v>
      </c>
      <c r="G2" s="42">
        <v>75</v>
      </c>
      <c r="I2" s="35">
        <v>8</v>
      </c>
      <c r="J2" s="35" t="s">
        <v>98</v>
      </c>
    </row>
    <row r="3" spans="1:10">
      <c r="A3" s="41" t="s">
        <v>21</v>
      </c>
      <c r="B3" s="42">
        <v>83</v>
      </c>
      <c r="C3" s="42">
        <v>86</v>
      </c>
      <c r="D3" s="42">
        <v>95</v>
      </c>
      <c r="E3" s="42">
        <v>56</v>
      </c>
      <c r="F3" s="42">
        <v>57</v>
      </c>
      <c r="G3" s="42">
        <v>71</v>
      </c>
    </row>
    <row r="4" spans="1:10">
      <c r="A4" s="41" t="s">
        <v>50</v>
      </c>
      <c r="B4" s="42">
        <v>62</v>
      </c>
      <c r="C4" s="42">
        <v>86</v>
      </c>
      <c r="D4" s="42">
        <v>74</v>
      </c>
      <c r="E4" s="42">
        <v>94</v>
      </c>
      <c r="F4" s="42">
        <v>70</v>
      </c>
      <c r="G4" s="42">
        <v>72</v>
      </c>
    </row>
    <row r="5" spans="1:10">
      <c r="A5" s="41" t="s">
        <v>52</v>
      </c>
      <c r="B5" s="42">
        <v>86</v>
      </c>
      <c r="C5" s="42">
        <v>89</v>
      </c>
      <c r="D5" s="42">
        <v>56</v>
      </c>
      <c r="E5" s="42">
        <v>61</v>
      </c>
      <c r="F5" s="42">
        <v>56</v>
      </c>
      <c r="G5" s="42">
        <v>77</v>
      </c>
    </row>
    <row r="7" spans="1:10">
      <c r="B7" s="41" t="s">
        <v>0</v>
      </c>
      <c r="C7" t="s">
        <v>20</v>
      </c>
      <c r="I7" s="1" t="s">
        <v>47</v>
      </c>
    </row>
    <row r="8" spans="1:10">
      <c r="B8" s="42" t="s">
        <v>35</v>
      </c>
      <c r="C8">
        <f>INDEX(E2:E5,MATCH(C7,A2:A5,0))</f>
        <v>60</v>
      </c>
      <c r="H8" t="s">
        <v>103</v>
      </c>
      <c r="I8" t="s">
        <v>101</v>
      </c>
    </row>
    <row r="9" spans="1:10">
      <c r="H9" t="s">
        <v>104</v>
      </c>
      <c r="I9" t="s">
        <v>99</v>
      </c>
    </row>
    <row r="10" spans="1:10">
      <c r="B10" s="41" t="s">
        <v>0</v>
      </c>
      <c r="C10" t="s">
        <v>21</v>
      </c>
      <c r="H10" t="s">
        <v>104</v>
      </c>
      <c r="I10" t="s">
        <v>100</v>
      </c>
    </row>
    <row r="11" spans="1:10">
      <c r="B11" s="43" t="s">
        <v>45</v>
      </c>
      <c r="C11" t="s">
        <v>41</v>
      </c>
      <c r="E11" t="s">
        <v>105</v>
      </c>
      <c r="H11" t="s">
        <v>104</v>
      </c>
      <c r="I11" t="s">
        <v>102</v>
      </c>
    </row>
    <row r="12" spans="1:10">
      <c r="B12" s="42" t="s">
        <v>35</v>
      </c>
      <c r="C12">
        <f>INDEX(B2:G5,MATCH(C10,A2:A5,0),MATCH(C11,B1:G1,0))</f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1 - Understanding</vt:lpstr>
      <vt:lpstr>2 - From Worksheet - Workbook</vt:lpstr>
      <vt:lpstr>Item List</vt:lpstr>
      <vt:lpstr>3 - Using Range Name</vt:lpstr>
      <vt:lpstr>4- Find in List</vt:lpstr>
      <vt:lpstr>5- Range VLookup</vt:lpstr>
      <vt:lpstr>6- HLookup</vt:lpstr>
      <vt:lpstr>7- Duplicate Data</vt:lpstr>
      <vt:lpstr>8- Index Match</vt:lpstr>
      <vt:lpstr>GRADES</vt:lpstr>
      <vt:lpstr>ItemList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2026-07-02T11:41:46Z</dcterms:modified>
</cp:coreProperties>
</file>